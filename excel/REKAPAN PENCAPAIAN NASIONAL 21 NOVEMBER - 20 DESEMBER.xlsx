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E173C54E-4253-4324-8051-6051531035F9}" xr6:coauthVersionLast="47" xr6:coauthVersionMax="47" xr10:uidLastSave="{00000000-0000-0000-0000-000000000000}"/>
  <bookViews>
    <workbookView xWindow="-110" yWindow="-110" windowWidth="19420" windowHeight="10300" activeTab="2" xr2:uid="{BA5960D0-99C5-4D67-9CAD-CECF9758B399}"/>
  </bookViews>
  <sheets>
    <sheet name="PENCAPAIAN KOTA" sheetId="1" r:id="rId1"/>
    <sheet name="PERSENTASE TIM" sheetId="2" r:id="rId2"/>
    <sheet name="BEST SPV DAN DS" sheetId="3" r:id="rId3"/>
    <sheet name="SERANG" sheetId="4" r:id="rId4"/>
    <sheet name="KAB PANDEGLANG" sheetId="26" r:id="rId5"/>
    <sheet name="CILEGON" sheetId="27" r:id="rId6"/>
    <sheet name="TANGERANG SELATAN" sheetId="30" r:id="rId7"/>
    <sheet name="KAB TANGGERANG" sheetId="31" r:id="rId8"/>
    <sheet name="TANGGERANG KOTA" sheetId="32" r:id="rId9"/>
    <sheet name="KLAPANUNGGAL" sheetId="42" r:id="rId10"/>
    <sheet name="CILEUNGSI" sheetId="43" r:id="rId11"/>
    <sheet name="PARUNG" sheetId="44" r:id="rId12"/>
    <sheet name="BEKASI" sheetId="45" r:id="rId13"/>
    <sheet name="JAKARTA" sheetId="23" r:id="rId14"/>
    <sheet name="DEPOK" sheetId="24" r:id="rId15"/>
    <sheet name="CENGKARENG" sheetId="25" r:id="rId16"/>
    <sheet name="BANDUNG" sheetId="49" r:id="rId17"/>
    <sheet name="SUKABUMI" sheetId="50" r:id="rId18"/>
    <sheet name="CIREBON" sheetId="54" r:id="rId19"/>
    <sheet name="SUBANG" sheetId="55" r:id="rId20"/>
    <sheet name="KARAWANG" sheetId="56" r:id="rId21"/>
    <sheet name="PURWAKARTA" sheetId="57" r:id="rId22"/>
    <sheet name="TASIKMALAYA" sheetId="46" r:id="rId23"/>
    <sheet name="KAB TASIK" sheetId="47" r:id="rId24"/>
    <sheet name="GARUT" sheetId="48" r:id="rId25"/>
    <sheet name="BANJAR" sheetId="10" r:id="rId26"/>
    <sheet name="CIAMIS" sheetId="11" r:id="rId27"/>
    <sheet name="CIAWI" sheetId="12" r:id="rId28"/>
    <sheet name="CIANJUR" sheetId="13" r:id="rId29"/>
    <sheet name="BANJARSARI" sheetId="14" r:id="rId30"/>
    <sheet name="MAJALENGKA" sheetId="15" r:id="rId31"/>
    <sheet name="SEMARANG" sheetId="28" r:id="rId32"/>
    <sheet name="SALATIGA" sheetId="29" r:id="rId33"/>
    <sheet name="CILACAP" sheetId="19" r:id="rId34"/>
    <sheet name="KEBUMEN" sheetId="20" r:id="rId35"/>
    <sheet name="PURWOKERTO" sheetId="21" r:id="rId36"/>
    <sheet name="TEGAL" sheetId="22" r:id="rId37"/>
    <sheet name="KENDAL" sheetId="16" r:id="rId38"/>
    <sheet name="DEMAK" sheetId="17" r:id="rId39"/>
    <sheet name="KUDUS" sheetId="18" r:id="rId40"/>
    <sheet name="JOGJA" sheetId="8" r:id="rId41"/>
    <sheet name="KLATEN" sheetId="9" r:id="rId42"/>
    <sheet name="SOLO" sheetId="7" r:id="rId43"/>
    <sheet name="KEDIRI" sheetId="35" r:id="rId44"/>
    <sheet name="SURABAYA" sheetId="40" r:id="rId45"/>
    <sheet name="SIDOARJO" sheetId="41" r:id="rId46"/>
    <sheet name="MALANG" sheetId="38" r:id="rId47"/>
    <sheet name="PONOROGO" sheetId="39" r:id="rId48"/>
    <sheet name="DENPASAR" sheetId="51" r:id="rId49"/>
    <sheet name="BADUNG" sheetId="52" r:id="rId50"/>
    <sheet name="TABANAN" sheetId="5" r:id="rId51"/>
    <sheet name="NEGARA" sheetId="6" r:id="rId52"/>
    <sheet name="MEDAN" sheetId="34" r:id="rId53"/>
    <sheet name="BANGKA BELITUNG" sheetId="36" r:id="rId54"/>
    <sheet name="Sheet33" sheetId="37" r:id="rId5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L5" i="3"/>
  <c r="L4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2" i="2"/>
  <c r="E12" i="57"/>
  <c r="G8" i="57"/>
  <c r="G9" i="57"/>
  <c r="G10" i="57"/>
  <c r="G11" i="57"/>
  <c r="G12" i="57"/>
  <c r="G7" i="57"/>
  <c r="F8" i="57"/>
  <c r="F9" i="57"/>
  <c r="F10" i="57"/>
  <c r="F11" i="57"/>
  <c r="F12" i="57"/>
  <c r="F7" i="57"/>
  <c r="E11" i="56"/>
  <c r="G8" i="56"/>
  <c r="G9" i="56"/>
  <c r="G10" i="56"/>
  <c r="G11" i="56"/>
  <c r="G7" i="56"/>
  <c r="F8" i="56"/>
  <c r="F9" i="56"/>
  <c r="F10" i="56"/>
  <c r="F11" i="56"/>
  <c r="F7" i="56"/>
  <c r="E28" i="55"/>
  <c r="G8" i="55"/>
  <c r="G9" i="55"/>
  <c r="G10" i="55"/>
  <c r="G11" i="55"/>
  <c r="G12" i="55"/>
  <c r="G13" i="55"/>
  <c r="G14" i="55"/>
  <c r="G15" i="55"/>
  <c r="G16" i="55"/>
  <c r="G17" i="55"/>
  <c r="G18" i="55"/>
  <c r="G19" i="55"/>
  <c r="G20" i="55"/>
  <c r="G21" i="55"/>
  <c r="G22" i="55"/>
  <c r="G23" i="55"/>
  <c r="G24" i="55"/>
  <c r="G25" i="55"/>
  <c r="G26" i="55"/>
  <c r="G27" i="55"/>
  <c r="G28" i="55"/>
  <c r="G7" i="55"/>
  <c r="F8" i="55"/>
  <c r="F9" i="55"/>
  <c r="F10" i="55"/>
  <c r="F11" i="55"/>
  <c r="F12" i="55"/>
  <c r="F13" i="55"/>
  <c r="F14" i="55"/>
  <c r="F15" i="55"/>
  <c r="F16" i="55"/>
  <c r="F17" i="55"/>
  <c r="F18" i="55"/>
  <c r="F19" i="55"/>
  <c r="F20" i="55"/>
  <c r="F21" i="55"/>
  <c r="F22" i="55"/>
  <c r="F23" i="55"/>
  <c r="F24" i="55"/>
  <c r="F25" i="55"/>
  <c r="F26" i="55"/>
  <c r="F27" i="55"/>
  <c r="F28" i="55"/>
  <c r="F7" i="55"/>
  <c r="N7" i="55"/>
  <c r="N6" i="55"/>
  <c r="N5" i="55"/>
  <c r="E29" i="54"/>
  <c r="G8" i="54"/>
  <c r="G9" i="54"/>
  <c r="G10" i="54"/>
  <c r="G11" i="54"/>
  <c r="G12" i="54"/>
  <c r="G13" i="54"/>
  <c r="G14" i="54"/>
  <c r="G15" i="54"/>
  <c r="G16" i="54"/>
  <c r="G17" i="54"/>
  <c r="G18" i="54"/>
  <c r="G19" i="54"/>
  <c r="G20" i="54"/>
  <c r="G21" i="54"/>
  <c r="G22" i="54"/>
  <c r="G23" i="54"/>
  <c r="G24" i="54"/>
  <c r="G25" i="54"/>
  <c r="G26" i="54"/>
  <c r="G27" i="54"/>
  <c r="G28" i="54"/>
  <c r="G29" i="54"/>
  <c r="G7" i="54"/>
  <c r="F8" i="54"/>
  <c r="F9" i="54"/>
  <c r="F10" i="54"/>
  <c r="F11" i="54"/>
  <c r="F12" i="54"/>
  <c r="F13" i="54"/>
  <c r="F14" i="54"/>
  <c r="F15" i="54"/>
  <c r="F16" i="54"/>
  <c r="F17" i="54"/>
  <c r="F18" i="54"/>
  <c r="F19" i="54"/>
  <c r="F20" i="54"/>
  <c r="F21" i="54"/>
  <c r="F22" i="54"/>
  <c r="F23" i="54"/>
  <c r="F24" i="54"/>
  <c r="F25" i="54"/>
  <c r="F26" i="54"/>
  <c r="F27" i="54"/>
  <c r="F28" i="54"/>
  <c r="F29" i="54"/>
  <c r="F7" i="54"/>
  <c r="N7" i="54"/>
  <c r="N6" i="54"/>
  <c r="N5" i="54"/>
  <c r="L3" i="3"/>
  <c r="E29" i="52"/>
  <c r="G8" i="52"/>
  <c r="G9" i="52"/>
  <c r="G10" i="52"/>
  <c r="G11" i="52"/>
  <c r="G12" i="52"/>
  <c r="G13" i="52"/>
  <c r="G14" i="52"/>
  <c r="G15" i="52"/>
  <c r="G16" i="52"/>
  <c r="G17" i="52"/>
  <c r="G18" i="52"/>
  <c r="G19" i="52"/>
  <c r="G20" i="52"/>
  <c r="G21" i="52"/>
  <c r="G22" i="52"/>
  <c r="G23" i="52"/>
  <c r="G24" i="52"/>
  <c r="G25" i="52"/>
  <c r="G26" i="52"/>
  <c r="G27" i="52"/>
  <c r="G28" i="52"/>
  <c r="G29" i="52"/>
  <c r="G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F23" i="52"/>
  <c r="F24" i="52"/>
  <c r="F25" i="52"/>
  <c r="F26" i="52"/>
  <c r="F27" i="52"/>
  <c r="F28" i="52"/>
  <c r="F29" i="52"/>
  <c r="F7" i="52"/>
  <c r="N8" i="52"/>
  <c r="N7" i="52"/>
  <c r="N6" i="52"/>
  <c r="N5" i="52"/>
  <c r="E2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3" i="51"/>
  <c r="G24" i="51"/>
  <c r="G25" i="51"/>
  <c r="G26" i="51"/>
  <c r="G27" i="51"/>
  <c r="G7" i="51"/>
  <c r="F8" i="51"/>
  <c r="F9" i="51"/>
  <c r="F10" i="51"/>
  <c r="F11" i="51"/>
  <c r="F12" i="51"/>
  <c r="F13" i="51"/>
  <c r="F14" i="51"/>
  <c r="F15" i="51"/>
  <c r="F16" i="51"/>
  <c r="F17" i="51"/>
  <c r="F18" i="51"/>
  <c r="F19" i="51"/>
  <c r="F20" i="51"/>
  <c r="F21" i="51"/>
  <c r="F22" i="51"/>
  <c r="F23" i="51"/>
  <c r="F24" i="51"/>
  <c r="F25" i="51"/>
  <c r="F26" i="51"/>
  <c r="F27" i="51"/>
  <c r="F7" i="51"/>
  <c r="N7" i="51"/>
  <c r="N6" i="51"/>
  <c r="N5" i="51"/>
  <c r="E19" i="50"/>
  <c r="G8" i="50"/>
  <c r="G9" i="50"/>
  <c r="G10" i="50"/>
  <c r="G11" i="50"/>
  <c r="G12" i="50"/>
  <c r="G13" i="50"/>
  <c r="G14" i="50"/>
  <c r="G15" i="50"/>
  <c r="G16" i="50"/>
  <c r="G17" i="50"/>
  <c r="G18" i="50"/>
  <c r="G19" i="50"/>
  <c r="G7" i="50"/>
  <c r="F8" i="50"/>
  <c r="F9" i="50"/>
  <c r="F10" i="50"/>
  <c r="F11" i="50"/>
  <c r="F12" i="50"/>
  <c r="F13" i="50"/>
  <c r="F14" i="50"/>
  <c r="F15" i="50"/>
  <c r="F16" i="50"/>
  <c r="F17" i="50"/>
  <c r="F18" i="50"/>
  <c r="F19" i="50"/>
  <c r="F7" i="50"/>
  <c r="N6" i="50"/>
  <c r="N5" i="50"/>
  <c r="E30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23" i="49"/>
  <c r="G24" i="49"/>
  <c r="G25" i="49"/>
  <c r="G26" i="49"/>
  <c r="G27" i="49"/>
  <c r="G28" i="49"/>
  <c r="G29" i="49"/>
  <c r="G30" i="49"/>
  <c r="G7" i="49"/>
  <c r="F8" i="49"/>
  <c r="F9" i="49"/>
  <c r="F10" i="49"/>
  <c r="F11" i="49"/>
  <c r="F12" i="49"/>
  <c r="F13" i="49"/>
  <c r="F14" i="49"/>
  <c r="F15" i="49"/>
  <c r="F16" i="49"/>
  <c r="F17" i="49"/>
  <c r="F18" i="49"/>
  <c r="F19" i="49"/>
  <c r="F20" i="49"/>
  <c r="F21" i="49"/>
  <c r="F22" i="49"/>
  <c r="F23" i="49"/>
  <c r="F24" i="49"/>
  <c r="F25" i="49"/>
  <c r="F26" i="49"/>
  <c r="F27" i="49"/>
  <c r="F28" i="49"/>
  <c r="F29" i="49"/>
  <c r="F30" i="49"/>
  <c r="F7" i="49"/>
  <c r="N7" i="49"/>
  <c r="N6" i="49"/>
  <c r="N5" i="49"/>
  <c r="E31" i="48"/>
  <c r="G8" i="48"/>
  <c r="G9" i="48"/>
  <c r="G10" i="48"/>
  <c r="G11" i="48"/>
  <c r="G12" i="48"/>
  <c r="G13" i="48"/>
  <c r="G14" i="48"/>
  <c r="G15" i="48"/>
  <c r="G16" i="48"/>
  <c r="G17" i="48"/>
  <c r="G18" i="48"/>
  <c r="G19" i="48"/>
  <c r="G20" i="48"/>
  <c r="G21" i="48"/>
  <c r="G22" i="48"/>
  <c r="G23" i="48"/>
  <c r="G24" i="48"/>
  <c r="G25" i="48"/>
  <c r="G26" i="48"/>
  <c r="G27" i="48"/>
  <c r="G28" i="48"/>
  <c r="G29" i="48"/>
  <c r="G30" i="48"/>
  <c r="G31" i="48"/>
  <c r="G7" i="48"/>
  <c r="F8" i="48"/>
  <c r="F9" i="48"/>
  <c r="F10" i="48"/>
  <c r="F11" i="48"/>
  <c r="F12" i="48"/>
  <c r="F13" i="48"/>
  <c r="F14" i="48"/>
  <c r="F15" i="48"/>
  <c r="F16" i="48"/>
  <c r="F17" i="48"/>
  <c r="F18" i="48"/>
  <c r="F19" i="48"/>
  <c r="F20" i="48"/>
  <c r="F21" i="48"/>
  <c r="F22" i="48"/>
  <c r="F23" i="48"/>
  <c r="F24" i="48"/>
  <c r="F25" i="48"/>
  <c r="F26" i="48"/>
  <c r="F27" i="48"/>
  <c r="F28" i="48"/>
  <c r="F29" i="48"/>
  <c r="F30" i="48"/>
  <c r="F31" i="48"/>
  <c r="F7" i="48"/>
  <c r="N7" i="48"/>
  <c r="N6" i="48"/>
  <c r="N5" i="48"/>
  <c r="N6" i="47"/>
  <c r="N5" i="47"/>
  <c r="E18" i="47"/>
  <c r="G8" i="47"/>
  <c r="G9" i="47"/>
  <c r="G10" i="47"/>
  <c r="G11" i="47"/>
  <c r="G12" i="47"/>
  <c r="G13" i="47"/>
  <c r="G14" i="47"/>
  <c r="G15" i="47"/>
  <c r="G16" i="47"/>
  <c r="G17" i="47"/>
  <c r="G18" i="47"/>
  <c r="G7" i="47"/>
  <c r="F8" i="47"/>
  <c r="F9" i="47"/>
  <c r="F10" i="47"/>
  <c r="F11" i="47"/>
  <c r="F12" i="47"/>
  <c r="F13" i="47"/>
  <c r="F14" i="47"/>
  <c r="F15" i="47"/>
  <c r="F16" i="47"/>
  <c r="F17" i="47"/>
  <c r="F18" i="47"/>
  <c r="F7" i="47"/>
  <c r="E31" i="46"/>
  <c r="G8" i="46"/>
  <c r="G9" i="46"/>
  <c r="G10" i="46"/>
  <c r="G11" i="46"/>
  <c r="G12" i="46"/>
  <c r="G13" i="46"/>
  <c r="G14" i="46"/>
  <c r="G15" i="46"/>
  <c r="G16" i="46"/>
  <c r="G17" i="46"/>
  <c r="G18" i="46"/>
  <c r="G19" i="46"/>
  <c r="G20" i="46"/>
  <c r="G21" i="46"/>
  <c r="G22" i="46"/>
  <c r="G23" i="46"/>
  <c r="G24" i="46"/>
  <c r="G25" i="46"/>
  <c r="G26" i="46"/>
  <c r="G27" i="46"/>
  <c r="G28" i="46"/>
  <c r="G29" i="46"/>
  <c r="G30" i="46"/>
  <c r="G31" i="46"/>
  <c r="G7" i="46"/>
  <c r="F8" i="46"/>
  <c r="F9" i="46"/>
  <c r="F10" i="46"/>
  <c r="F11" i="46"/>
  <c r="F12" i="46"/>
  <c r="F13" i="46"/>
  <c r="F14" i="46"/>
  <c r="F15" i="46"/>
  <c r="F16" i="46"/>
  <c r="F17" i="46"/>
  <c r="F18" i="46"/>
  <c r="F19" i="46"/>
  <c r="F20" i="46"/>
  <c r="F21" i="46"/>
  <c r="F22" i="46"/>
  <c r="F23" i="46"/>
  <c r="F24" i="46"/>
  <c r="F25" i="46"/>
  <c r="F26" i="46"/>
  <c r="F27" i="46"/>
  <c r="F28" i="46"/>
  <c r="F29" i="46"/>
  <c r="F30" i="46"/>
  <c r="F31" i="46"/>
  <c r="F7" i="46"/>
  <c r="N7" i="46"/>
  <c r="N6" i="46"/>
  <c r="N5" i="46"/>
  <c r="N7" i="45"/>
  <c r="N6" i="45"/>
  <c r="E22" i="45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8" i="45"/>
  <c r="F9" i="45"/>
  <c r="F10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F8" i="45"/>
  <c r="E14" i="44"/>
  <c r="G9" i="44"/>
  <c r="G10" i="44"/>
  <c r="G11" i="44"/>
  <c r="G12" i="44"/>
  <c r="G13" i="44"/>
  <c r="G14" i="44"/>
  <c r="G8" i="44"/>
  <c r="F9" i="44"/>
  <c r="F10" i="44"/>
  <c r="F11" i="44"/>
  <c r="F12" i="44"/>
  <c r="F13" i="44"/>
  <c r="F14" i="44"/>
  <c r="F8" i="44"/>
  <c r="E16" i="43"/>
  <c r="G9" i="43"/>
  <c r="G10" i="43"/>
  <c r="G11" i="43"/>
  <c r="G12" i="43"/>
  <c r="G13" i="43"/>
  <c r="G14" i="43"/>
  <c r="G15" i="43"/>
  <c r="G16" i="43"/>
  <c r="G8" i="43"/>
  <c r="F9" i="43"/>
  <c r="F10" i="43"/>
  <c r="F11" i="43"/>
  <c r="F12" i="43"/>
  <c r="F13" i="43"/>
  <c r="F14" i="43"/>
  <c r="F15" i="43"/>
  <c r="F16" i="43"/>
  <c r="F8" i="43"/>
  <c r="E16" i="42"/>
  <c r="G9" i="42"/>
  <c r="G10" i="42"/>
  <c r="G11" i="42"/>
  <c r="G12" i="42"/>
  <c r="G13" i="42"/>
  <c r="G14" i="42"/>
  <c r="G15" i="42"/>
  <c r="G16" i="42"/>
  <c r="G8" i="42"/>
  <c r="F9" i="42"/>
  <c r="F10" i="42"/>
  <c r="F11" i="42"/>
  <c r="F12" i="42"/>
  <c r="F13" i="42"/>
  <c r="F14" i="42"/>
  <c r="F15" i="42"/>
  <c r="F16" i="42"/>
  <c r="F8" i="42"/>
  <c r="H55" i="1"/>
  <c r="G5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4" i="1"/>
  <c r="E12" i="41"/>
  <c r="G7" i="41"/>
  <c r="G8" i="41"/>
  <c r="G9" i="41"/>
  <c r="G10" i="41"/>
  <c r="G11" i="41"/>
  <c r="G12" i="41"/>
  <c r="G6" i="41"/>
  <c r="F7" i="41"/>
  <c r="F8" i="41"/>
  <c r="F9" i="41"/>
  <c r="F10" i="41"/>
  <c r="F11" i="41"/>
  <c r="F12" i="41"/>
  <c r="F6" i="41"/>
  <c r="N5" i="40"/>
  <c r="N4" i="40"/>
  <c r="E22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6" i="40"/>
  <c r="F7" i="40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1" i="40"/>
  <c r="F22" i="40"/>
  <c r="F6" i="40"/>
  <c r="E9" i="39"/>
  <c r="G7" i="39"/>
  <c r="G8" i="39"/>
  <c r="G9" i="39"/>
  <c r="G6" i="39"/>
  <c r="F7" i="39"/>
  <c r="F8" i="39"/>
  <c r="F9" i="39"/>
  <c r="F6" i="39"/>
  <c r="G6" i="38"/>
  <c r="F6" i="38"/>
  <c r="E23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7" i="36"/>
  <c r="N6" i="36"/>
  <c r="N5" i="36"/>
  <c r="N6" i="35"/>
  <c r="N5" i="35"/>
  <c r="E22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7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7" i="35"/>
  <c r="N8" i="34"/>
  <c r="N7" i="34"/>
  <c r="N6" i="34"/>
  <c r="N5" i="34"/>
  <c r="E31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7" i="34"/>
  <c r="E14" i="32"/>
  <c r="G9" i="32"/>
  <c r="G10" i="32"/>
  <c r="G11" i="32"/>
  <c r="G12" i="32"/>
  <c r="G13" i="32"/>
  <c r="G14" i="32"/>
  <c r="G8" i="32"/>
  <c r="F9" i="32"/>
  <c r="F10" i="32"/>
  <c r="F11" i="32"/>
  <c r="F12" i="32"/>
  <c r="F13" i="32"/>
  <c r="F14" i="32"/>
  <c r="F8" i="32"/>
  <c r="E13" i="31"/>
  <c r="G9" i="31"/>
  <c r="G10" i="31"/>
  <c r="G11" i="31"/>
  <c r="G12" i="31"/>
  <c r="G13" i="31"/>
  <c r="G8" i="31"/>
  <c r="F9" i="31"/>
  <c r="F10" i="31"/>
  <c r="F11" i="31"/>
  <c r="F12" i="31"/>
  <c r="F13" i="31"/>
  <c r="F8" i="31"/>
  <c r="N7" i="30"/>
  <c r="N6" i="30"/>
  <c r="E22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8" i="30"/>
  <c r="G7" i="29"/>
  <c r="F7" i="29"/>
  <c r="N12" i="28"/>
  <c r="N11" i="28"/>
  <c r="N10" i="28"/>
  <c r="N9" i="28"/>
  <c r="N8" i="28"/>
  <c r="N7" i="28"/>
  <c r="N6" i="28"/>
  <c r="N5" i="28"/>
  <c r="E63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7" i="28"/>
  <c r="E14" i="27"/>
  <c r="G8" i="27"/>
  <c r="G9" i="27"/>
  <c r="G10" i="27"/>
  <c r="G11" i="27"/>
  <c r="G12" i="27"/>
  <c r="G13" i="27"/>
  <c r="G14" i="27"/>
  <c r="G7" i="27"/>
  <c r="F8" i="27"/>
  <c r="F9" i="27"/>
  <c r="F10" i="27"/>
  <c r="F11" i="27"/>
  <c r="F12" i="27"/>
  <c r="F13" i="27"/>
  <c r="F14" i="27"/>
  <c r="F7" i="27"/>
  <c r="E17" i="26"/>
  <c r="G8" i="26"/>
  <c r="G9" i="26"/>
  <c r="G10" i="26"/>
  <c r="G11" i="26"/>
  <c r="G12" i="26"/>
  <c r="G13" i="26"/>
  <c r="G14" i="26"/>
  <c r="G15" i="26"/>
  <c r="G16" i="26"/>
  <c r="G17" i="26"/>
  <c r="G7" i="26"/>
  <c r="F8" i="26"/>
  <c r="F9" i="26"/>
  <c r="F10" i="26"/>
  <c r="F11" i="26"/>
  <c r="F12" i="26"/>
  <c r="F13" i="26"/>
  <c r="F14" i="26"/>
  <c r="F15" i="26"/>
  <c r="F16" i="26"/>
  <c r="F17" i="26"/>
  <c r="F7" i="26"/>
  <c r="O10" i="4"/>
  <c r="O9" i="4"/>
  <c r="O8" i="4"/>
  <c r="E29" i="4"/>
  <c r="G29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7" i="4"/>
  <c r="E15" i="25"/>
  <c r="G8" i="25"/>
  <c r="G9" i="25"/>
  <c r="G10" i="25"/>
  <c r="G11" i="25"/>
  <c r="G12" i="25"/>
  <c r="G13" i="25"/>
  <c r="G14" i="25"/>
  <c r="G15" i="25"/>
  <c r="G7" i="25"/>
  <c r="F8" i="25"/>
  <c r="F9" i="25"/>
  <c r="F10" i="25"/>
  <c r="F11" i="25"/>
  <c r="F12" i="25"/>
  <c r="F13" i="25"/>
  <c r="F14" i="25"/>
  <c r="F15" i="25"/>
  <c r="F7" i="25"/>
  <c r="E28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7" i="24"/>
  <c r="N7" i="24"/>
  <c r="N6" i="24"/>
  <c r="N5" i="24"/>
  <c r="N8" i="23"/>
  <c r="N7" i="23"/>
  <c r="N6" i="23"/>
  <c r="N5" i="23"/>
  <c r="E35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7" i="23"/>
  <c r="N7" i="22"/>
  <c r="N6" i="22"/>
  <c r="N5" i="22"/>
  <c r="E23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7" i="22"/>
  <c r="E12" i="21"/>
  <c r="G8" i="21"/>
  <c r="G9" i="21"/>
  <c r="G10" i="21"/>
  <c r="G11" i="21"/>
  <c r="G12" i="21"/>
  <c r="G7" i="21"/>
  <c r="F8" i="21"/>
  <c r="F9" i="21"/>
  <c r="F10" i="21"/>
  <c r="F11" i="21"/>
  <c r="F12" i="21"/>
  <c r="F7" i="21"/>
  <c r="N7" i="20"/>
  <c r="N6" i="20"/>
  <c r="E16" i="20"/>
  <c r="G9" i="20"/>
  <c r="G10" i="20"/>
  <c r="G11" i="20"/>
  <c r="G12" i="20"/>
  <c r="G13" i="20"/>
  <c r="G14" i="20"/>
  <c r="G15" i="20"/>
  <c r="G16" i="20"/>
  <c r="G8" i="20"/>
  <c r="F9" i="20"/>
  <c r="F10" i="20"/>
  <c r="F11" i="20"/>
  <c r="F12" i="20"/>
  <c r="F13" i="20"/>
  <c r="F14" i="20"/>
  <c r="F15" i="20"/>
  <c r="F16" i="20"/>
  <c r="F8" i="20"/>
  <c r="N8" i="19"/>
  <c r="N7" i="19"/>
  <c r="N6" i="19"/>
  <c r="E26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8" i="19"/>
  <c r="N8" i="7"/>
  <c r="N7" i="7"/>
  <c r="N6" i="7"/>
  <c r="N5" i="7"/>
  <c r="E31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7" i="7"/>
  <c r="E13" i="18"/>
  <c r="G8" i="18"/>
  <c r="G9" i="18"/>
  <c r="G10" i="18"/>
  <c r="G11" i="18"/>
  <c r="G12" i="18"/>
  <c r="G13" i="18"/>
  <c r="G7" i="18"/>
  <c r="F8" i="18"/>
  <c r="F9" i="18"/>
  <c r="F10" i="18"/>
  <c r="F11" i="18"/>
  <c r="F12" i="18"/>
  <c r="F13" i="18"/>
  <c r="F7" i="18"/>
  <c r="N7" i="17"/>
  <c r="N6" i="17"/>
  <c r="N5" i="17"/>
  <c r="E24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7" i="17"/>
  <c r="E20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7" i="16"/>
  <c r="N6" i="16"/>
  <c r="N5" i="16"/>
  <c r="E15" i="15"/>
  <c r="G8" i="15"/>
  <c r="G9" i="15"/>
  <c r="G10" i="15"/>
  <c r="G11" i="15"/>
  <c r="G12" i="15"/>
  <c r="G13" i="15"/>
  <c r="G14" i="15"/>
  <c r="G15" i="15"/>
  <c r="G7" i="15"/>
  <c r="F8" i="15"/>
  <c r="F9" i="15"/>
  <c r="F10" i="15"/>
  <c r="F11" i="15"/>
  <c r="F12" i="15"/>
  <c r="F13" i="15"/>
  <c r="F14" i="15"/>
  <c r="F15" i="15"/>
  <c r="F7" i="15"/>
  <c r="E13" i="14"/>
  <c r="G8" i="14"/>
  <c r="G9" i="14"/>
  <c r="G10" i="14"/>
  <c r="G11" i="14"/>
  <c r="G12" i="14"/>
  <c r="G13" i="14"/>
  <c r="G7" i="14"/>
  <c r="F8" i="14"/>
  <c r="F9" i="14"/>
  <c r="F10" i="14"/>
  <c r="F11" i="14"/>
  <c r="F12" i="14"/>
  <c r="F13" i="14"/>
  <c r="F7" i="14"/>
  <c r="N6" i="13"/>
  <c r="N5" i="13"/>
  <c r="E18" i="13"/>
  <c r="G8" i="13"/>
  <c r="G9" i="13"/>
  <c r="G10" i="13"/>
  <c r="G11" i="13"/>
  <c r="G12" i="13"/>
  <c r="G13" i="13"/>
  <c r="G14" i="13"/>
  <c r="G15" i="13"/>
  <c r="G16" i="13"/>
  <c r="G17" i="13"/>
  <c r="G18" i="13"/>
  <c r="G7" i="13"/>
  <c r="F8" i="13"/>
  <c r="F9" i="13"/>
  <c r="F10" i="13"/>
  <c r="F11" i="13"/>
  <c r="F12" i="13"/>
  <c r="F13" i="13"/>
  <c r="F14" i="13"/>
  <c r="F15" i="13"/>
  <c r="F16" i="13"/>
  <c r="F17" i="13"/>
  <c r="F18" i="13"/>
  <c r="F7" i="13"/>
  <c r="N6" i="12"/>
  <c r="N5" i="12"/>
  <c r="E19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7" i="12"/>
  <c r="N6" i="11"/>
  <c r="N5" i="11"/>
  <c r="E23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7" i="11"/>
  <c r="N6" i="10"/>
  <c r="N7" i="10"/>
  <c r="N5" i="10"/>
  <c r="E25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7" i="10"/>
  <c r="E15" i="9"/>
  <c r="G8" i="9"/>
  <c r="G9" i="9"/>
  <c r="G10" i="9"/>
  <c r="G11" i="9"/>
  <c r="G12" i="9"/>
  <c r="G13" i="9"/>
  <c r="G14" i="9"/>
  <c r="G15" i="9"/>
  <c r="G7" i="9"/>
  <c r="F8" i="9"/>
  <c r="F9" i="9"/>
  <c r="F10" i="9"/>
  <c r="F11" i="9"/>
  <c r="F12" i="9"/>
  <c r="F13" i="9"/>
  <c r="F14" i="9"/>
  <c r="F15" i="9"/>
  <c r="F7" i="9"/>
  <c r="N7" i="8"/>
  <c r="N8" i="8"/>
  <c r="N6" i="8"/>
  <c r="E27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8" i="8"/>
  <c r="N6" i="6"/>
  <c r="N5" i="6"/>
  <c r="E21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7" i="6"/>
  <c r="E12" i="5"/>
  <c r="G8" i="5"/>
  <c r="G9" i="5"/>
  <c r="G10" i="5"/>
  <c r="G11" i="5"/>
  <c r="G12" i="5"/>
  <c r="G7" i="5"/>
  <c r="F8" i="5"/>
  <c r="F9" i="5"/>
  <c r="F10" i="5"/>
  <c r="F11" i="5"/>
  <c r="F12" i="5"/>
  <c r="F7" i="5"/>
</calcChain>
</file>

<file path=xl/sharedStrings.xml><?xml version="1.0" encoding="utf-8"?>
<sst xmlns="http://schemas.openxmlformats.org/spreadsheetml/2006/main" count="2581" uniqueCount="942">
  <si>
    <t>No</t>
  </si>
  <si>
    <t>Area Sales</t>
  </si>
  <si>
    <t xml:space="preserve">Status </t>
  </si>
  <si>
    <t>TARGET</t>
  </si>
  <si>
    <t>CA</t>
  </si>
  <si>
    <t>MINUS/PLUS</t>
  </si>
  <si>
    <t>%</t>
  </si>
  <si>
    <t>NO</t>
  </si>
  <si>
    <t>AREA</t>
  </si>
  <si>
    <t>NAMA TIM</t>
  </si>
  <si>
    <t>TOTAL DS</t>
  </si>
  <si>
    <t>BEST DS</t>
  </si>
  <si>
    <t>NAMA SALES</t>
  </si>
  <si>
    <t>KOTA</t>
  </si>
  <si>
    <t>BEST SPV</t>
  </si>
  <si>
    <t>NAMA SPV</t>
  </si>
  <si>
    <t>Regional Head = Benni Novensus</t>
  </si>
  <si>
    <t>Sub Regional = Barlian Purba</t>
  </si>
  <si>
    <t>Sales Manager = Sulaiman Perjuangan Hulu</t>
  </si>
  <si>
    <t>NO.</t>
  </si>
  <si>
    <t>NAMA DS</t>
  </si>
  <si>
    <t>Grade</t>
  </si>
  <si>
    <t>Target</t>
  </si>
  <si>
    <t>Sales</t>
  </si>
  <si>
    <t>Minus/plus</t>
  </si>
  <si>
    <t>Regional Head = Anna Niken</t>
  </si>
  <si>
    <t>Sales Manager = Kadek Oka Sanjaya</t>
  </si>
  <si>
    <t>Moh Sadam Putra</t>
  </si>
  <si>
    <t>SPV</t>
  </si>
  <si>
    <t>Romi Andri Yudha</t>
  </si>
  <si>
    <t>DS</t>
  </si>
  <si>
    <t>I Gusti Ngurah Sedana Yukti SH</t>
  </si>
  <si>
    <t>I Ketut Alit Adi Jaya Saputra</t>
  </si>
  <si>
    <t>Faris Abdullah Syafei</t>
  </si>
  <si>
    <t>TOTAL</t>
  </si>
  <si>
    <t>Jimmi Kurniawan</t>
  </si>
  <si>
    <t>Heri Susanto</t>
  </si>
  <si>
    <t>I Putu Nova Eka Swastika</t>
  </si>
  <si>
    <t>Wiji Astuti</t>
  </si>
  <si>
    <t>Novalia Ziantika</t>
  </si>
  <si>
    <t>Dewa ayu Made Puspa Priani putri</t>
  </si>
  <si>
    <t>I Putu Eka Parwata</t>
  </si>
  <si>
    <t>Ahmad Syukron Aini</t>
  </si>
  <si>
    <t>I Gede Candra Permana Putra Wibawa</t>
  </si>
  <si>
    <t>Kristin Prihatini</t>
  </si>
  <si>
    <t>Linda Yas'a</t>
  </si>
  <si>
    <t>Ni Kadek Dwi Sucitrawati</t>
  </si>
  <si>
    <t>Mido David Ananda Firdaus</t>
  </si>
  <si>
    <t>I Gede Eko Adi Suadnyana</t>
  </si>
  <si>
    <t>TIM JIMMI KURNIAWAN</t>
  </si>
  <si>
    <t>TIM I GEDE CANDRA</t>
  </si>
  <si>
    <t>Regional Head = Susanto</t>
  </si>
  <si>
    <t>Sales Manager = Gunawan Soeprapto</t>
  </si>
  <si>
    <t>THERESIA OKTAVIA</t>
  </si>
  <si>
    <t>SAFII</t>
  </si>
  <si>
    <t>MUHAMAD IKSAN</t>
  </si>
  <si>
    <t>MATIAS NOPRYANTO RAUNGKU</t>
  </si>
  <si>
    <t>ANDEG LALA</t>
  </si>
  <si>
    <t>MIRA SUKMA DEWI ISKANDAR PUTRI</t>
  </si>
  <si>
    <t>DEMISA ZAI</t>
  </si>
  <si>
    <t>NOVI EFENDI</t>
  </si>
  <si>
    <t>NUR HIDAYAT SULISTYA</t>
  </si>
  <si>
    <t>CHARISMA PRIYA PURNOMO</t>
  </si>
  <si>
    <t>ESTHI NUGROHO DEWI</t>
  </si>
  <si>
    <t>MARYADI</t>
  </si>
  <si>
    <t>JULES SJARIF PARMONANGAN</t>
  </si>
  <si>
    <t xml:space="preserve">SUMARYADI </t>
  </si>
  <si>
    <t>AHLISH HIDAYATULLOH</t>
  </si>
  <si>
    <t>YOGI PUTRO WASKITO</t>
  </si>
  <si>
    <t>ARIS KURNIANTORO</t>
  </si>
  <si>
    <t>RORI PUJI ASTUTI</t>
  </si>
  <si>
    <t>DINA LISTIANA</t>
  </si>
  <si>
    <t>TIM THERESIA</t>
  </si>
  <si>
    <t>TIM NOVI EFENDI</t>
  </si>
  <si>
    <t>TIM SUMARYADI</t>
  </si>
  <si>
    <t>Muammal Iqbal</t>
  </si>
  <si>
    <t>Fendi Yuliyanto</t>
  </si>
  <si>
    <t>Hariyanto</t>
  </si>
  <si>
    <t>Beastrice Arum Sekarwangi</t>
  </si>
  <si>
    <t>Salsa Nur Fitria</t>
  </si>
  <si>
    <t>Agus Subyantoro</t>
  </si>
  <si>
    <t>Catur Setiyadi</t>
  </si>
  <si>
    <t>Achmad Saiful Hadi</t>
  </si>
  <si>
    <t>Sub Regional Head = Hilman Rony</t>
  </si>
  <si>
    <t>Sales Manager = Ihsan Chairul Fahmi</t>
  </si>
  <si>
    <t>Lusy Krisbiyanti</t>
  </si>
  <si>
    <t>Ujang Yanto Priyanto</t>
  </si>
  <si>
    <t>Yuyun Nugraha</t>
  </si>
  <si>
    <t>Kris Ardianto</t>
  </si>
  <si>
    <t>Sachir Adam Nurba</t>
  </si>
  <si>
    <t>Dindin Solehudin</t>
  </si>
  <si>
    <t>Ipan Sopyan</t>
  </si>
  <si>
    <t>Yulius Hilman</t>
  </si>
  <si>
    <t>Deny Irawan</t>
  </si>
  <si>
    <t>Adi Suryadi</t>
  </si>
  <si>
    <t>Herdin Budiawan</t>
  </si>
  <si>
    <t>Aditya Abdul Muhyi</t>
  </si>
  <si>
    <t>Nanang Supriatna</t>
  </si>
  <si>
    <t>Angga Merdiana</t>
  </si>
  <si>
    <t>Mahmud</t>
  </si>
  <si>
    <t>Ahmad Arif Satriono</t>
  </si>
  <si>
    <t>Deri Kusdiana</t>
  </si>
  <si>
    <t>Yeni Hardiyani</t>
  </si>
  <si>
    <t>TIM IPAN SOPYAN</t>
  </si>
  <si>
    <t>TIM NANANG SUPRIATNA</t>
  </si>
  <si>
    <t>TIM LUSY KRISBIYANTI</t>
  </si>
  <si>
    <t>Agnes Jatnika</t>
  </si>
  <si>
    <t>Insan Saeful Anwar</t>
  </si>
  <si>
    <t>Fuji Firmansyah Saputra</t>
  </si>
  <si>
    <t>Pizki Astrid Desianti</t>
  </si>
  <si>
    <t>Iwan Setiawan</t>
  </si>
  <si>
    <t>Eky Al Faruky Mukti</t>
  </si>
  <si>
    <t>Agus Sutedi</t>
  </si>
  <si>
    <t>Mochammad Rangga Nugraha Saputra</t>
  </si>
  <si>
    <t>Osa Usman Rusmana</t>
  </si>
  <si>
    <t>Sandi Rustandi</t>
  </si>
  <si>
    <t>Santi Mulyanti</t>
  </si>
  <si>
    <t>Ega Imam Syuhada</t>
  </si>
  <si>
    <t>Eka Kartika</t>
  </si>
  <si>
    <t>Mulyamin Aziz</t>
  </si>
  <si>
    <t>Dudi Kusmayadi</t>
  </si>
  <si>
    <t>Atin Sumiati</t>
  </si>
  <si>
    <t>TIM AGNES JATNIKA</t>
  </si>
  <si>
    <t>TIM OSA USMAN</t>
  </si>
  <si>
    <t>Heri Nurdin J</t>
  </si>
  <si>
    <t>Dede Duhan</t>
  </si>
  <si>
    <t>Dimas Kurnia Asprilla</t>
  </si>
  <si>
    <t>Akbar Pranoto Wibowo</t>
  </si>
  <si>
    <t>Dadang Mulyana</t>
  </si>
  <si>
    <t>Zhehan Thansaharyana</t>
  </si>
  <si>
    <t>Sukma Permana Kusumah</t>
  </si>
  <si>
    <t>Hendra Irawan</t>
  </si>
  <si>
    <t>Didi Junaedi</t>
  </si>
  <si>
    <t>Jopi Safari</t>
  </si>
  <si>
    <t>Sopyan Maulana</t>
  </si>
  <si>
    <t>Yadi Indra Rahmawan</t>
  </si>
  <si>
    <t>TIM HERI NURDIN</t>
  </si>
  <si>
    <t>TIM SUKMA PERMANA KUSUMAH</t>
  </si>
  <si>
    <t>Joni M. Fajar</t>
  </si>
  <si>
    <t>Iki Muhammad Rizky</t>
  </si>
  <si>
    <t>Iman Sulaiman</t>
  </si>
  <si>
    <t>Yudi Saripudin</t>
  </si>
  <si>
    <t>Sonny Wisnu Wardhana</t>
  </si>
  <si>
    <t>Andi Martono Rio</t>
  </si>
  <si>
    <t>Hendra Darmawan</t>
  </si>
  <si>
    <t>Deni Kurniawan</t>
  </si>
  <si>
    <t>Yeni Sri Ismiati</t>
  </si>
  <si>
    <t>Arief Rachman Hakim</t>
  </si>
  <si>
    <t>Zidane Muhammad</t>
  </si>
  <si>
    <t>TIM JONI MFAJAR</t>
  </si>
  <si>
    <t>TIM HENDRA DARMAWAN</t>
  </si>
  <si>
    <t>Rendra Dudia Sugara, S.T</t>
  </si>
  <si>
    <t>Benny Hendra Buana</t>
  </si>
  <si>
    <t>Fikri Aditya Juliansyah, S.Pt</t>
  </si>
  <si>
    <t>Evan roswandi</t>
  </si>
  <si>
    <t>Nanan setiawan</t>
  </si>
  <si>
    <t>Nurhasim</t>
  </si>
  <si>
    <t>Achmadun Sukma Nuraga</t>
  </si>
  <si>
    <t>Muchamad Haerudin</t>
  </si>
  <si>
    <t>Arifin</t>
  </si>
  <si>
    <t>Sophan Soleh</t>
  </si>
  <si>
    <t>Edi Sudrajat</t>
  </si>
  <si>
    <t>Tri Wahyono</t>
  </si>
  <si>
    <t>Teguh Riadi</t>
  </si>
  <si>
    <t>Haripriono</t>
  </si>
  <si>
    <t>Sub Regional Head = Arya Adithya Kurnia</t>
  </si>
  <si>
    <t>Sales Manager = Septian Dwi Nugraha</t>
  </si>
  <si>
    <t>MASHUDI</t>
  </si>
  <si>
    <t>Hendrik Prasetyo</t>
  </si>
  <si>
    <t>Rizky Akbarudin</t>
  </si>
  <si>
    <t>Firdaus Koban</t>
  </si>
  <si>
    <t>Fatah Huya Alim</t>
  </si>
  <si>
    <t>Catur Setyawati</t>
  </si>
  <si>
    <t>ANUGRAH CAHYO WARDIYANTANTO</t>
  </si>
  <si>
    <t>Mega Kristiawan</t>
  </si>
  <si>
    <t>Ahmad Mustofa Habib</t>
  </si>
  <si>
    <t>Yonatan Nurwidiastoni</t>
  </si>
  <si>
    <t>Diah Perdana Yulianingrum</t>
  </si>
  <si>
    <t>Sigit Fendian Oktavianto</t>
  </si>
  <si>
    <t>Multazam Bariklana</t>
  </si>
  <si>
    <t>TIM MASHUDI</t>
  </si>
  <si>
    <t>TIM ANUGRAH VAHYO</t>
  </si>
  <si>
    <t>AGUNG SUGIARTO</t>
  </si>
  <si>
    <t>Ahsanul Khuluk</t>
  </si>
  <si>
    <t>Anita Noviani</t>
  </si>
  <si>
    <t xml:space="preserve">Septi Prima Aretha </t>
  </si>
  <si>
    <t>Hendra</t>
  </si>
  <si>
    <t>Choirus Sakdiyah</t>
  </si>
  <si>
    <t>DIKA CATUR SUSILO</t>
  </si>
  <si>
    <t xml:space="preserve">Muhammad Afifuddin </t>
  </si>
  <si>
    <t>Fahmi Fathoni</t>
  </si>
  <si>
    <t>Puput Marlinawati</t>
  </si>
  <si>
    <t>Agus Imam Sugiarto</t>
  </si>
  <si>
    <t>Angga Erwanto</t>
  </si>
  <si>
    <t>DANANG SETYAWAN</t>
  </si>
  <si>
    <t>Mohamad Samsuri</t>
  </si>
  <si>
    <t>Khofsah Noor</t>
  </si>
  <si>
    <t>Muhammad Abdul Mukid</t>
  </si>
  <si>
    <t>Rizky Beta Kurniawan</t>
  </si>
  <si>
    <t>TIM AGUNG SUGIARTO</t>
  </si>
  <si>
    <t>TIM DIKA CATUR</t>
  </si>
  <si>
    <t>TIM DANANG SETYAWAN</t>
  </si>
  <si>
    <t>Rizky Rimayandi Oktiawan</t>
  </si>
  <si>
    <t>Ragil Yusuf Setiawan</t>
  </si>
  <si>
    <t>Andika Pramudya</t>
  </si>
  <si>
    <t>Tubagus Akhmad Syahfuly</t>
  </si>
  <si>
    <t>Nia Nidawati</t>
  </si>
  <si>
    <t>Sahat Immanuel</t>
  </si>
  <si>
    <t>Sales Manager = Wahyu Dwi Ratna</t>
  </si>
  <si>
    <t>ANSI PUTRI LORENZA</t>
  </si>
  <si>
    <t>MARIA AVIANTI</t>
  </si>
  <si>
    <t>ANTIK SULISTYOWATI</t>
  </si>
  <si>
    <t>SUGIYONO</t>
  </si>
  <si>
    <t>RAHMA PRASETYAWATI</t>
  </si>
  <si>
    <t>FIRMAN EFENDI</t>
  </si>
  <si>
    <t>HENDRIK YANTO</t>
  </si>
  <si>
    <t>GUGUT JULI PRAYITNO</t>
  </si>
  <si>
    <t>JOKO BINTORO</t>
  </si>
  <si>
    <t>IMAM MULADI</t>
  </si>
  <si>
    <t>AWAN AFANOVA</t>
  </si>
  <si>
    <t>SUSILO</t>
  </si>
  <si>
    <t>PONCO SULISTIYONO</t>
  </si>
  <si>
    <t>MIFTAH HASBI HARIRI</t>
  </si>
  <si>
    <t>RYAN PRAMASDA PUTRA</t>
  </si>
  <si>
    <t>SISWANTI</t>
  </si>
  <si>
    <t>ARDIANTO ARIF PRAMONO</t>
  </si>
  <si>
    <t>DODY WAHYU PRANOTO, SE</t>
  </si>
  <si>
    <t>YOHAN MARINSAGA</t>
  </si>
  <si>
    <t>IVAN AZLAN</t>
  </si>
  <si>
    <t>BUDI KRISTIAWAN</t>
  </si>
  <si>
    <t>ARADHEA NATA HERMIYANTO</t>
  </si>
  <si>
    <t>MUHAMMAD RAFI NURSATRIYA</t>
  </si>
  <si>
    <t>YUNIAR KUSUMAWARDANI</t>
  </si>
  <si>
    <t>TIM ANSI PUTRI</t>
  </si>
  <si>
    <t>TIM GUGUT JULI</t>
  </si>
  <si>
    <t>TIM MIFTA HASBI</t>
  </si>
  <si>
    <t>TIM IVAN AZLAN</t>
  </si>
  <si>
    <t>Sales Manager = Dede Regdimas Pangemanan</t>
  </si>
  <si>
    <t>Agus Widodo</t>
  </si>
  <si>
    <t>Anggia Ikma Dewi</t>
  </si>
  <si>
    <t>Hendri Listiono</t>
  </si>
  <si>
    <t>Sarwoto</t>
  </si>
  <si>
    <t>Ilham Pristiwa Inka</t>
  </si>
  <si>
    <t>Heru Hermanto</t>
  </si>
  <si>
    <t>Bayu Pambudi</t>
  </si>
  <si>
    <t>Aji Prayoga</t>
  </si>
  <si>
    <t>Sherenita Trias Yuliana</t>
  </si>
  <si>
    <t>Pandu Dwi Kusuma</t>
  </si>
  <si>
    <t>Yoman Harsedila</t>
  </si>
  <si>
    <t>Titis Febria Pambela</t>
  </si>
  <si>
    <t>Linda Pangestika</t>
  </si>
  <si>
    <t>Titik Puspitasari</t>
  </si>
  <si>
    <t>Amelia Rahma Dewi</t>
  </si>
  <si>
    <t>Lukis Rucira Arundati</t>
  </si>
  <si>
    <t>Wisnu Angga Kurniawan</t>
  </si>
  <si>
    <t>Retas Rizky Akbar</t>
  </si>
  <si>
    <t>TIM AGUS  WIDODO</t>
  </si>
  <si>
    <t>TIM BAYU BAYU PAMBUDI</t>
  </si>
  <si>
    <t>TIM LINDA PANGESTIKA</t>
  </si>
  <si>
    <t>Donny Dharmawan</t>
  </si>
  <si>
    <t>Slamet Arifin</t>
  </si>
  <si>
    <t>Saeful Aziz</t>
  </si>
  <si>
    <t>Solihat Sobari</t>
  </si>
  <si>
    <t>Roisul Anam</t>
  </si>
  <si>
    <t>Teguh Prihanto</t>
  </si>
  <si>
    <t>Ahmad Rubianto</t>
  </si>
  <si>
    <t>Buiman</t>
  </si>
  <si>
    <t>TIM DONNY</t>
  </si>
  <si>
    <t xml:space="preserve">TANPA SPV </t>
  </si>
  <si>
    <t>Suhendi</t>
  </si>
  <si>
    <t>Bayu Tri Raharjo</t>
  </si>
  <si>
    <t>Sudiro</t>
  </si>
  <si>
    <t>Amin Setiawan</t>
  </si>
  <si>
    <t>Fajar Maulana</t>
  </si>
  <si>
    <t>Prastika Wigatining Pangestuti</t>
  </si>
  <si>
    <t>Hamzah Fahmi</t>
  </si>
  <si>
    <t>Hijrah Sabila</t>
  </si>
  <si>
    <t>Aan Yuliyanto</t>
  </si>
  <si>
    <t>Eko Krismanto</t>
  </si>
  <si>
    <t>Hengki Surya Eka Putra</t>
  </si>
  <si>
    <t>Lathif Muttaqin</t>
  </si>
  <si>
    <t>Khadziqul Humam Munfi</t>
  </si>
  <si>
    <t>Fauzan Maulana Adi</t>
  </si>
  <si>
    <t>Feriyanto</t>
  </si>
  <si>
    <t>Taroip</t>
  </si>
  <si>
    <t>Mita Lestari</t>
  </si>
  <si>
    <t>Panji Aditya Nugroho</t>
  </si>
  <si>
    <t>Hafid Alwi Pratama</t>
  </si>
  <si>
    <t>Yayang Apriyanto</t>
  </si>
  <si>
    <t>Muhammad Rizqy</t>
  </si>
  <si>
    <t>TIM PRASTIKA</t>
  </si>
  <si>
    <t>TIM LATHIF</t>
  </si>
  <si>
    <t>Sales Manager = Asri Lusiana Sagala</t>
  </si>
  <si>
    <t>Santoso Nainggolan</t>
  </si>
  <si>
    <t xml:space="preserve"> SPV</t>
  </si>
  <si>
    <t>Santo Yahya Purba</t>
  </si>
  <si>
    <t>Ibbe Arfiah Ambarita</t>
  </si>
  <si>
    <t>Rokhayati BT Wain</t>
  </si>
  <si>
    <t>Mayor Louis Enrique</t>
  </si>
  <si>
    <t>Leo Hermansyah</t>
  </si>
  <si>
    <t>Hendrik Pandapotan</t>
  </si>
  <si>
    <t>Dimposma Hutagalung</t>
  </si>
  <si>
    <t>Rosyid Hidayatullah</t>
  </si>
  <si>
    <t>Julietta Winar Pasha</t>
  </si>
  <si>
    <t>Lely Meyana</t>
  </si>
  <si>
    <t>Suriati T.Situmeang</t>
  </si>
  <si>
    <t>Rani Martina Samosir</t>
  </si>
  <si>
    <t>Faiz Zakaria</t>
  </si>
  <si>
    <t>Rehan Apriandra</t>
  </si>
  <si>
    <t>Alvin Jon Raya S</t>
  </si>
  <si>
    <t>Hinando Praya Saragih</t>
  </si>
  <si>
    <t>Daniel Toni Sagala</t>
  </si>
  <si>
    <t>Irwanto</t>
  </si>
  <si>
    <t>Nia Sapriyanti Wulandari</t>
  </si>
  <si>
    <t>Nurul Alya Pertiwi</t>
  </si>
  <si>
    <t>Krisdania Simamora</t>
  </si>
  <si>
    <t>Daniel Parlindungan</t>
  </si>
  <si>
    <t>Nova Febrianti</t>
  </si>
  <si>
    <t>Juwisri Mariati Simanjuntak</t>
  </si>
  <si>
    <t>Maryanti Manalu</t>
  </si>
  <si>
    <t>Musa</t>
  </si>
  <si>
    <t>Lewi Indriyani Panggabean</t>
  </si>
  <si>
    <t>TIM SANTOSO NAINGGOLAN</t>
  </si>
  <si>
    <t>TIM DIMPOSMA HUTAGALUNG</t>
  </si>
  <si>
    <t>TIM ALVIN JON R</t>
  </si>
  <si>
    <t>TIM IRWAN PANJAITAN</t>
  </si>
  <si>
    <t>TIM DANIEL PARLINDUNGAN</t>
  </si>
  <si>
    <t xml:space="preserve">TOTAL </t>
  </si>
  <si>
    <t>Irwan Panjaitan</t>
  </si>
  <si>
    <t>Ninton Silitonga</t>
  </si>
  <si>
    <t>Deliah Erfaniah</t>
  </si>
  <si>
    <t>Muhamad Rifki Anugrah</t>
  </si>
  <si>
    <t>Muhammad Sirhan</t>
  </si>
  <si>
    <t>Devi Leni Chrisna</t>
  </si>
  <si>
    <t>Brain Haraja Togas</t>
  </si>
  <si>
    <t>Melyana Samosir</t>
  </si>
  <si>
    <t>Delima Sihotang</t>
  </si>
  <si>
    <t>Nanda Amalia Febriani</t>
  </si>
  <si>
    <t>Fitrianingsih Siregar</t>
  </si>
  <si>
    <t>Haryanti</t>
  </si>
  <si>
    <t>Gresintia Samosir</t>
  </si>
  <si>
    <t>Abdul zaki</t>
  </si>
  <si>
    <t>Lingga anugrah</t>
  </si>
  <si>
    <t>Muhammad Rifal</t>
  </si>
  <si>
    <t>Nurul Fitri</t>
  </si>
  <si>
    <t>Dentya Herdyyanti Gantini</t>
  </si>
  <si>
    <t>Muhammad hafi ramzi</t>
  </si>
  <si>
    <t>Dewi Natius Wulandari</t>
  </si>
  <si>
    <t>Suripno</t>
  </si>
  <si>
    <t>TIM MELYANA SAMOSIR</t>
  </si>
  <si>
    <t>TIM ABDUL ZAKI</t>
  </si>
  <si>
    <t>Wilson Manalu</t>
  </si>
  <si>
    <t>Bastian Ronaldo Butar Butar</t>
  </si>
  <si>
    <t>Riska Tasya montania Girsang</t>
  </si>
  <si>
    <t>Elsana Rosmindo Sihombing</t>
  </si>
  <si>
    <t>Epi Agustina Sitohang</t>
  </si>
  <si>
    <t>Pebri Ester J Dohare</t>
  </si>
  <si>
    <t>Dewi Pardede</t>
  </si>
  <si>
    <t>Marisi Poli Sitorus</t>
  </si>
  <si>
    <t>Abdul Rachim</t>
  </si>
  <si>
    <t xml:space="preserve">Sri Lestari Butar Butar </t>
  </si>
  <si>
    <t>Purwanto</t>
  </si>
  <si>
    <t>Nyoto</t>
  </si>
  <si>
    <t>Ahksani Takwin</t>
  </si>
  <si>
    <t xml:space="preserve">Yusuf Hidayat </t>
  </si>
  <si>
    <t xml:space="preserve">Randi Alpandi </t>
  </si>
  <si>
    <t>Iis</t>
  </si>
  <si>
    <t>Osra Adrizal</t>
  </si>
  <si>
    <t>Denita Hulu</t>
  </si>
  <si>
    <t>Ahmad Yani</t>
  </si>
  <si>
    <t>Jalaludin</t>
  </si>
  <si>
    <t>Arif Permana</t>
  </si>
  <si>
    <t>Yeni Handayani</t>
  </si>
  <si>
    <t>Surya Harjaya</t>
  </si>
  <si>
    <t xml:space="preserve">Syamsul Maarif </t>
  </si>
  <si>
    <t>Asep Hermawan</t>
  </si>
  <si>
    <t>Sarah</t>
  </si>
  <si>
    <t>Trisna Jumhanadin</t>
  </si>
  <si>
    <t>A. Yuyun</t>
  </si>
  <si>
    <t>Sahroni</t>
  </si>
  <si>
    <t>Dede Ahmad Fatulloh</t>
  </si>
  <si>
    <t>TIM ABDUL RACHIM</t>
  </si>
  <si>
    <t>TIM OSRA ADRIZAL</t>
  </si>
  <si>
    <t>TIM ASEP HERMAWAN</t>
  </si>
  <si>
    <t>Dede Irwan Setiawiguna</t>
  </si>
  <si>
    <t>Nurdin</t>
  </si>
  <si>
    <t>Ulfah Meilani</t>
  </si>
  <si>
    <t>Burhanudin</t>
  </si>
  <si>
    <t>Iip Sutisna</t>
  </si>
  <si>
    <t>Rosman</t>
  </si>
  <si>
    <t>Vania Trisya Azzahra</t>
  </si>
  <si>
    <t>Fahrul Fahroji</t>
  </si>
  <si>
    <t xml:space="preserve">Asep Jumroni </t>
  </si>
  <si>
    <t>Yana</t>
  </si>
  <si>
    <t>Alviar Yoka Pratama</t>
  </si>
  <si>
    <t xml:space="preserve">Dwi Ega Pamungkas </t>
  </si>
  <si>
    <t>M Fazril Darussalam</t>
  </si>
  <si>
    <t>Nurmalasari</t>
  </si>
  <si>
    <t xml:space="preserve">Dimas Febria </t>
  </si>
  <si>
    <t>Abu Sidik</t>
  </si>
  <si>
    <t>Maharani Irianti</t>
  </si>
  <si>
    <t>Sales Manager = Ilham Tejo Wahono</t>
  </si>
  <si>
    <t>IDA BAGUS KAMAJAYA</t>
  </si>
  <si>
    <t>Aris Supriyadi</t>
  </si>
  <si>
    <t>Muhammad Abidin Ardiyanto</t>
  </si>
  <si>
    <t>Putri puspitasari</t>
  </si>
  <si>
    <t>Nendra dewa kurniawan</t>
  </si>
  <si>
    <t>Andri afrizal</t>
  </si>
  <si>
    <t>Thomas Herdyanto Bagus Prasojo</t>
  </si>
  <si>
    <t>Alifian Aji Adewinata</t>
  </si>
  <si>
    <t>PRANA BRAHMANTYA</t>
  </si>
  <si>
    <t>Antonia Widya</t>
  </si>
  <si>
    <t>Francois Febriyanto</t>
  </si>
  <si>
    <t>Muhammad Sidqi Kamal</t>
  </si>
  <si>
    <t>Rifka Nailil Muna</t>
  </si>
  <si>
    <t>Anna Amelia Sugiantoro</t>
  </si>
  <si>
    <t>Nur Salim</t>
  </si>
  <si>
    <t xml:space="preserve">Ahmad Syaikhu </t>
  </si>
  <si>
    <t xml:space="preserve">Taufik Jorgi Kurniawan </t>
  </si>
  <si>
    <t xml:space="preserve">Pramunita Kristianti </t>
  </si>
  <si>
    <t xml:space="preserve">Rindi Adi Pratama </t>
  </si>
  <si>
    <t>Andik Noviyanto</t>
  </si>
  <si>
    <t>HELMY AS'ARY</t>
  </si>
  <si>
    <t>Aries sulistiyanto</t>
  </si>
  <si>
    <t>Habib Akbar</t>
  </si>
  <si>
    <t>Rezki Irwandy</t>
  </si>
  <si>
    <t>Rifqi Mubarak</t>
  </si>
  <si>
    <t>Bayu Satria Putra</t>
  </si>
  <si>
    <t>NUR HADI</t>
  </si>
  <si>
    <t>Yusuf Rani</t>
  </si>
  <si>
    <t>Siti Nurjanah</t>
  </si>
  <si>
    <t>Lilik setiawan</t>
  </si>
  <si>
    <t>Frengky Gilang Adi Pradana</t>
  </si>
  <si>
    <t>Trias Puspitasari</t>
  </si>
  <si>
    <t>RUDI KUNCORO</t>
  </si>
  <si>
    <t>Achmad hasan arfie</t>
  </si>
  <si>
    <t>Aditia rahman</t>
  </si>
  <si>
    <t>Lina indriyani</t>
  </si>
  <si>
    <t>Rima kuti</t>
  </si>
  <si>
    <t>Teguh subekti</t>
  </si>
  <si>
    <t>Fitria jayanti</t>
  </si>
  <si>
    <t>Dicky yunarendra</t>
  </si>
  <si>
    <t xml:space="preserve">AKHMAD HARUN </t>
  </si>
  <si>
    <t>Eri setiawan</t>
  </si>
  <si>
    <t>Dodo kristono</t>
  </si>
  <si>
    <t>Avian wijayanto</t>
  </si>
  <si>
    <t>Widarwanto</t>
  </si>
  <si>
    <t>Wiwin Apit Yulianto</t>
  </si>
  <si>
    <t>Setyo Nugroho</t>
  </si>
  <si>
    <t>Feminia widiati rahayu</t>
  </si>
  <si>
    <t>INDRA SETIAWAN</t>
  </si>
  <si>
    <t>Daima</t>
  </si>
  <si>
    <t>Moch syafrany</t>
  </si>
  <si>
    <t>Arief prabowo</t>
  </si>
  <si>
    <t>Anisa salsa nabila meita</t>
  </si>
  <si>
    <t>Anityo kukuh wirastantyo</t>
  </si>
  <si>
    <t>Sudibyo pujo wiyono</t>
  </si>
  <si>
    <t>Puji Lestari</t>
  </si>
  <si>
    <t>Ida Bagus Kamajaya</t>
  </si>
  <si>
    <t>Prana Brahmantya</t>
  </si>
  <si>
    <t>Helmy Asary</t>
  </si>
  <si>
    <t>Nur Hadi</t>
  </si>
  <si>
    <t>Rudi Kuncoro</t>
  </si>
  <si>
    <t>Akhmad Harun</t>
  </si>
  <si>
    <t>Indra Setiawan</t>
  </si>
  <si>
    <t>FIRMAN ERDIANTO</t>
  </si>
  <si>
    <t>Sales Manager = Fredi Sinaga</t>
  </si>
  <si>
    <t>CIPUTAT</t>
  </si>
  <si>
    <t>Budi Sambodo</t>
  </si>
  <si>
    <t>Muhamad Setiawan</t>
  </si>
  <si>
    <t>Muhammad Noval Ramadhan</t>
  </si>
  <si>
    <t>Melina</t>
  </si>
  <si>
    <t>Widi Widayat</t>
  </si>
  <si>
    <t>Erland Erlangga</t>
  </si>
  <si>
    <t>Muhamad Riski</t>
  </si>
  <si>
    <t>Monalisa Sipahutar</t>
  </si>
  <si>
    <t>Sudarmanto</t>
  </si>
  <si>
    <t>Sella Rizkia</t>
  </si>
  <si>
    <t>Ukasah</t>
  </si>
  <si>
    <t>Dian Sri Andryani</t>
  </si>
  <si>
    <t>Selsa Bella Hutabarat</t>
  </si>
  <si>
    <t>Muhammad Jua Nur</t>
  </si>
  <si>
    <t>TIM BUDI SAMBODO</t>
  </si>
  <si>
    <t>TIM MONALISA</t>
  </si>
  <si>
    <t>LEGOK DAN CIKASUNGKA</t>
  </si>
  <si>
    <t>Suhardiansyah</t>
  </si>
  <si>
    <t>Dea Maulidah</t>
  </si>
  <si>
    <t>M Azriel Haznam S</t>
  </si>
  <si>
    <t>Ayulia Khaerunnisa</t>
  </si>
  <si>
    <t>Rahmawati</t>
  </si>
  <si>
    <t>PORIS</t>
  </si>
  <si>
    <t>Daniel Matius Kolondam</t>
  </si>
  <si>
    <t>Dita Cahyani</t>
  </si>
  <si>
    <t>Indah Noviyanti</t>
  </si>
  <si>
    <t>Bukhori</t>
  </si>
  <si>
    <t>Mika Wanti Nainggolan</t>
  </si>
  <si>
    <t>Aprina Siagian</t>
  </si>
  <si>
    <t>Regional Head = Jonatan Sitorus</t>
  </si>
  <si>
    <t>Sales Manager = Irwa Fauzi Harahap</t>
  </si>
  <si>
    <t>Dian Adi Putra Hasibuan</t>
  </si>
  <si>
    <t>Raymond Hendrikus Sitanggang</t>
  </si>
  <si>
    <t>Feri Pratama</t>
  </si>
  <si>
    <t>Mhd.Dandi Pratama</t>
  </si>
  <si>
    <t>Pradhana Gani</t>
  </si>
  <si>
    <t>Tasya Fadillah</t>
  </si>
  <si>
    <t>Muhammad Fasha</t>
  </si>
  <si>
    <t>Ival Yoga Sara</t>
  </si>
  <si>
    <t>Imam Ali Abber Harahap</t>
  </si>
  <si>
    <t>Iqbal Ramadhan</t>
  </si>
  <si>
    <t>Alfandi Riski</t>
  </si>
  <si>
    <t>Cahyo Purnomo</t>
  </si>
  <si>
    <t>Yon Sidek Sagala</t>
  </si>
  <si>
    <t>Delvi Putri Irawanda</t>
  </si>
  <si>
    <t>Addarun Nafis Pardede</t>
  </si>
  <si>
    <t>Tengku Riri Handayani</t>
  </si>
  <si>
    <t>Fredrick Gerhad Sitorus</t>
  </si>
  <si>
    <t>Angga Maulana</t>
  </si>
  <si>
    <t>Hotmauli Simaremare</t>
  </si>
  <si>
    <t>Bahtra Manalu</t>
  </si>
  <si>
    <t>Dian Lestari</t>
  </si>
  <si>
    <t>Samson Napitupulu</t>
  </si>
  <si>
    <t>Jamot Parningotan Manalu</t>
  </si>
  <si>
    <t>Muhammad Fadhil</t>
  </si>
  <si>
    <t>TIM MUHAMMAD FASHA</t>
  </si>
  <si>
    <t>TIM HOTMAULI</t>
  </si>
  <si>
    <t>TIM DIAN ADI</t>
  </si>
  <si>
    <t xml:space="preserve">TIM YON SINDEK </t>
  </si>
  <si>
    <t>Sales Manager = Belum Ada SM</t>
  </si>
  <si>
    <t>TEGUH JUNNARTO</t>
  </si>
  <si>
    <t>NUR BUDI FEBRIANTO</t>
  </si>
  <si>
    <t>DEWI YUNANIK</t>
  </si>
  <si>
    <t>IMA PUSPITASARI</t>
  </si>
  <si>
    <t>VIRDIAS FATKA PRATAMA</t>
  </si>
  <si>
    <t>MUHAMMAD EKO SULISTIONO</t>
  </si>
  <si>
    <t>ADI PURWA WINEKA</t>
  </si>
  <si>
    <t>DIA RISTAMA</t>
  </si>
  <si>
    <t>ARIEF SETYAJI</t>
  </si>
  <si>
    <t>IVON DENSI YOUS MARLINA</t>
  </si>
  <si>
    <t>RAMADHAN VICKO RAFSANJANI</t>
  </si>
  <si>
    <t>CAHYO WICAKSONO</t>
  </si>
  <si>
    <t>DAFIT PRASETIO</t>
  </si>
  <si>
    <t>REDIAN NANANG DARMOKO</t>
  </si>
  <si>
    <t>FAIZ ULIL ALBAB M</t>
  </si>
  <si>
    <t>TIM TEGUH JUNNARTO</t>
  </si>
  <si>
    <t>TIM ARUEF SETYAJI</t>
  </si>
  <si>
    <t xml:space="preserve">TOTAL DS </t>
  </si>
  <si>
    <t>Sales Manager = Ega Gustiansyah</t>
  </si>
  <si>
    <t>TIM RISKI ADE</t>
  </si>
  <si>
    <t>TIM YUDI DAMANHURI</t>
  </si>
  <si>
    <t>Riski Ade Wijaya</t>
  </si>
  <si>
    <t>Egi Prasetyo</t>
  </si>
  <si>
    <t>Akhmad Ferdiawan Riansah</t>
  </si>
  <si>
    <t>Riskomar</t>
  </si>
  <si>
    <t>Agusti Ranzaka</t>
  </si>
  <si>
    <t>Ikbal</t>
  </si>
  <si>
    <t>Yudi Damanhuri</t>
  </si>
  <si>
    <t>Nuryani</t>
  </si>
  <si>
    <t>Djunas Agung Priharda</t>
  </si>
  <si>
    <t>Dahlia</t>
  </si>
  <si>
    <t>Herlina Maulita</t>
  </si>
  <si>
    <t>Selviani Utami</t>
  </si>
  <si>
    <t>Amanda Desika</t>
  </si>
  <si>
    <t>Jopiter</t>
  </si>
  <si>
    <t>Reihan Syarif</t>
  </si>
  <si>
    <t>Yulizar Eko Saputra</t>
  </si>
  <si>
    <t>Swardana Arie Ardiansyah</t>
  </si>
  <si>
    <t>Maman Firmansyah</t>
  </si>
  <si>
    <t>Aryo Adhityas Setyo</t>
  </si>
  <si>
    <t>Syaifuddin</t>
  </si>
  <si>
    <t>Gatot Tri Widodo</t>
  </si>
  <si>
    <t>Ayok Setiyawan</t>
  </si>
  <si>
    <t>Achmad Bahak Udin</t>
  </si>
  <si>
    <t>Titik Winarsih</t>
  </si>
  <si>
    <t>Ichwan Rosadi</t>
  </si>
  <si>
    <t>Fahri Siswanto</t>
  </si>
  <si>
    <t>Irwan Firdaus</t>
  </si>
  <si>
    <t>Emier Wira Duhita</t>
  </si>
  <si>
    <t>Viky Ferdian</t>
  </si>
  <si>
    <t>Muhammad Faiz Mubarok</t>
  </si>
  <si>
    <t>Ahmad Saiful</t>
  </si>
  <si>
    <t>Natalia Kurniasari</t>
  </si>
  <si>
    <t>Vincent Hadinata Kosasih</t>
  </si>
  <si>
    <t>Mochamad Andri Sutrisno</t>
  </si>
  <si>
    <t>Dedy Purnomo</t>
  </si>
  <si>
    <t>M Fiqih Hanafi</t>
  </si>
  <si>
    <t>TIM GATOT</t>
  </si>
  <si>
    <t>TIM EMIER</t>
  </si>
  <si>
    <t>Moh Dendron Sekundratmo</t>
  </si>
  <si>
    <t>Bima Sakti</t>
  </si>
  <si>
    <t>Muhammad Faris Agung Fajar</t>
  </si>
  <si>
    <t>Achmad Yusuf Septian</t>
  </si>
  <si>
    <t>Amrin Salam</t>
  </si>
  <si>
    <t>Bagus Sukmana</t>
  </si>
  <si>
    <t>JAKARTA</t>
  </si>
  <si>
    <t>Active</t>
  </si>
  <si>
    <t xml:space="preserve">DEPOK </t>
  </si>
  <si>
    <t>CENGKARENG</t>
  </si>
  <si>
    <t>TANGGERANG SELATAN(CIPUTAT)</t>
  </si>
  <si>
    <t>KOTA TANGGERANG (PORIS)</t>
  </si>
  <si>
    <t>KAB TANGGERANG(LEGOK CIKASUNGKA)</t>
  </si>
  <si>
    <t>KLAPANUNGGAL</t>
  </si>
  <si>
    <t>CILEUNGSI</t>
  </si>
  <si>
    <t>CIANJUR</t>
  </si>
  <si>
    <t>PARUNG BOGOR</t>
  </si>
  <si>
    <t>SERANG</t>
  </si>
  <si>
    <t>KAB PANDEGLANG</t>
  </si>
  <si>
    <t>CILEGON</t>
  </si>
  <si>
    <t>CIREBON</t>
  </si>
  <si>
    <t>SUBANG</t>
  </si>
  <si>
    <t>KARAWANG</t>
  </si>
  <si>
    <t>PURWAKARTA</t>
  </si>
  <si>
    <t>TASIKMALAYA</t>
  </si>
  <si>
    <t>KAB. TASIK</t>
  </si>
  <si>
    <t>CIAMIS</t>
  </si>
  <si>
    <t>CIAWI</t>
  </si>
  <si>
    <t>BANDUNG</t>
  </si>
  <si>
    <t>GARUT</t>
  </si>
  <si>
    <t>BANJAR</t>
  </si>
  <si>
    <t>BANJARSARI</t>
  </si>
  <si>
    <t>SEMARANG</t>
  </si>
  <si>
    <t>KUDUS</t>
  </si>
  <si>
    <t>KENDAL</t>
  </si>
  <si>
    <t>DEMAK</t>
  </si>
  <si>
    <t>SOLO</t>
  </si>
  <si>
    <t>PURWOKERTO</t>
  </si>
  <si>
    <t>JOGJA</t>
  </si>
  <si>
    <t>KLATEN</t>
  </si>
  <si>
    <t>KEBUMEN</t>
  </si>
  <si>
    <t>CILACAP</t>
  </si>
  <si>
    <t>TEGAL</t>
  </si>
  <si>
    <t>KEDIRI</t>
  </si>
  <si>
    <t>MALANG</t>
  </si>
  <si>
    <t>PONOROGO</t>
  </si>
  <si>
    <t>BADUNG</t>
  </si>
  <si>
    <t>TABANAN</t>
  </si>
  <si>
    <t>DENPASAR</t>
  </si>
  <si>
    <t>NEGARA</t>
  </si>
  <si>
    <t>BANGKA BELITUNG</t>
  </si>
  <si>
    <t>MEDAN</t>
  </si>
  <si>
    <t>SURABAYA</t>
  </si>
  <si>
    <t>SIDOARJO</t>
  </si>
  <si>
    <t>SALATIGA</t>
  </si>
  <si>
    <t>MAJALLENGKA</t>
  </si>
  <si>
    <t>Sales Manager = Ayu Manalu</t>
  </si>
  <si>
    <t>YOGI AGUS RANDA</t>
  </si>
  <si>
    <t>WIDYA RAHMA</t>
  </si>
  <si>
    <t>ATMA HAYYU FITRIYANTI</t>
  </si>
  <si>
    <t>NOVA INDRIANI</t>
  </si>
  <si>
    <t xml:space="preserve">DHEA APRILIA </t>
  </si>
  <si>
    <t>CORNELIUS ADI CONDRO</t>
  </si>
  <si>
    <t>DEARREN</t>
  </si>
  <si>
    <t>ANDRE STEVE IMANUEL SAGALA</t>
  </si>
  <si>
    <t>SARI NOPITA SIPAHUTAR</t>
  </si>
  <si>
    <t>IRA ISAMAYA</t>
  </si>
  <si>
    <t>ATMA HAYYU FITRIANI</t>
  </si>
  <si>
    <t>SUMIATI</t>
  </si>
  <si>
    <t>IMEY MELIAWATI</t>
  </si>
  <si>
    <t>MUHAMAD ALPARIZI</t>
  </si>
  <si>
    <t>INDRAWAN</t>
  </si>
  <si>
    <t>VELLY FRIYANTI DJOHAN</t>
  </si>
  <si>
    <t>MOH ALBACTHIAR</t>
  </si>
  <si>
    <t>LIA ANGGRAENI</t>
  </si>
  <si>
    <t>Gigih yan setiawan</t>
  </si>
  <si>
    <t>Algil vadliy</t>
  </si>
  <si>
    <t>TAZ KHALIS ICHWAN</t>
  </si>
  <si>
    <t>SUKMA ANGEL</t>
  </si>
  <si>
    <t>Binsar Sudarmono S</t>
  </si>
  <si>
    <t xml:space="preserve">Marliana </t>
  </si>
  <si>
    <t xml:space="preserve">Nahum Winardi Putra S </t>
  </si>
  <si>
    <t>Nunung Septiani</t>
  </si>
  <si>
    <t xml:space="preserve">Friska Olivia Sihaloho </t>
  </si>
  <si>
    <t xml:space="preserve">Joko Rujito </t>
  </si>
  <si>
    <t>YOSHI NATHANIA</t>
  </si>
  <si>
    <t xml:space="preserve">Boyke Suhendra </t>
  </si>
  <si>
    <t>Mayang Putri</t>
  </si>
  <si>
    <t xml:space="preserve">Exaudi Parulian S </t>
  </si>
  <si>
    <t>LILIK ARIANTI</t>
  </si>
  <si>
    <t xml:space="preserve">Ratna Tusyadiyah </t>
  </si>
  <si>
    <t xml:space="preserve">Aliwufron Sobirin </t>
  </si>
  <si>
    <t>Novita Herawati</t>
  </si>
  <si>
    <t>TIM BINSAR S</t>
  </si>
  <si>
    <t>TIM BOYKE S</t>
  </si>
  <si>
    <t>BEKASI</t>
  </si>
  <si>
    <t>Sales Manager = Syahrial</t>
  </si>
  <si>
    <t>Bangbang Himun H, S.Kom</t>
  </si>
  <si>
    <t>Hengki Permana</t>
  </si>
  <si>
    <t>Ahmad Syahriar Irawan</t>
  </si>
  <si>
    <t>Falhan Basya</t>
  </si>
  <si>
    <t>Devina Ruslan</t>
  </si>
  <si>
    <t>Hanifatus Syaidah Zahara</t>
  </si>
  <si>
    <t>Asep Suparman</t>
  </si>
  <si>
    <t>Doni Herdiansyah</t>
  </si>
  <si>
    <t>Raisa Siti Ainiyah</t>
  </si>
  <si>
    <t>Hendar Suhendar</t>
  </si>
  <si>
    <t>Davin Alim</t>
  </si>
  <si>
    <t>Agung Dwi Laksono</t>
  </si>
  <si>
    <t>Ari Hidayat</t>
  </si>
  <si>
    <t>Cucu Komarudin</t>
  </si>
  <si>
    <t>Acep Rizal</t>
  </si>
  <si>
    <t>Piki Badarudin</t>
  </si>
  <si>
    <t>Berent Fariz</t>
  </si>
  <si>
    <t>Entis</t>
  </si>
  <si>
    <t>Dadang Dimyati</t>
  </si>
  <si>
    <t>Dicky Fauzi Nurhidayat</t>
  </si>
  <si>
    <t>Feri Ramadhani</t>
  </si>
  <si>
    <t>Dadang Dikdik</t>
  </si>
  <si>
    <t>Yosep Sopiana</t>
  </si>
  <si>
    <t>Yanto Heryanto</t>
  </si>
  <si>
    <t>TIM BANGBANG HIMUN</t>
  </si>
  <si>
    <t>TIM RAISA SITI</t>
  </si>
  <si>
    <t>TIM BERENT FARIZ</t>
  </si>
  <si>
    <t>Iman Firman</t>
  </si>
  <si>
    <t>Dian Hernanda</t>
  </si>
  <si>
    <t>Abdul Koharudin</t>
  </si>
  <si>
    <t>Rudiansyah Moch Azhar</t>
  </si>
  <si>
    <t>Yudi Wahyudi</t>
  </si>
  <si>
    <t>Yuri Apriani</t>
  </si>
  <si>
    <t>Dasep Abdul Gopur</t>
  </si>
  <si>
    <t>Trisna Juliansyah</t>
  </si>
  <si>
    <t>Jajang Miftah Farid</t>
  </si>
  <si>
    <t>Hery Gunawan Iskandar</t>
  </si>
  <si>
    <t>Handi widiarno</t>
  </si>
  <si>
    <t>TIM IMAN FIRMAN</t>
  </si>
  <si>
    <t>TIM DASEP ABDUL GOPUR</t>
  </si>
  <si>
    <t>Gungun Gunawan</t>
  </si>
  <si>
    <t>Enur Husni Mubarok</t>
  </si>
  <si>
    <t>Teten Solehudin</t>
  </si>
  <si>
    <t>Musadad Alfaris</t>
  </si>
  <si>
    <t>Nuri Nuryanti</t>
  </si>
  <si>
    <t>Rifqi Sofwandi</t>
  </si>
  <si>
    <t>Fahmi</t>
  </si>
  <si>
    <t>Aditia Paturohman</t>
  </si>
  <si>
    <t>Trisna Dwinanda</t>
  </si>
  <si>
    <t>Yadi Budiman</t>
  </si>
  <si>
    <t>Rohmat Yusup</t>
  </si>
  <si>
    <t>Wandi Rizki Mauludin</t>
  </si>
  <si>
    <t>Aditya Yuda Pratama</t>
  </si>
  <si>
    <t>Yeyen Yudaningsih</t>
  </si>
  <si>
    <t>Muhammad Husby Mubarok</t>
  </si>
  <si>
    <t>Heri Mulyana</t>
  </si>
  <si>
    <t>Mia Kurniawan</t>
  </si>
  <si>
    <t>Nurul Nurbaeti</t>
  </si>
  <si>
    <t>Diki Somantri</t>
  </si>
  <si>
    <t>Boma Jaya Priatna</t>
  </si>
  <si>
    <t>Riki Suganda</t>
  </si>
  <si>
    <t>Muhamad Rifki Herdiansyah</t>
  </si>
  <si>
    <t>Yuhendi Abdurrahman R</t>
  </si>
  <si>
    <t>Fajri Awaludin</t>
  </si>
  <si>
    <t>TIM GUNGUN GUNAWAN</t>
  </si>
  <si>
    <t>TIM TRISNA DWINANDA</t>
  </si>
  <si>
    <t>TIM MIA KURNIAWAN</t>
  </si>
  <si>
    <t>Sales Manager = Robyana</t>
  </si>
  <si>
    <t>Septiadi rohanda</t>
  </si>
  <si>
    <t>Soni Lesmana</t>
  </si>
  <si>
    <t>Yendi Herdian</t>
  </si>
  <si>
    <t>Wahyu Agus Santoso</t>
  </si>
  <si>
    <t>Riki Sukma G</t>
  </si>
  <si>
    <t>Gimida Pasaribu</t>
  </si>
  <si>
    <t>Fakih</t>
  </si>
  <si>
    <t>Angga Saputra</t>
  </si>
  <si>
    <t>Rustiana Putra</t>
  </si>
  <si>
    <t>Aep Yudi</t>
  </si>
  <si>
    <t>Hanny Mufridha Sari</t>
  </si>
  <si>
    <t>Agus Adi Nurhidayat</t>
  </si>
  <si>
    <t>Samsudin</t>
  </si>
  <si>
    <t>Andriansyah Saputra</t>
  </si>
  <si>
    <t>Mochamad Rhafi Awalludin</t>
  </si>
  <si>
    <t>Roni Herlani</t>
  </si>
  <si>
    <t>Dimas Eka Pratama</t>
  </si>
  <si>
    <t>Desta Agung Gumelar</t>
  </si>
  <si>
    <t>Putri Awalaisaly</t>
  </si>
  <si>
    <t>Toni Herlani</t>
  </si>
  <si>
    <t>Irsyad Abidin</t>
  </si>
  <si>
    <t>Riyadi Wijaya</t>
  </si>
  <si>
    <t>Ahmad Noval Assyahid</t>
  </si>
  <si>
    <t>TIM SEPTIANDI ROHANDA</t>
  </si>
  <si>
    <t>TIM ANGGA SAPUTRA</t>
  </si>
  <si>
    <t>TIM RONI HERLANI</t>
  </si>
  <si>
    <t>TIM DEFFAN KHAFI</t>
  </si>
  <si>
    <t>TIM DENA SUKANDAR</t>
  </si>
  <si>
    <t>Deffan Khafi Adhiguna</t>
  </si>
  <si>
    <t>Gitus Gismana</t>
  </si>
  <si>
    <t>Sakti Anugrah Pamungkas</t>
  </si>
  <si>
    <t>Yuli Yuliana</t>
  </si>
  <si>
    <t>Yogi</t>
  </si>
  <si>
    <t>Panji Melandi</t>
  </si>
  <si>
    <t>Dena Sukandar</t>
  </si>
  <si>
    <t>Adi Satria Somantri</t>
  </si>
  <si>
    <t>Muhammad Rafi</t>
  </si>
  <si>
    <t>Deni Sunandar</t>
  </si>
  <si>
    <t>Elsya Lestarina</t>
  </si>
  <si>
    <t>Arijal Andi</t>
  </si>
  <si>
    <t>SUKABUMI</t>
  </si>
  <si>
    <t>Sales Manager = Danuary Sihombing</t>
  </si>
  <si>
    <t>KADEK DEDI RINAWAN</t>
  </si>
  <si>
    <t>I WAYAN PUTU SARJANA</t>
  </si>
  <si>
    <t>I NENGAH SEMARA PUTRA</t>
  </si>
  <si>
    <t>I KOMANG JANUADI</t>
  </si>
  <si>
    <t>GEDE AGUS SUBAWA</t>
  </si>
  <si>
    <t>MOH. AMINULLOH</t>
  </si>
  <si>
    <t>BAYU SAPUTRA</t>
  </si>
  <si>
    <t>NAWAL FAIQOTUL HIKMAH</t>
  </si>
  <si>
    <t>DANUARY R SIHOMBING</t>
  </si>
  <si>
    <t>I MADE JULIANTARA</t>
  </si>
  <si>
    <t>TRIANA JIHAN</t>
  </si>
  <si>
    <t>NI MADE KARMI</t>
  </si>
  <si>
    <t>PUTU AGUS PRAMANA PUTRA</t>
  </si>
  <si>
    <t>GUSTI NYOMAN RATNA DEWI (DS NEW)</t>
  </si>
  <si>
    <t>SAFRIZAL HUTAGALUNG</t>
  </si>
  <si>
    <t>EBEN HAIZER ZAI</t>
  </si>
  <si>
    <t>JORDINUS UMBU LELE</t>
  </si>
  <si>
    <t>FLORENTIA ARUM DEWI SASANTI (NEW)</t>
  </si>
  <si>
    <t>DEWA GEDE KRISHNA MURTI (NEW)</t>
  </si>
  <si>
    <t>RASYID RIDHO (NEW)</t>
  </si>
  <si>
    <t>TIM DANUARY</t>
  </si>
  <si>
    <t xml:space="preserve">TIM KADEK DEDI </t>
  </si>
  <si>
    <t>TIM ARNOLD SANJAYA</t>
  </si>
  <si>
    <t>TIM SAFRIZAL HUTAGALUNG</t>
  </si>
  <si>
    <t>Sales Manager = I Wayan Mudita</t>
  </si>
  <si>
    <t>TIM GEDE OKA</t>
  </si>
  <si>
    <t>TIM IRVAN TYNALDI</t>
  </si>
  <si>
    <t>Gede Oka Cahyadi Pratama</t>
  </si>
  <si>
    <t>Ni Luh Putu Dinda Suci Lestari</t>
  </si>
  <si>
    <t>Ds</t>
  </si>
  <si>
    <t>Ni Luh Putu Astiti Dewi</t>
  </si>
  <si>
    <t>Maliana</t>
  </si>
  <si>
    <t>Erwin Hadi</t>
  </si>
  <si>
    <t>Irvan Rynaldi</t>
  </si>
  <si>
    <t>Yuda Pratama</t>
  </si>
  <si>
    <t>Kamaludin</t>
  </si>
  <si>
    <t>Muhammad Cahyo Saputro</t>
  </si>
  <si>
    <t>Bintang Suriadi Sibarani</t>
  </si>
  <si>
    <t>M Dwiki Dharmawan</t>
  </si>
  <si>
    <t>Arnold Sanjaya</t>
  </si>
  <si>
    <t>Ahmad Firmansyah</t>
  </si>
  <si>
    <t>I Gusti Ngurah Putra Ardinata</t>
  </si>
  <si>
    <t>Winda Dewini</t>
  </si>
  <si>
    <t>Clinton Eden Manurung</t>
  </si>
  <si>
    <t>YENI</t>
  </si>
  <si>
    <t>I Putu Joananda Nugraha</t>
  </si>
  <si>
    <t>Femilia Mako</t>
  </si>
  <si>
    <t>Fadil Meidy Rizky</t>
  </si>
  <si>
    <t xml:space="preserve">Putu Agus Darmawan </t>
  </si>
  <si>
    <t>Agus Junianto</t>
  </si>
  <si>
    <t>TIM PUTU JOANANDA</t>
  </si>
  <si>
    <t>Semarang</t>
  </si>
  <si>
    <t>TIM DEDE IRWAN</t>
  </si>
  <si>
    <t>TIM ALVIAR YOKA</t>
  </si>
  <si>
    <t>TANGSEL</t>
  </si>
  <si>
    <t>TIM SUHARDIANSAH</t>
  </si>
  <si>
    <t>KAB TANGGERANG</t>
  </si>
  <si>
    <t>TANGKOT</t>
  </si>
  <si>
    <t>TIM DANIEL KOLONDAM</t>
  </si>
  <si>
    <t>TIM YOGI AGUS RANDA</t>
  </si>
  <si>
    <t>TIM SARI NOPITA</t>
  </si>
  <si>
    <t>PARUNG</t>
  </si>
  <si>
    <t>TIM AL BACHTIAR</t>
  </si>
  <si>
    <t>DEPOK</t>
  </si>
  <si>
    <t>TIM WILSON MANALU</t>
  </si>
  <si>
    <t>Sales Manager = Muh Abrori</t>
  </si>
  <si>
    <t>MAILAN</t>
  </si>
  <si>
    <t>HARYONO</t>
  </si>
  <si>
    <t>AJIS SAPTORI</t>
  </si>
  <si>
    <t>ASTRI RAHMAWATI</t>
  </si>
  <si>
    <t>DESFITA AULIA PUTRI</t>
  </si>
  <si>
    <t>EKO PUJIANTO</t>
  </si>
  <si>
    <t>TEGUH PRABOWO</t>
  </si>
  <si>
    <t>Abdul Rajab</t>
  </si>
  <si>
    <t>Sutan Ali Sobana</t>
  </si>
  <si>
    <t>Hafid Sangidun</t>
  </si>
  <si>
    <t>Suja Sudirja</t>
  </si>
  <si>
    <t>Rd Ujang Otan Hartanto</t>
  </si>
  <si>
    <t>Neelam Amalya</t>
  </si>
  <si>
    <t>Tubagus Hendi Darmansyah</t>
  </si>
  <si>
    <t>Untung Wibowo</t>
  </si>
  <si>
    <t>Cut Salsabilah Suciani</t>
  </si>
  <si>
    <t>Zulmi Ramadhan</t>
  </si>
  <si>
    <t>Heru Saputra</t>
  </si>
  <si>
    <t>Dhani Ramadon</t>
  </si>
  <si>
    <t>Muhamad Alfani</t>
  </si>
  <si>
    <t>Rahmat Gumilang</t>
  </si>
  <si>
    <t>Riffan Mubarok</t>
  </si>
  <si>
    <t>TIM ACHMADUN</t>
  </si>
  <si>
    <t>TIM TEGUH PRABOWO</t>
  </si>
  <si>
    <t>TIM UNTUNG WIBOWO</t>
  </si>
  <si>
    <t>BAGAS PERMANA</t>
  </si>
  <si>
    <t>RAHMAT HIDAYAT</t>
  </si>
  <si>
    <t>LILI WARNALI</t>
  </si>
  <si>
    <t>MUHAMMAD JAKA NUGRAHA</t>
  </si>
  <si>
    <t xml:space="preserve">AHMAD BUCHORI </t>
  </si>
  <si>
    <t>CHADIKA KUSUMA</t>
  </si>
  <si>
    <t>GILANG BAHTIAR</t>
  </si>
  <si>
    <t>FARID CAESAR AMANULLOH</t>
  </si>
  <si>
    <t>NAZAR YAHYA</t>
  </si>
  <si>
    <t>ARDEN ZUHDI</t>
  </si>
  <si>
    <t>UCI SANUSI</t>
  </si>
  <si>
    <t>SOLEH SUANDA</t>
  </si>
  <si>
    <t>MOCHAMAD ALEK LESMANA</t>
  </si>
  <si>
    <t>DENI WAHYUDIN</t>
  </si>
  <si>
    <t>IRFAN SUPIAN</t>
  </si>
  <si>
    <t>GANI MAULANA</t>
  </si>
  <si>
    <t>RONI CAHYANI</t>
  </si>
  <si>
    <t>FIRLI APRILIA KULSUM</t>
  </si>
  <si>
    <t>GEOFANI DWIKI SUPARLI</t>
  </si>
  <si>
    <t>ENENG DINI KURNIAWATI</t>
  </si>
  <si>
    <t>SALMA FITRIANA</t>
  </si>
  <si>
    <t>TIM BAGAS PERMANA</t>
  </si>
  <si>
    <t>TIM NAZAR YAHYA</t>
  </si>
  <si>
    <t>TIM GANI MAULANA</t>
  </si>
  <si>
    <t>PANDI</t>
  </si>
  <si>
    <t>FERRY MAHALIO SUDADI</t>
  </si>
  <si>
    <t>PENDI APANDI</t>
  </si>
  <si>
    <t>RENO RAMADHAN</t>
  </si>
  <si>
    <t xml:space="preserve">HERDIANSYAH FAUZAN </t>
  </si>
  <si>
    <t>FERDINAND EKO DEWA</t>
  </si>
  <si>
    <t>AGUNG SURYANINRAT</t>
  </si>
  <si>
    <t xml:space="preserve">JONATHAN RIRIHENA </t>
  </si>
  <si>
    <t>WISNU WIJAYA</t>
  </si>
  <si>
    <t xml:space="preserve">TIM PANDI </t>
  </si>
  <si>
    <t>TANPA SPV</t>
  </si>
  <si>
    <t>KAB TASIK</t>
  </si>
  <si>
    <t>TIM RENDRA DUDIA</t>
  </si>
  <si>
    <t>MAJALENGKA</t>
  </si>
  <si>
    <t>TIM Ida Bagus Kamajaya</t>
  </si>
  <si>
    <t>TIM Prana Brahmantya</t>
  </si>
  <si>
    <t>TIM Nur Salim</t>
  </si>
  <si>
    <t>TIM Helmy Asary</t>
  </si>
  <si>
    <t>TIM Nur Hadi</t>
  </si>
  <si>
    <t>TIM Rudi Kuncoro</t>
  </si>
  <si>
    <t>TIM Akhmad Harun</t>
  </si>
  <si>
    <t>TIM Indra Setiawan</t>
  </si>
  <si>
    <t>TIM FIRMAN ERDIANTO</t>
  </si>
  <si>
    <t>TIM SUHENDI</t>
  </si>
  <si>
    <t>TIM RIZKY RIMAYANDI</t>
  </si>
  <si>
    <t>TIM MUAMMAL IQBAL</t>
  </si>
  <si>
    <t>TIM MOH DENDRON</t>
  </si>
  <si>
    <t>TIM MOH SADAM</t>
  </si>
  <si>
    <t>Tim Akhmad Harun</t>
  </si>
  <si>
    <t xml:space="preserve">Tim Linda Pangestika </t>
  </si>
  <si>
    <t>Cilacap</t>
  </si>
  <si>
    <t>Tim Rudi Kuncoro</t>
  </si>
  <si>
    <t>PENCAPAIAN 21 NOV- 20 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</si>
</sst>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BF699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9CB9C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6F8F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9" fontId="1" fillId="0" borderId="0" applyFont="0" applyFill="0" applyBorder="0" applyAlignment="0" applyProtection="0"/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5" fillId="0" borderId="0">
      <alignment vertical="top"/>
      <protection locked="0"/>
    </xf>
    <xf numFmtId="0" fontId="16" fillId="0" borderId="0"/>
    <xf numFmtId="9" fontId="16" fillId="0" borderId="0" applyFont="0" applyFill="0" applyBorder="0" applyAlignment="0" applyProtection="0"/>
    <xf numFmtId="0" fontId="15" fillId="0" borderId="0">
      <protection locked="0"/>
    </xf>
    <xf numFmtId="0" fontId="15" fillId="0" borderId="0">
      <protection locked="0"/>
    </xf>
    <xf numFmtId="0" fontId="6" fillId="0" borderId="0">
      <protection locked="0"/>
    </xf>
    <xf numFmtId="0" fontId="15" fillId="0" borderId="0">
      <protection locked="0"/>
    </xf>
    <xf numFmtId="0" fontId="6" fillId="0" borderId="0">
      <protection locked="0"/>
    </xf>
    <xf numFmtId="0" fontId="12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2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4" fillId="0" borderId="0"/>
    <xf numFmtId="0" fontId="13" fillId="0" borderId="0">
      <alignment vertical="center"/>
    </xf>
    <xf numFmtId="0" fontId="19" fillId="0" borderId="0">
      <alignment vertical="center"/>
    </xf>
    <xf numFmtId="9" fontId="14" fillId="0" borderId="0" applyFont="0" applyFill="0" applyBorder="0" applyAlignment="0" applyProtection="0"/>
    <xf numFmtId="0" fontId="14" fillId="0" borderId="0"/>
    <xf numFmtId="0" fontId="19" fillId="0" borderId="0">
      <alignment vertical="center"/>
    </xf>
  </cellStyleXfs>
  <cellXfs count="210">
    <xf numFmtId="0" fontId="0" fillId="0" borderId="0" xfId="0"/>
    <xf numFmtId="0" fontId="2" fillId="2" borderId="2" xfId="0" applyFont="1" applyFill="1" applyBorder="1" applyAlignment="1">
      <alignment horizontal="center"/>
    </xf>
    <xf numFmtId="10" fontId="2" fillId="2" borderId="2" xfId="0" applyNumberFormat="1" applyFont="1" applyFill="1" applyBorder="1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center"/>
    </xf>
    <xf numFmtId="0" fontId="2" fillId="4" borderId="0" xfId="0" applyFont="1" applyFill="1"/>
    <xf numFmtId="9" fontId="0" fillId="0" borderId="0" xfId="0" applyNumberFormat="1"/>
    <xf numFmtId="0" fontId="2" fillId="2" borderId="2" xfId="0" applyFont="1" applyFill="1" applyBorder="1"/>
    <xf numFmtId="9" fontId="2" fillId="2" borderId="2" xfId="0" applyNumberFormat="1" applyFont="1" applyFill="1" applyBorder="1" applyAlignment="1">
      <alignment horizontal="center"/>
    </xf>
    <xf numFmtId="0" fontId="0" fillId="0" borderId="2" xfId="0" applyBorder="1"/>
    <xf numFmtId="0" fontId="8" fillId="0" borderId="2" xfId="0" applyFont="1" applyBorder="1" applyAlignment="1">
      <alignment horizontal="center" vertical="center"/>
    </xf>
    <xf numFmtId="9" fontId="0" fillId="0" borderId="2" xfId="0" applyNumberFormat="1" applyBorder="1"/>
    <xf numFmtId="0" fontId="0" fillId="6" borderId="2" xfId="0" applyFill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5" borderId="2" xfId="0" applyFill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12" fillId="6" borderId="2" xfId="2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  <xf numFmtId="0" fontId="8" fillId="0" borderId="2" xfId="2" applyFont="1" applyBorder="1" applyAlignment="1">
      <alignment horizontal="center"/>
    </xf>
    <xf numFmtId="0" fontId="2" fillId="0" borderId="2" xfId="0" applyFont="1" applyBorder="1"/>
    <xf numFmtId="9" fontId="2" fillId="0" borderId="2" xfId="0" applyNumberFormat="1" applyFont="1" applyBorder="1"/>
    <xf numFmtId="0" fontId="8" fillId="0" borderId="2" xfId="0" applyFont="1" applyBorder="1" applyAlignment="1">
      <alignment horizontal="center" vertical="center" wrapText="1"/>
    </xf>
    <xf numFmtId="0" fontId="12" fillId="6" borderId="2" xfId="4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12" fillId="7" borderId="2" xfId="4" applyFont="1" applyFill="1" applyBorder="1" applyAlignment="1">
      <alignment horizontal="left" vertical="center"/>
    </xf>
    <xf numFmtId="0" fontId="12" fillId="5" borderId="2" xfId="4" applyFont="1" applyFill="1" applyBorder="1" applyAlignment="1"/>
    <xf numFmtId="0" fontId="12" fillId="5" borderId="2" xfId="4" applyFont="1" applyFill="1" applyBorder="1" applyAlignment="1">
      <alignment horizontal="center" vertical="center"/>
    </xf>
    <xf numFmtId="0" fontId="0" fillId="5" borderId="2" xfId="0" applyFill="1" applyBorder="1"/>
    <xf numFmtId="0" fontId="8" fillId="5" borderId="2" xfId="4" applyFont="1" applyFill="1" applyBorder="1" applyAlignment="1">
      <alignment horizontal="center" vertical="center"/>
    </xf>
    <xf numFmtId="0" fontId="8" fillId="5" borderId="2" xfId="4" applyFont="1" applyFill="1" applyBorder="1" applyAlignment="1">
      <alignment horizontal="left" vertical="center"/>
    </xf>
    <xf numFmtId="0" fontId="8" fillId="5" borderId="2" xfId="4" applyFont="1" applyFill="1" applyBorder="1">
      <alignment vertical="center"/>
    </xf>
    <xf numFmtId="9" fontId="0" fillId="5" borderId="2" xfId="0" applyNumberFormat="1" applyFill="1" applyBorder="1"/>
    <xf numFmtId="0" fontId="12" fillId="7" borderId="2" xfId="6" applyFont="1" applyFill="1" applyBorder="1" applyAlignment="1">
      <alignment horizontal="left" vertical="center"/>
    </xf>
    <xf numFmtId="0" fontId="12" fillId="5" borderId="2" xfId="6" applyFont="1" applyFill="1" applyBorder="1" applyAlignment="1">
      <alignment horizontal="center" vertical="center"/>
    </xf>
    <xf numFmtId="0" fontId="8" fillId="5" borderId="2" xfId="6" applyFont="1" applyFill="1" applyBorder="1" applyAlignment="1">
      <alignment horizontal="left" vertical="center"/>
    </xf>
    <xf numFmtId="0" fontId="8" fillId="5" borderId="2" xfId="6" applyFont="1" applyFill="1" applyBorder="1" applyAlignment="1">
      <alignment horizontal="center" vertical="center"/>
    </xf>
    <xf numFmtId="0" fontId="8" fillId="5" borderId="2" xfId="6" applyFont="1" applyFill="1" applyBorder="1" applyAlignment="1">
      <alignment horizontal="centerContinuous" vertical="center"/>
    </xf>
    <xf numFmtId="0" fontId="0" fillId="7" borderId="2" xfId="6" applyFont="1" applyFill="1" applyBorder="1" applyAlignment="1">
      <alignment horizontal="left" vertical="center"/>
    </xf>
    <xf numFmtId="0" fontId="0" fillId="5" borderId="2" xfId="6" applyFont="1" applyFill="1" applyBorder="1" applyAlignment="1">
      <alignment horizontal="center" vertical="center"/>
    </xf>
    <xf numFmtId="0" fontId="0" fillId="5" borderId="2" xfId="6" applyFont="1" applyFill="1" applyBorder="1" applyAlignment="1">
      <alignment horizontal="left" vertical="center"/>
    </xf>
    <xf numFmtId="0" fontId="0" fillId="5" borderId="2" xfId="6" applyFont="1" applyFill="1" applyBorder="1" applyAlignment="1">
      <alignment horizontal="centerContinuous" vertical="center"/>
    </xf>
    <xf numFmtId="0" fontId="0" fillId="5" borderId="2" xfId="0" applyFill="1" applyBorder="1" applyAlignment="1">
      <alignment wrapText="1"/>
    </xf>
    <xf numFmtId="0" fontId="0" fillId="5" borderId="2" xfId="0" applyFill="1" applyBorder="1" applyAlignment="1">
      <alignment horizontal="center" wrapText="1"/>
    </xf>
    <xf numFmtId="0" fontId="2" fillId="5" borderId="2" xfId="0" applyFont="1" applyFill="1" applyBorder="1"/>
    <xf numFmtId="9" fontId="2" fillId="5" borderId="2" xfId="0" applyNumberFormat="1" applyFont="1" applyFill="1" applyBorder="1"/>
    <xf numFmtId="0" fontId="1" fillId="7" borderId="2" xfId="4" applyFont="1" applyFill="1" applyBorder="1" applyAlignment="1">
      <alignment horizontal="left" vertical="center"/>
    </xf>
    <xf numFmtId="0" fontId="1" fillId="5" borderId="2" xfId="4" applyFont="1" applyFill="1" applyBorder="1" applyAlignment="1">
      <alignment horizontal="center" vertical="center"/>
    </xf>
    <xf numFmtId="0" fontId="1" fillId="5" borderId="2" xfId="4" applyFont="1" applyFill="1" applyBorder="1" applyAlignment="1">
      <alignment horizontal="left" vertical="center"/>
    </xf>
    <xf numFmtId="0" fontId="1" fillId="5" borderId="2" xfId="4" applyFont="1" applyFill="1" applyBorder="1" applyAlignment="1"/>
    <xf numFmtId="0" fontId="0" fillId="7" borderId="2" xfId="4" applyFont="1" applyFill="1" applyBorder="1" applyAlignment="1">
      <alignment horizontal="left" vertical="center"/>
    </xf>
    <xf numFmtId="0" fontId="0" fillId="5" borderId="2" xfId="4" applyFont="1" applyFill="1" applyBorder="1" applyAlignment="1">
      <alignment horizontal="center" vertical="center"/>
    </xf>
    <xf numFmtId="0" fontId="0" fillId="5" borderId="2" xfId="4" applyFont="1" applyFill="1" applyBorder="1" applyAlignment="1">
      <alignment horizontal="left" vertical="center"/>
    </xf>
    <xf numFmtId="0" fontId="0" fillId="5" borderId="2" xfId="4" applyFont="1" applyFill="1" applyBorder="1" applyAlignment="1"/>
    <xf numFmtId="0" fontId="0" fillId="5" borderId="2" xfId="4" applyFont="1" applyFill="1" applyBorder="1" applyAlignment="1">
      <alignment horizontal="left"/>
    </xf>
    <xf numFmtId="0" fontId="0" fillId="5" borderId="2" xfId="4" applyFont="1" applyFill="1" applyBorder="1" applyAlignment="1">
      <alignment horizontal="left" indent="1"/>
    </xf>
    <xf numFmtId="0" fontId="1" fillId="7" borderId="2" xfId="6" applyFont="1" applyFill="1" applyBorder="1" applyAlignment="1">
      <alignment horizontal="left" vertical="center"/>
    </xf>
    <xf numFmtId="0" fontId="1" fillId="5" borderId="2" xfId="6" applyFont="1" applyFill="1" applyBorder="1" applyAlignment="1">
      <alignment horizontal="center" vertical="center"/>
    </xf>
    <xf numFmtId="0" fontId="1" fillId="5" borderId="2" xfId="6" applyFont="1" applyFill="1" applyBorder="1" applyAlignment="1">
      <alignment horizontal="left" vertical="center"/>
    </xf>
    <xf numFmtId="0" fontId="1" fillId="5" borderId="2" xfId="6" applyFont="1" applyFill="1" applyBorder="1" applyAlignment="1">
      <alignment horizontal="centerContinuous" vertical="center"/>
    </xf>
    <xf numFmtId="0" fontId="0" fillId="5" borderId="2" xfId="6" applyFont="1" applyFill="1" applyBorder="1" applyAlignment="1">
      <alignment vertical="center"/>
    </xf>
    <xf numFmtId="9" fontId="2" fillId="2" borderId="2" xfId="0" applyNumberFormat="1" applyFont="1" applyFill="1" applyBorder="1"/>
    <xf numFmtId="0" fontId="17" fillId="5" borderId="2" xfId="0" applyFont="1" applyFill="1" applyBorder="1"/>
    <xf numFmtId="0" fontId="0" fillId="5" borderId="2" xfId="0" applyFill="1" applyBorder="1" applyAlignment="1">
      <alignment horizontal="center"/>
    </xf>
    <xf numFmtId="0" fontId="18" fillId="5" borderId="2" xfId="20" applyFont="1" applyFill="1" applyBorder="1" applyAlignment="1">
      <alignment horizontal="left"/>
    </xf>
    <xf numFmtId="0" fontId="0" fillId="5" borderId="2" xfId="20" applyFont="1" applyFill="1" applyBorder="1">
      <alignment vertical="center"/>
    </xf>
    <xf numFmtId="0" fontId="18" fillId="5" borderId="2" xfId="21" applyFont="1" applyFill="1" applyBorder="1" applyAlignment="1">
      <alignment horizontal="left"/>
    </xf>
    <xf numFmtId="0" fontId="0" fillId="5" borderId="2" xfId="21" applyFont="1" applyFill="1" applyBorder="1">
      <alignment vertical="center"/>
    </xf>
    <xf numFmtId="0" fontId="0" fillId="5" borderId="2" xfId="22" applyFont="1" applyFill="1" applyBorder="1" applyAlignment="1">
      <alignment wrapText="1"/>
    </xf>
    <xf numFmtId="0" fontId="0" fillId="5" borderId="2" xfId="22" applyFont="1" applyFill="1" applyBorder="1">
      <alignment vertical="center"/>
    </xf>
    <xf numFmtId="0" fontId="8" fillId="5" borderId="2" xfId="20" applyFont="1" applyFill="1" applyBorder="1" applyAlignment="1">
      <alignment horizontal="center"/>
    </xf>
    <xf numFmtId="0" fontId="18" fillId="5" borderId="2" xfId="20" applyFont="1" applyFill="1" applyBorder="1" applyAlignment="1">
      <alignment horizontal="center"/>
    </xf>
    <xf numFmtId="0" fontId="0" fillId="5" borderId="2" xfId="20" applyFont="1" applyFill="1" applyBorder="1" applyAlignment="1">
      <alignment horizontal="center" wrapText="1"/>
    </xf>
    <xf numFmtId="0" fontId="0" fillId="5" borderId="2" xfId="20" applyFont="1" applyFill="1" applyBorder="1" applyAlignment="1">
      <alignment horizontal="center" wrapText="1" readingOrder="1"/>
    </xf>
    <xf numFmtId="0" fontId="8" fillId="5" borderId="2" xfId="21" applyFont="1" applyFill="1" applyBorder="1" applyAlignment="1">
      <alignment horizontal="center"/>
    </xf>
    <xf numFmtId="0" fontId="18" fillId="5" borderId="2" xfId="21" applyFont="1" applyFill="1" applyBorder="1" applyAlignment="1">
      <alignment horizontal="center"/>
    </xf>
    <xf numFmtId="0" fontId="0" fillId="5" borderId="2" xfId="21" applyFont="1" applyFill="1" applyBorder="1" applyAlignment="1">
      <alignment horizontal="center" wrapText="1"/>
    </xf>
    <xf numFmtId="0" fontId="0" fillId="5" borderId="2" xfId="21" applyFont="1" applyFill="1" applyBorder="1" applyAlignment="1">
      <alignment horizontal="center" vertical="center"/>
    </xf>
    <xf numFmtId="0" fontId="8" fillId="5" borderId="2" xfId="22" applyFont="1" applyFill="1" applyBorder="1" applyAlignment="1">
      <alignment horizontal="center"/>
    </xf>
    <xf numFmtId="0" fontId="18" fillId="5" borderId="2" xfId="22" applyFont="1" applyFill="1" applyBorder="1" applyAlignment="1">
      <alignment horizontal="center"/>
    </xf>
    <xf numFmtId="0" fontId="0" fillId="5" borderId="2" xfId="22" applyFont="1" applyFill="1" applyBorder="1" applyAlignment="1">
      <alignment horizontal="center" wrapText="1"/>
    </xf>
    <xf numFmtId="0" fontId="0" fillId="5" borderId="2" xfId="22" applyFont="1" applyFill="1" applyBorder="1" applyAlignment="1">
      <alignment horizontal="center" vertical="center"/>
    </xf>
    <xf numFmtId="0" fontId="1" fillId="5" borderId="2" xfId="0" applyFont="1" applyFill="1" applyBorder="1"/>
    <xf numFmtId="0" fontId="18" fillId="5" borderId="2" xfId="23" applyFont="1" applyFill="1" applyBorder="1" applyAlignment="1">
      <alignment horizontal="center"/>
    </xf>
    <xf numFmtId="0" fontId="1" fillId="5" borderId="2" xfId="23" applyFill="1" applyBorder="1" applyAlignment="1">
      <alignment horizontal="center"/>
    </xf>
    <xf numFmtId="0" fontId="1" fillId="5" borderId="2" xfId="23" applyFill="1" applyBorder="1" applyAlignment="1">
      <alignment horizontal="left"/>
    </xf>
    <xf numFmtId="0" fontId="18" fillId="5" borderId="2" xfId="23" applyFont="1" applyFill="1" applyBorder="1" applyAlignment="1">
      <alignment horizontal="left"/>
    </xf>
    <xf numFmtId="0" fontId="8" fillId="5" borderId="2" xfId="23" applyFont="1" applyFill="1" applyBorder="1" applyAlignment="1">
      <alignment horizontal="center"/>
    </xf>
    <xf numFmtId="0" fontId="1" fillId="5" borderId="2" xfId="23" applyFill="1" applyBorder="1">
      <alignment vertical="center"/>
    </xf>
    <xf numFmtId="0" fontId="1" fillId="5" borderId="2" xfId="23" applyFill="1" applyBorder="1" applyAlignment="1">
      <alignment horizontal="center" wrapText="1"/>
    </xf>
    <xf numFmtId="0" fontId="18" fillId="5" borderId="2" xfId="24" applyFont="1" applyFill="1" applyBorder="1" applyAlignment="1">
      <alignment horizontal="center"/>
    </xf>
    <xf numFmtId="0" fontId="18" fillId="5" borderId="2" xfId="24" applyFont="1" applyFill="1" applyBorder="1" applyAlignment="1">
      <alignment horizontal="left"/>
    </xf>
    <xf numFmtId="0" fontId="8" fillId="5" borderId="2" xfId="24" applyFont="1" applyFill="1" applyBorder="1" applyAlignment="1">
      <alignment horizontal="center"/>
    </xf>
    <xf numFmtId="0" fontId="1" fillId="5" borderId="2" xfId="24" applyFill="1" applyBorder="1" applyAlignment="1">
      <alignment horizontal="center" wrapText="1"/>
    </xf>
    <xf numFmtId="0" fontId="1" fillId="5" borderId="2" xfId="24" applyFill="1" applyBorder="1">
      <alignment vertical="center"/>
    </xf>
    <xf numFmtId="9" fontId="1" fillId="5" borderId="2" xfId="0" applyNumberFormat="1" applyFont="1" applyFill="1" applyBorder="1"/>
    <xf numFmtId="0" fontId="15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0" fillId="5" borderId="2" xfId="25" applyFont="1" applyFill="1" applyBorder="1" applyAlignment="1">
      <alignment horizontal="center"/>
    </xf>
    <xf numFmtId="0" fontId="12" fillId="7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18" fillId="5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0" fillId="5" borderId="2" xfId="0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/>
    </xf>
    <xf numFmtId="0" fontId="0" fillId="9" borderId="2" xfId="0" applyFill="1" applyBorder="1"/>
    <xf numFmtId="9" fontId="17" fillId="5" borderId="2" xfId="0" applyNumberFormat="1" applyFont="1" applyFill="1" applyBorder="1"/>
    <xf numFmtId="0" fontId="12" fillId="7" borderId="2" xfId="25" applyFont="1" applyFill="1" applyBorder="1" applyAlignment="1">
      <alignment horizontal="left" vertical="center"/>
    </xf>
    <xf numFmtId="0" fontId="12" fillId="5" borderId="2" xfId="25" applyFont="1" applyFill="1" applyBorder="1" applyAlignment="1">
      <alignment horizontal="center" vertical="center"/>
    </xf>
    <xf numFmtId="0" fontId="8" fillId="5" borderId="2" xfId="25" applyFont="1" applyFill="1" applyBorder="1" applyAlignment="1">
      <alignment horizontal="left" vertical="center"/>
    </xf>
    <xf numFmtId="0" fontId="8" fillId="5" borderId="2" xfId="25" applyFont="1" applyFill="1" applyBorder="1" applyAlignment="1">
      <alignment horizontal="center" vertical="center"/>
    </xf>
    <xf numFmtId="0" fontId="8" fillId="5" borderId="2" xfId="25" applyFont="1" applyFill="1" applyBorder="1" applyAlignment="1">
      <alignment horizontal="centerContinuous" vertical="center"/>
    </xf>
    <xf numFmtId="0" fontId="1" fillId="5" borderId="2" xfId="25" applyFont="1" applyFill="1" applyBorder="1" applyAlignment="1">
      <alignment horizontal="center" vertical="center"/>
    </xf>
    <xf numFmtId="0" fontId="1" fillId="5" borderId="2" xfId="25" applyFont="1" applyFill="1" applyBorder="1" applyAlignment="1">
      <alignment horizontal="left" vertical="center"/>
    </xf>
    <xf numFmtId="0" fontId="12" fillId="6" borderId="2" xfId="0" applyFont="1" applyFill="1" applyBorder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0" fontId="12" fillId="5" borderId="2" xfId="4" applyFont="1" applyFill="1" applyBorder="1">
      <alignment vertical="center"/>
    </xf>
    <xf numFmtId="0" fontId="0" fillId="5" borderId="2" xfId="0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left"/>
    </xf>
    <xf numFmtId="0" fontId="11" fillId="5" borderId="2" xfId="0" applyFont="1" applyFill="1" applyBorder="1" applyAlignment="1">
      <alignment horizontal="left"/>
    </xf>
    <xf numFmtId="0" fontId="11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0" fillId="5" borderId="2" xfId="29" applyFont="1" applyFill="1" applyBorder="1" applyAlignment="1">
      <alignment horizontal="center"/>
    </xf>
    <xf numFmtId="0" fontId="0" fillId="8" borderId="2" xfId="29" applyFont="1" applyFill="1" applyBorder="1" applyAlignment="1">
      <alignment horizontal="center"/>
    </xf>
    <xf numFmtId="0" fontId="0" fillId="5" borderId="2" xfId="29" applyFont="1" applyFill="1" applyBorder="1"/>
    <xf numFmtId="0" fontId="0" fillId="11" borderId="2" xfId="29" applyFont="1" applyFill="1" applyBorder="1" applyAlignment="1">
      <alignment horizontal="center"/>
    </xf>
    <xf numFmtId="0" fontId="0" fillId="11" borderId="2" xfId="29" applyFont="1" applyFill="1" applyBorder="1"/>
    <xf numFmtId="0" fontId="0" fillId="9" borderId="2" xfId="29" applyFont="1" applyFill="1" applyBorder="1"/>
    <xf numFmtId="0" fontId="0" fillId="10" borderId="2" xfId="29" applyFont="1" applyFill="1" applyBorder="1"/>
    <xf numFmtId="0" fontId="17" fillId="5" borderId="2" xfId="30" applyFont="1" applyFill="1" applyBorder="1" applyAlignment="1">
      <alignment horizontal="center" wrapText="1"/>
    </xf>
    <xf numFmtId="0" fontId="17" fillId="5" borderId="2" xfId="30" applyFont="1" applyFill="1" applyBorder="1" applyAlignment="1">
      <alignment wrapText="1"/>
    </xf>
    <xf numFmtId="0" fontId="0" fillId="5" borderId="2" xfId="30" applyFont="1" applyFill="1" applyBorder="1" applyAlignment="1">
      <alignment wrapText="1"/>
    </xf>
    <xf numFmtId="0" fontId="0" fillId="5" borderId="2" xfId="30" applyFont="1" applyFill="1" applyBorder="1" applyAlignment="1">
      <alignment horizontal="center" wrapText="1"/>
    </xf>
    <xf numFmtId="0" fontId="0" fillId="5" borderId="2" xfId="31" applyFont="1" applyFill="1" applyBorder="1" applyAlignment="1">
      <alignment wrapText="1"/>
    </xf>
    <xf numFmtId="0" fontId="0" fillId="5" borderId="2" xfId="31" applyFont="1" applyFill="1" applyBorder="1" applyAlignment="1">
      <alignment horizontal="center" wrapText="1"/>
    </xf>
    <xf numFmtId="0" fontId="0" fillId="13" borderId="2" xfId="29" applyFont="1" applyFill="1" applyBorder="1" applyAlignment="1">
      <alignment horizontal="center"/>
    </xf>
    <xf numFmtId="0" fontId="0" fillId="10" borderId="2" xfId="29" applyFont="1" applyFill="1" applyBorder="1" applyAlignment="1">
      <alignment horizontal="center"/>
    </xf>
    <xf numFmtId="0" fontId="0" fillId="14" borderId="2" xfId="29" applyFont="1" applyFill="1" applyBorder="1" applyAlignment="1">
      <alignment horizontal="center"/>
    </xf>
    <xf numFmtId="0" fontId="0" fillId="15" borderId="2" xfId="29" applyFont="1" applyFill="1" applyBorder="1" applyAlignment="1">
      <alignment horizontal="center"/>
    </xf>
    <xf numFmtId="0" fontId="0" fillId="7" borderId="2" xfId="29" applyFont="1" applyFill="1" applyBorder="1" applyAlignment="1">
      <alignment horizontal="center"/>
    </xf>
    <xf numFmtId="0" fontId="0" fillId="7" borderId="2" xfId="29" applyFont="1" applyFill="1" applyBorder="1" applyAlignment="1">
      <alignment vertical="center"/>
    </xf>
    <xf numFmtId="0" fontId="0" fillId="16" borderId="2" xfId="29" applyFont="1" applyFill="1" applyBorder="1" applyAlignment="1">
      <alignment vertical="center"/>
    </xf>
    <xf numFmtId="0" fontId="0" fillId="5" borderId="2" xfId="29" applyFont="1" applyFill="1" applyBorder="1" applyAlignment="1">
      <alignment horizontal="center" vertical="center" wrapText="1"/>
    </xf>
    <xf numFmtId="0" fontId="0" fillId="7" borderId="2" xfId="33" applyFont="1" applyFill="1" applyBorder="1" applyAlignment="1">
      <alignment horizontal="left"/>
    </xf>
    <xf numFmtId="0" fontId="0" fillId="13" borderId="2" xfId="33" applyFont="1" applyFill="1" applyBorder="1" applyAlignment="1">
      <alignment horizontal="left"/>
    </xf>
    <xf numFmtId="0" fontId="0" fillId="7" borderId="2" xfId="29" applyFont="1" applyFill="1" applyBorder="1" applyAlignment="1">
      <alignment horizontal="left"/>
    </xf>
    <xf numFmtId="0" fontId="0" fillId="12" borderId="2" xfId="29" applyFont="1" applyFill="1" applyBorder="1"/>
    <xf numFmtId="1" fontId="5" fillId="2" borderId="2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0" fontId="2" fillId="2" borderId="4" xfId="0" applyNumberFormat="1" applyFont="1" applyFill="1" applyBorder="1" applyAlignment="1">
      <alignment horizontal="center"/>
    </xf>
    <xf numFmtId="10" fontId="2" fillId="2" borderId="5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vertical="center" wrapText="1"/>
    </xf>
    <xf numFmtId="9" fontId="4" fillId="2" borderId="6" xfId="1" applyFont="1" applyFill="1" applyBorder="1" applyAlignment="1">
      <alignment horizontal="center" vertical="center" wrapText="1"/>
    </xf>
    <xf numFmtId="9" fontId="4" fillId="2" borderId="7" xfId="1" applyFont="1" applyFill="1" applyBorder="1" applyAlignment="1">
      <alignment horizontal="center" vertical="center" wrapText="1"/>
    </xf>
    <xf numFmtId="9" fontId="10" fillId="2" borderId="6" xfId="1" applyFont="1" applyFill="1" applyBorder="1" applyAlignment="1">
      <alignment horizontal="center" vertical="center" wrapText="1"/>
    </xf>
    <xf numFmtId="9" fontId="10" fillId="2" borderId="7" xfId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" fontId="4" fillId="2" borderId="8" xfId="0" applyNumberFormat="1" applyFont="1" applyFill="1" applyBorder="1" applyAlignment="1">
      <alignment horizontal="center" vertical="center" wrapText="1"/>
    </xf>
    <xf numFmtId="9" fontId="4" fillId="2" borderId="9" xfId="1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2" borderId="8" xfId="0" applyNumberFormat="1" applyFont="1" applyFill="1" applyBorder="1" applyAlignment="1">
      <alignment horizontal="center" vertical="center" wrapText="1"/>
    </xf>
    <xf numFmtId="9" fontId="5" fillId="2" borderId="6" xfId="1" applyFont="1" applyFill="1" applyBorder="1" applyAlignment="1">
      <alignment horizontal="center" vertical="center" wrapText="1"/>
    </xf>
    <xf numFmtId="9" fontId="5" fillId="2" borderId="9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5" borderId="2" xfId="0" applyFont="1" applyFill="1" applyBorder="1"/>
    <xf numFmtId="0" fontId="0" fillId="5" borderId="2" xfId="0" applyFont="1" applyFill="1" applyBorder="1" applyAlignment="1">
      <alignment horizontal="left" wrapText="1"/>
    </xf>
    <xf numFmtId="0" fontId="0" fillId="5" borderId="2" xfId="0" applyFont="1" applyFill="1" applyBorder="1" applyAlignment="1">
      <alignment horizontal="center" wrapText="1"/>
    </xf>
    <xf numFmtId="9" fontId="4" fillId="2" borderId="6" xfId="1" applyNumberFormat="1" applyFont="1" applyFill="1" applyBorder="1" applyAlignment="1">
      <alignment horizontal="center" vertical="center" wrapText="1"/>
    </xf>
    <xf numFmtId="9" fontId="4" fillId="2" borderId="9" xfId="1" applyNumberFormat="1" applyFont="1" applyFill="1" applyBorder="1" applyAlignment="1">
      <alignment horizontal="center" vertical="center" wrapText="1"/>
    </xf>
    <xf numFmtId="9" fontId="0" fillId="5" borderId="2" xfId="0" applyNumberFormat="1" applyFont="1" applyFill="1" applyBorder="1"/>
    <xf numFmtId="0" fontId="0" fillId="0" borderId="0" xfId="0"/>
    <xf numFmtId="0" fontId="0" fillId="5" borderId="2" xfId="0" applyFont="1" applyFill="1" applyBorder="1" applyAlignment="1">
      <alignment wrapText="1"/>
    </xf>
    <xf numFmtId="0" fontId="0" fillId="11" borderId="2" xfId="0" applyFont="1" applyFill="1" applyBorder="1" applyAlignment="1">
      <alignment wrapText="1"/>
    </xf>
    <xf numFmtId="0" fontId="0" fillId="5" borderId="2" xfId="0" applyFont="1" applyFill="1" applyBorder="1" applyAlignment="1">
      <alignment horizontal="center" vertical="center"/>
    </xf>
    <xf numFmtId="0" fontId="0" fillId="0" borderId="0" xfId="0"/>
    <xf numFmtId="0" fontId="0" fillId="12" borderId="2" xfId="0" applyFont="1" applyFill="1" applyBorder="1" applyAlignment="1">
      <alignment horizontal="left" vertical="center"/>
    </xf>
    <xf numFmtId="0" fontId="0" fillId="8" borderId="2" xfId="0" applyFont="1" applyFill="1" applyBorder="1" applyAlignment="1">
      <alignment horizontal="center"/>
    </xf>
    <xf numFmtId="0" fontId="0" fillId="7" borderId="2" xfId="0" applyFont="1" applyFill="1" applyBorder="1"/>
    <xf numFmtId="0" fontId="0" fillId="0" borderId="0" xfId="0" applyAlignment="1">
      <alignment horizontal="center"/>
    </xf>
    <xf numFmtId="0" fontId="0" fillId="11" borderId="2" xfId="34" applyFont="1" applyFill="1" applyBorder="1" applyAlignment="1">
      <alignment wrapText="1"/>
    </xf>
    <xf numFmtId="0" fontId="0" fillId="5" borderId="2" xfId="34" applyFont="1" applyFill="1" applyBorder="1" applyAlignment="1">
      <alignment horizontal="center" vertical="center"/>
    </xf>
    <xf numFmtId="0" fontId="0" fillId="9" borderId="2" xfId="34" applyFont="1" applyFill="1" applyBorder="1" applyAlignment="1">
      <alignment wrapText="1"/>
    </xf>
    <xf numFmtId="0" fontId="2" fillId="0" borderId="2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10" fontId="3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35">
    <cellStyle name="Normal" xfId="0" builtinId="0"/>
    <cellStyle name="Normal 10" xfId="20" xr:uid="{BBD66683-AF63-4848-83F9-46E93DEF3AB0}"/>
    <cellStyle name="Normal 11" xfId="21" xr:uid="{01E18E05-DEF2-4A6F-8D51-698E55FDBA93}"/>
    <cellStyle name="Normal 12" xfId="22" xr:uid="{746BBC0A-684B-4B96-92CF-6E6EC62CBC66}"/>
    <cellStyle name="Normal 13" xfId="23" xr:uid="{A9FF9464-54F5-4347-9CFA-DB146D46A599}"/>
    <cellStyle name="Normal 14" xfId="24" xr:uid="{3EBE20F0-92DA-485E-AF86-42985DBF9BD5}"/>
    <cellStyle name="Normal 15" xfId="29" xr:uid="{298D1755-3030-4ED4-A91A-756AECE1B83B}"/>
    <cellStyle name="Normal 16" xfId="30" xr:uid="{29A0774E-3E85-442C-B69E-B7C532D63832}"/>
    <cellStyle name="Normal 17" xfId="31" xr:uid="{65B296BC-769C-453F-BF39-47FB98ED3057}"/>
    <cellStyle name="Normal 2" xfId="2" xr:uid="{7A9B8534-1039-4C27-97FD-7E20790B8A1B}"/>
    <cellStyle name="Normal 2 2" xfId="4" xr:uid="{738517AE-73CE-4515-B3BC-F898BD7A116D}"/>
    <cellStyle name="Normal 2 3" xfId="12" xr:uid="{916E730D-F1D4-4E4F-A7DC-E68D60463301}"/>
    <cellStyle name="Normal 2 4" xfId="15" xr:uid="{DC97F5BB-F738-4D95-A1D7-A1115DD2E357}"/>
    <cellStyle name="Normal 2 5" xfId="25" xr:uid="{8DEF3870-B405-416D-B0EA-1FBFB8333567}"/>
    <cellStyle name="Normal 2 6" xfId="33" xr:uid="{4CFB8636-C69C-4473-8023-F3DF165AD1EE}"/>
    <cellStyle name="Normal 3" xfId="3" xr:uid="{30F86E5A-273F-4500-A8FF-165ABBF2BC05}"/>
    <cellStyle name="Normal 3 2" xfId="8" xr:uid="{4EEEF613-7DFA-485E-AE6A-02A328F4F6E4}"/>
    <cellStyle name="Normal 3 3" xfId="16" xr:uid="{63151D79-F171-489B-90DC-2FD34DC94824}"/>
    <cellStyle name="Normal 4" xfId="6" xr:uid="{B8DCDE7D-9F0D-4762-B014-8AB842423A35}"/>
    <cellStyle name="Normal 4 2" xfId="9" xr:uid="{B752DECD-04EA-4855-905C-C0A4EE574227}"/>
    <cellStyle name="Normal 4 3" xfId="17" xr:uid="{BD2DCB0F-4E7A-4D3B-8E20-FAD5A945EB44}"/>
    <cellStyle name="Normal 4 4" xfId="34" xr:uid="{8F14FCE5-44F9-4626-8881-C0BCEB3D65DB}"/>
    <cellStyle name="Normal 5" xfId="10" xr:uid="{0F5EC593-7CD0-4697-B03E-E2C41AC878D4}"/>
    <cellStyle name="Normal 5 2" xfId="18" xr:uid="{F325157F-9AF8-44C2-AE8D-92CC9120F792}"/>
    <cellStyle name="Normal 6" xfId="19" xr:uid="{2953DA56-EB6F-4E34-8D82-7DC3174AEA14}"/>
    <cellStyle name="Normal 7" xfId="11" xr:uid="{B800A218-2BC5-485E-B383-25D7D683A71D}"/>
    <cellStyle name="Normal 7 2" xfId="26" xr:uid="{6FDC4FE3-96A3-42B2-928D-2F81578B3DFA}"/>
    <cellStyle name="Normal 8" xfId="13" xr:uid="{29253710-A80D-477E-B7A5-02EF6DFD754B}"/>
    <cellStyle name="Normal 9" xfId="14" xr:uid="{D0BF15B7-FE12-496F-99B9-B8E983ABEC69}"/>
    <cellStyle name="Percent" xfId="1" builtinId="5"/>
    <cellStyle name="Percent 2" xfId="5" xr:uid="{916FF70C-BEB6-4F39-97C7-A0F0CAE5863A}"/>
    <cellStyle name="Percent 2 2" xfId="27" xr:uid="{44D2563C-71EB-47F8-9C08-8D5FDA08A7DC}"/>
    <cellStyle name="Percent 3" xfId="7" xr:uid="{731AAE32-FC60-4FF7-85C1-52E2BF034EA2}"/>
    <cellStyle name="Percent 4" xfId="28" xr:uid="{357FF445-9E0C-4B4C-B9AE-A45B3F8191F1}"/>
    <cellStyle name="Percent 5" xfId="32" xr:uid="{2D7F376F-ADF3-44D5-AF94-CE8A3E590DEE}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Medium2" defaultPivotStyle="PivotStyleLight16">
    <tableStyle name="TableStylePreset3_Accent1" pivot="0" count="7" xr9:uid="{06B66131-968A-4A98-809A-DDFD856D4BB1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1EDD9583-AF06-481B-82BB-4DF0FEAEFC55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  <tableStyle name="21 NOV - 20 DES 2024-style" pivot="0" count="3" xr9:uid="{D282757F-F1FF-4163-B3DC-4437024B5596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F095-0CC1-45B1-A630-4B9CC9934EC4}">
  <dimension ref="D2:J55"/>
  <sheetViews>
    <sheetView workbookViewId="0">
      <selection activeCell="L5" sqref="L5"/>
    </sheetView>
  </sheetViews>
  <sheetFormatPr defaultRowHeight="14.5" x14ac:dyDescent="0.35"/>
  <cols>
    <col min="4" max="4" width="5.08984375" customWidth="1"/>
    <col min="5" max="5" width="23.1796875" customWidth="1"/>
    <col min="6" max="6" width="10.453125" customWidth="1"/>
    <col min="7" max="8" width="8.7265625" style="196"/>
    <col min="9" max="9" width="12.90625" style="196" customWidth="1"/>
    <col min="10" max="10" width="8.7265625" style="204"/>
  </cols>
  <sheetData>
    <row r="2" spans="4:10" x14ac:dyDescent="0.35">
      <c r="D2" s="173" t="s">
        <v>0</v>
      </c>
      <c r="E2" s="173" t="s">
        <v>1</v>
      </c>
      <c r="F2" s="173" t="s">
        <v>2</v>
      </c>
      <c r="G2" s="208" t="s">
        <v>3</v>
      </c>
      <c r="H2" s="208" t="s">
        <v>4</v>
      </c>
      <c r="I2" s="208" t="s">
        <v>5</v>
      </c>
      <c r="J2" s="172" t="s">
        <v>6</v>
      </c>
    </row>
    <row r="3" spans="4:10" x14ac:dyDescent="0.35">
      <c r="D3" s="174"/>
      <c r="E3" s="174"/>
      <c r="F3" s="174"/>
      <c r="G3" s="209"/>
      <c r="H3" s="209"/>
      <c r="I3" s="209"/>
      <c r="J3" s="172"/>
    </row>
    <row r="4" spans="4:10" x14ac:dyDescent="0.35">
      <c r="D4" s="21">
        <v>1</v>
      </c>
      <c r="E4" s="129" t="s">
        <v>593</v>
      </c>
      <c r="F4" s="26" t="s">
        <v>594</v>
      </c>
      <c r="G4" s="26">
        <v>720</v>
      </c>
      <c r="H4" s="26">
        <v>350</v>
      </c>
      <c r="I4" s="26">
        <f>H4-G4</f>
        <v>-370</v>
      </c>
      <c r="J4" s="203">
        <f>H4/G4*100%</f>
        <v>0.4861111111111111</v>
      </c>
    </row>
    <row r="5" spans="4:10" x14ac:dyDescent="0.35">
      <c r="D5" s="21">
        <v>2</v>
      </c>
      <c r="E5" s="129" t="s">
        <v>595</v>
      </c>
      <c r="F5" s="26" t="s">
        <v>594</v>
      </c>
      <c r="G5" s="26">
        <v>530</v>
      </c>
      <c r="H5" s="26">
        <v>224</v>
      </c>
      <c r="I5" s="26">
        <f t="shared" ref="I5:I54" si="0">H5-G5</f>
        <v>-306</v>
      </c>
      <c r="J5" s="203">
        <f t="shared" ref="J5:J54" si="1">H5/G5*100%</f>
        <v>0.42264150943396228</v>
      </c>
    </row>
    <row r="6" spans="4:10" x14ac:dyDescent="0.35">
      <c r="D6" s="21">
        <v>3</v>
      </c>
      <c r="E6" s="129" t="s">
        <v>596</v>
      </c>
      <c r="F6" s="26" t="s">
        <v>594</v>
      </c>
      <c r="G6" s="26">
        <v>190</v>
      </c>
      <c r="H6" s="26">
        <v>69</v>
      </c>
      <c r="I6" s="26">
        <f t="shared" si="0"/>
        <v>-121</v>
      </c>
      <c r="J6" s="203">
        <f t="shared" si="1"/>
        <v>0.36315789473684212</v>
      </c>
    </row>
    <row r="7" spans="4:10" x14ac:dyDescent="0.35">
      <c r="D7" s="21">
        <v>4</v>
      </c>
      <c r="E7" s="129" t="s">
        <v>597</v>
      </c>
      <c r="F7" s="26" t="s">
        <v>594</v>
      </c>
      <c r="G7" s="26">
        <v>380</v>
      </c>
      <c r="H7" s="26">
        <v>247</v>
      </c>
      <c r="I7" s="26">
        <f t="shared" si="0"/>
        <v>-133</v>
      </c>
      <c r="J7" s="203">
        <f t="shared" si="1"/>
        <v>0.65</v>
      </c>
    </row>
    <row r="8" spans="4:10" x14ac:dyDescent="0.35">
      <c r="D8" s="21">
        <v>5</v>
      </c>
      <c r="E8" s="129" t="s">
        <v>598</v>
      </c>
      <c r="F8" s="26" t="s">
        <v>594</v>
      </c>
      <c r="G8" s="26">
        <v>150</v>
      </c>
      <c r="H8" s="26">
        <v>39</v>
      </c>
      <c r="I8" s="26">
        <f t="shared" si="0"/>
        <v>-111</v>
      </c>
      <c r="J8" s="203">
        <f t="shared" si="1"/>
        <v>0.26</v>
      </c>
    </row>
    <row r="9" spans="4:10" x14ac:dyDescent="0.35">
      <c r="D9" s="21">
        <v>6</v>
      </c>
      <c r="E9" s="129" t="s">
        <v>599</v>
      </c>
      <c r="F9" s="26" t="s">
        <v>594</v>
      </c>
      <c r="G9" s="26">
        <v>150</v>
      </c>
      <c r="H9" s="26">
        <v>116</v>
      </c>
      <c r="I9" s="26">
        <f t="shared" si="0"/>
        <v>-34</v>
      </c>
      <c r="J9" s="203">
        <f t="shared" si="1"/>
        <v>0.77333333333333332</v>
      </c>
    </row>
    <row r="10" spans="4:10" x14ac:dyDescent="0.35">
      <c r="D10" s="21">
        <v>7</v>
      </c>
      <c r="E10" s="130" t="s">
        <v>600</v>
      </c>
      <c r="F10" s="131" t="s">
        <v>594</v>
      </c>
      <c r="G10" s="26">
        <v>190</v>
      </c>
      <c r="H10" s="26">
        <v>107</v>
      </c>
      <c r="I10" s="26">
        <f t="shared" si="0"/>
        <v>-83</v>
      </c>
      <c r="J10" s="203">
        <f t="shared" si="1"/>
        <v>0.56315789473684208</v>
      </c>
    </row>
    <row r="11" spans="4:10" x14ac:dyDescent="0.35">
      <c r="D11" s="21">
        <v>8</v>
      </c>
      <c r="E11" s="130" t="s">
        <v>601</v>
      </c>
      <c r="F11" s="131" t="s">
        <v>594</v>
      </c>
      <c r="G11" s="26">
        <v>190</v>
      </c>
      <c r="H11" s="26">
        <v>114</v>
      </c>
      <c r="I11" s="26">
        <f t="shared" si="0"/>
        <v>-76</v>
      </c>
      <c r="J11" s="203">
        <f t="shared" si="1"/>
        <v>0.6</v>
      </c>
    </row>
    <row r="12" spans="4:10" x14ac:dyDescent="0.35">
      <c r="D12" s="21">
        <v>9</v>
      </c>
      <c r="E12" s="130" t="s">
        <v>602</v>
      </c>
      <c r="F12" s="131" t="s">
        <v>594</v>
      </c>
      <c r="G12" s="26">
        <v>300</v>
      </c>
      <c r="H12" s="26">
        <v>102</v>
      </c>
      <c r="I12" s="26">
        <f t="shared" si="0"/>
        <v>-198</v>
      </c>
      <c r="J12" s="203">
        <f t="shared" si="1"/>
        <v>0.34</v>
      </c>
    </row>
    <row r="13" spans="4:10" x14ac:dyDescent="0.35">
      <c r="D13" s="21">
        <v>10</v>
      </c>
      <c r="E13" s="130" t="s">
        <v>603</v>
      </c>
      <c r="F13" s="131" t="s">
        <v>594</v>
      </c>
      <c r="G13" s="26">
        <v>150</v>
      </c>
      <c r="H13" s="26">
        <v>37</v>
      </c>
      <c r="I13" s="26">
        <f t="shared" si="0"/>
        <v>-113</v>
      </c>
      <c r="J13" s="203">
        <f t="shared" si="1"/>
        <v>0.24666666666666667</v>
      </c>
    </row>
    <row r="14" spans="4:10" x14ac:dyDescent="0.35">
      <c r="D14" s="21">
        <v>11</v>
      </c>
      <c r="E14" s="130" t="s">
        <v>682</v>
      </c>
      <c r="F14" s="131" t="s">
        <v>594</v>
      </c>
      <c r="G14" s="26">
        <v>380</v>
      </c>
      <c r="H14" s="26">
        <v>153</v>
      </c>
      <c r="I14" s="26">
        <f t="shared" si="0"/>
        <v>-227</v>
      </c>
      <c r="J14" s="203">
        <f t="shared" si="1"/>
        <v>0.4026315789473684</v>
      </c>
    </row>
    <row r="15" spans="4:10" x14ac:dyDescent="0.35">
      <c r="D15" s="21">
        <v>12</v>
      </c>
      <c r="E15" s="130" t="s">
        <v>604</v>
      </c>
      <c r="F15" s="131" t="s">
        <v>594</v>
      </c>
      <c r="G15" s="26">
        <v>530</v>
      </c>
      <c r="H15" s="26">
        <v>324</v>
      </c>
      <c r="I15" s="26">
        <f t="shared" si="0"/>
        <v>-206</v>
      </c>
      <c r="J15" s="203">
        <f t="shared" si="1"/>
        <v>0.61132075471698111</v>
      </c>
    </row>
    <row r="16" spans="4:10" x14ac:dyDescent="0.35">
      <c r="D16" s="21">
        <v>13</v>
      </c>
      <c r="E16" s="130" t="s">
        <v>605</v>
      </c>
      <c r="F16" s="131" t="s">
        <v>594</v>
      </c>
      <c r="G16" s="26">
        <v>230</v>
      </c>
      <c r="H16" s="26">
        <v>185</v>
      </c>
      <c r="I16" s="26">
        <f t="shared" si="0"/>
        <v>-45</v>
      </c>
      <c r="J16" s="203">
        <f t="shared" si="1"/>
        <v>0.80434782608695654</v>
      </c>
    </row>
    <row r="17" spans="4:10" x14ac:dyDescent="0.35">
      <c r="D17" s="21">
        <v>14</v>
      </c>
      <c r="E17" s="132" t="s">
        <v>606</v>
      </c>
      <c r="F17" s="26" t="s">
        <v>594</v>
      </c>
      <c r="G17" s="26">
        <v>190</v>
      </c>
      <c r="H17" s="26">
        <v>107</v>
      </c>
      <c r="I17" s="26">
        <f t="shared" si="0"/>
        <v>-83</v>
      </c>
      <c r="J17" s="203">
        <f t="shared" si="1"/>
        <v>0.56315789473684208</v>
      </c>
    </row>
    <row r="18" spans="4:10" x14ac:dyDescent="0.35">
      <c r="D18" s="21">
        <v>15</v>
      </c>
      <c r="E18" s="132" t="s">
        <v>607</v>
      </c>
      <c r="F18" s="26" t="s">
        <v>594</v>
      </c>
      <c r="G18" s="26">
        <v>530</v>
      </c>
      <c r="H18" s="26">
        <v>325</v>
      </c>
      <c r="I18" s="26">
        <f t="shared" si="0"/>
        <v>-205</v>
      </c>
      <c r="J18" s="203">
        <f t="shared" si="1"/>
        <v>0.6132075471698113</v>
      </c>
    </row>
    <row r="19" spans="4:10" x14ac:dyDescent="0.35">
      <c r="D19" s="21">
        <v>16</v>
      </c>
      <c r="E19" s="132" t="s">
        <v>608</v>
      </c>
      <c r="F19" s="26" t="s">
        <v>594</v>
      </c>
      <c r="G19" s="26">
        <v>530</v>
      </c>
      <c r="H19" s="26">
        <v>342</v>
      </c>
      <c r="I19" s="26">
        <f t="shared" si="0"/>
        <v>-188</v>
      </c>
      <c r="J19" s="203">
        <f t="shared" si="1"/>
        <v>0.6452830188679245</v>
      </c>
    </row>
    <row r="20" spans="4:10" x14ac:dyDescent="0.35">
      <c r="D20" s="21">
        <v>17</v>
      </c>
      <c r="E20" s="132" t="s">
        <v>609</v>
      </c>
      <c r="F20" s="26" t="s">
        <v>594</v>
      </c>
      <c r="G20" s="26">
        <v>150</v>
      </c>
      <c r="H20" s="26">
        <v>82</v>
      </c>
      <c r="I20" s="26">
        <f t="shared" si="0"/>
        <v>-68</v>
      </c>
      <c r="J20" s="203">
        <f t="shared" si="1"/>
        <v>0.54666666666666663</v>
      </c>
    </row>
    <row r="21" spans="4:10" x14ac:dyDescent="0.35">
      <c r="D21" s="21">
        <v>18</v>
      </c>
      <c r="E21" s="132" t="s">
        <v>610</v>
      </c>
      <c r="F21" s="26" t="s">
        <v>594</v>
      </c>
      <c r="G21" s="26">
        <v>125</v>
      </c>
      <c r="H21" s="26">
        <v>16</v>
      </c>
      <c r="I21" s="26">
        <f t="shared" si="0"/>
        <v>-109</v>
      </c>
      <c r="J21" s="203">
        <f t="shared" si="1"/>
        <v>0.128</v>
      </c>
    </row>
    <row r="22" spans="4:10" x14ac:dyDescent="0.35">
      <c r="D22" s="21">
        <v>19</v>
      </c>
      <c r="E22" s="132" t="s">
        <v>792</v>
      </c>
      <c r="F22" s="26" t="s">
        <v>594</v>
      </c>
      <c r="G22" s="26">
        <v>300</v>
      </c>
      <c r="H22" s="26">
        <v>253</v>
      </c>
      <c r="I22" s="26">
        <f t="shared" si="0"/>
        <v>-47</v>
      </c>
      <c r="J22" s="203">
        <f t="shared" si="1"/>
        <v>0.84333333333333338</v>
      </c>
    </row>
    <row r="23" spans="4:10" x14ac:dyDescent="0.35">
      <c r="D23" s="21">
        <v>20</v>
      </c>
      <c r="E23" s="132" t="s">
        <v>611</v>
      </c>
      <c r="F23" s="26" t="s">
        <v>594</v>
      </c>
      <c r="G23" s="26">
        <v>570</v>
      </c>
      <c r="H23" s="26">
        <v>435</v>
      </c>
      <c r="I23" s="26">
        <f t="shared" si="0"/>
        <v>-135</v>
      </c>
      <c r="J23" s="203">
        <f t="shared" si="1"/>
        <v>0.76315789473684215</v>
      </c>
    </row>
    <row r="24" spans="4:10" x14ac:dyDescent="0.35">
      <c r="D24" s="21">
        <v>21</v>
      </c>
      <c r="E24" s="132" t="s">
        <v>612</v>
      </c>
      <c r="F24" s="26" t="s">
        <v>594</v>
      </c>
      <c r="G24" s="26">
        <v>300</v>
      </c>
      <c r="H24" s="26">
        <v>138</v>
      </c>
      <c r="I24" s="26">
        <f t="shared" si="0"/>
        <v>-162</v>
      </c>
      <c r="J24" s="203">
        <f t="shared" si="1"/>
        <v>0.46</v>
      </c>
    </row>
    <row r="25" spans="4:10" x14ac:dyDescent="0.35">
      <c r="D25" s="21">
        <v>22</v>
      </c>
      <c r="E25" s="132" t="s">
        <v>613</v>
      </c>
      <c r="F25" s="26" t="s">
        <v>594</v>
      </c>
      <c r="G25" s="26">
        <v>380</v>
      </c>
      <c r="H25" s="26">
        <v>212</v>
      </c>
      <c r="I25" s="26">
        <f t="shared" si="0"/>
        <v>-168</v>
      </c>
      <c r="J25" s="203">
        <f t="shared" si="1"/>
        <v>0.55789473684210522</v>
      </c>
    </row>
    <row r="26" spans="4:10" x14ac:dyDescent="0.35">
      <c r="D26" s="21">
        <v>23</v>
      </c>
      <c r="E26" s="132" t="s">
        <v>614</v>
      </c>
      <c r="F26" s="26" t="s">
        <v>594</v>
      </c>
      <c r="G26" s="26">
        <v>300</v>
      </c>
      <c r="H26" s="26">
        <v>180</v>
      </c>
      <c r="I26" s="26">
        <f t="shared" si="0"/>
        <v>-120</v>
      </c>
      <c r="J26" s="203">
        <f t="shared" si="1"/>
        <v>0.6</v>
      </c>
    </row>
    <row r="27" spans="4:10" x14ac:dyDescent="0.35">
      <c r="D27" s="21">
        <v>24</v>
      </c>
      <c r="E27" s="132" t="s">
        <v>615</v>
      </c>
      <c r="F27" s="26" t="s">
        <v>594</v>
      </c>
      <c r="G27" s="26">
        <v>570</v>
      </c>
      <c r="H27" s="26">
        <v>362</v>
      </c>
      <c r="I27" s="26">
        <f t="shared" si="0"/>
        <v>-208</v>
      </c>
      <c r="J27" s="203">
        <f t="shared" si="1"/>
        <v>0.63508771929824559</v>
      </c>
    </row>
    <row r="28" spans="4:10" x14ac:dyDescent="0.35">
      <c r="D28" s="21">
        <v>25</v>
      </c>
      <c r="E28" s="132" t="s">
        <v>616</v>
      </c>
      <c r="F28" s="26" t="s">
        <v>594</v>
      </c>
      <c r="G28" s="26">
        <v>570</v>
      </c>
      <c r="H28" s="26">
        <v>336</v>
      </c>
      <c r="I28" s="26">
        <f t="shared" si="0"/>
        <v>-234</v>
      </c>
      <c r="J28" s="203">
        <f t="shared" si="1"/>
        <v>0.58947368421052626</v>
      </c>
    </row>
    <row r="29" spans="4:10" x14ac:dyDescent="0.35">
      <c r="D29" s="21">
        <v>26</v>
      </c>
      <c r="E29" s="132" t="s">
        <v>617</v>
      </c>
      <c r="F29" s="26" t="s">
        <v>594</v>
      </c>
      <c r="G29" s="26">
        <v>450</v>
      </c>
      <c r="H29" s="26">
        <v>311</v>
      </c>
      <c r="I29" s="26">
        <f t="shared" si="0"/>
        <v>-139</v>
      </c>
      <c r="J29" s="203">
        <f t="shared" si="1"/>
        <v>0.69111111111111112</v>
      </c>
    </row>
    <row r="30" spans="4:10" x14ac:dyDescent="0.35">
      <c r="D30" s="21">
        <v>27</v>
      </c>
      <c r="E30" s="132" t="s">
        <v>618</v>
      </c>
      <c r="F30" s="26" t="s">
        <v>594</v>
      </c>
      <c r="G30" s="26">
        <v>150</v>
      </c>
      <c r="H30" s="26">
        <v>139</v>
      </c>
      <c r="I30" s="26">
        <f t="shared" si="0"/>
        <v>-11</v>
      </c>
      <c r="J30" s="203">
        <f t="shared" si="1"/>
        <v>0.92666666666666664</v>
      </c>
    </row>
    <row r="31" spans="4:10" x14ac:dyDescent="0.35">
      <c r="D31" s="21">
        <v>28</v>
      </c>
      <c r="E31" s="132" t="s">
        <v>642</v>
      </c>
      <c r="F31" s="26" t="s">
        <v>594</v>
      </c>
      <c r="G31" s="26">
        <v>190</v>
      </c>
      <c r="H31" s="26">
        <v>35</v>
      </c>
      <c r="I31" s="26">
        <f t="shared" si="0"/>
        <v>-155</v>
      </c>
      <c r="J31" s="203">
        <f t="shared" si="1"/>
        <v>0.18421052631578946</v>
      </c>
    </row>
    <row r="32" spans="4:10" x14ac:dyDescent="0.35">
      <c r="D32" s="21">
        <v>29</v>
      </c>
      <c r="E32" s="132" t="s">
        <v>619</v>
      </c>
      <c r="F32" s="26" t="s">
        <v>594</v>
      </c>
      <c r="G32" s="26">
        <v>1360</v>
      </c>
      <c r="H32" s="26">
        <v>1502</v>
      </c>
      <c r="I32" s="26">
        <f t="shared" si="0"/>
        <v>142</v>
      </c>
      <c r="J32" s="203">
        <f t="shared" si="1"/>
        <v>1.1044117647058824</v>
      </c>
    </row>
    <row r="33" spans="4:10" x14ac:dyDescent="0.35">
      <c r="D33" s="21">
        <v>30</v>
      </c>
      <c r="E33" s="132" t="s">
        <v>620</v>
      </c>
      <c r="F33" s="26" t="s">
        <v>594</v>
      </c>
      <c r="G33" s="26">
        <v>150</v>
      </c>
      <c r="H33" s="26">
        <v>38</v>
      </c>
      <c r="I33" s="26">
        <f t="shared" si="0"/>
        <v>-112</v>
      </c>
      <c r="J33" s="203">
        <f t="shared" si="1"/>
        <v>0.25333333333333335</v>
      </c>
    </row>
    <row r="34" spans="4:10" x14ac:dyDescent="0.35">
      <c r="D34" s="21">
        <v>31</v>
      </c>
      <c r="E34" s="132" t="s">
        <v>621</v>
      </c>
      <c r="F34" s="26" t="s">
        <v>594</v>
      </c>
      <c r="G34" s="26">
        <v>340</v>
      </c>
      <c r="H34" s="26">
        <v>346</v>
      </c>
      <c r="I34" s="26">
        <f t="shared" si="0"/>
        <v>6</v>
      </c>
      <c r="J34" s="203">
        <f t="shared" si="1"/>
        <v>1.0176470588235293</v>
      </c>
    </row>
    <row r="35" spans="4:10" x14ac:dyDescent="0.35">
      <c r="D35" s="21">
        <v>32</v>
      </c>
      <c r="E35" s="132" t="s">
        <v>622</v>
      </c>
      <c r="F35" s="26" t="s">
        <v>594</v>
      </c>
      <c r="G35" s="26">
        <v>450</v>
      </c>
      <c r="H35" s="26">
        <v>264</v>
      </c>
      <c r="I35" s="26">
        <f t="shared" si="0"/>
        <v>-186</v>
      </c>
      <c r="J35" s="203">
        <f t="shared" si="1"/>
        <v>0.58666666666666667</v>
      </c>
    </row>
    <row r="36" spans="4:10" x14ac:dyDescent="0.35">
      <c r="D36" s="21">
        <v>33</v>
      </c>
      <c r="E36" s="132" t="s">
        <v>623</v>
      </c>
      <c r="F36" s="26" t="s">
        <v>594</v>
      </c>
      <c r="G36" s="26">
        <v>640</v>
      </c>
      <c r="H36" s="26">
        <v>258</v>
      </c>
      <c r="I36" s="26">
        <f t="shared" si="0"/>
        <v>-382</v>
      </c>
      <c r="J36" s="203">
        <f t="shared" si="1"/>
        <v>0.40312500000000001</v>
      </c>
    </row>
    <row r="37" spans="4:10" x14ac:dyDescent="0.35">
      <c r="D37" s="21">
        <v>34</v>
      </c>
      <c r="E37" s="132" t="s">
        <v>624</v>
      </c>
      <c r="F37" s="26" t="s">
        <v>594</v>
      </c>
      <c r="G37" s="26">
        <v>150</v>
      </c>
      <c r="H37" s="26">
        <v>23</v>
      </c>
      <c r="I37" s="26">
        <f t="shared" si="0"/>
        <v>-127</v>
      </c>
      <c r="J37" s="203">
        <f t="shared" si="1"/>
        <v>0.15333333333333332</v>
      </c>
    </row>
    <row r="38" spans="4:10" x14ac:dyDescent="0.35">
      <c r="D38" s="21">
        <v>35</v>
      </c>
      <c r="E38" s="132" t="s">
        <v>625</v>
      </c>
      <c r="F38" s="26" t="s">
        <v>594</v>
      </c>
      <c r="G38" s="26">
        <v>490</v>
      </c>
      <c r="H38" s="26">
        <v>229</v>
      </c>
      <c r="I38" s="26">
        <f t="shared" si="0"/>
        <v>-261</v>
      </c>
      <c r="J38" s="203">
        <f t="shared" si="1"/>
        <v>0.4673469387755102</v>
      </c>
    </row>
    <row r="39" spans="4:10" x14ac:dyDescent="0.35">
      <c r="D39" s="21">
        <v>36</v>
      </c>
      <c r="E39" s="132" t="s">
        <v>626</v>
      </c>
      <c r="F39" s="26" t="s">
        <v>594</v>
      </c>
      <c r="G39" s="26">
        <v>190</v>
      </c>
      <c r="H39" s="26">
        <v>65</v>
      </c>
      <c r="I39" s="26">
        <f t="shared" si="0"/>
        <v>-125</v>
      </c>
      <c r="J39" s="203">
        <f t="shared" si="1"/>
        <v>0.34210526315789475</v>
      </c>
    </row>
    <row r="40" spans="4:10" x14ac:dyDescent="0.35">
      <c r="D40" s="21">
        <v>37</v>
      </c>
      <c r="E40" s="132" t="s">
        <v>627</v>
      </c>
      <c r="F40" s="26" t="s">
        <v>594</v>
      </c>
      <c r="G40" s="26">
        <v>200</v>
      </c>
      <c r="H40" s="26">
        <v>128</v>
      </c>
      <c r="I40" s="26">
        <f t="shared" si="0"/>
        <v>-72</v>
      </c>
      <c r="J40" s="203">
        <f t="shared" si="1"/>
        <v>0.64</v>
      </c>
    </row>
    <row r="41" spans="4:10" x14ac:dyDescent="0.35">
      <c r="D41" s="21">
        <v>38</v>
      </c>
      <c r="E41" s="132" t="s">
        <v>628</v>
      </c>
      <c r="F41" s="26" t="s">
        <v>594</v>
      </c>
      <c r="G41" s="26">
        <v>450</v>
      </c>
      <c r="H41" s="26">
        <v>421</v>
      </c>
      <c r="I41" s="26">
        <f t="shared" si="0"/>
        <v>-29</v>
      </c>
      <c r="J41" s="203">
        <f t="shared" si="1"/>
        <v>0.93555555555555558</v>
      </c>
    </row>
    <row r="42" spans="4:10" x14ac:dyDescent="0.35">
      <c r="D42" s="21">
        <v>39</v>
      </c>
      <c r="E42" s="132" t="s">
        <v>629</v>
      </c>
      <c r="F42" s="26" t="s">
        <v>594</v>
      </c>
      <c r="G42" s="26">
        <v>400</v>
      </c>
      <c r="H42" s="26">
        <v>218</v>
      </c>
      <c r="I42" s="26">
        <f t="shared" si="0"/>
        <v>-182</v>
      </c>
      <c r="J42" s="203">
        <f t="shared" si="1"/>
        <v>0.54500000000000004</v>
      </c>
    </row>
    <row r="43" spans="4:10" x14ac:dyDescent="0.35">
      <c r="D43" s="21">
        <v>40</v>
      </c>
      <c r="E43" s="132" t="s">
        <v>630</v>
      </c>
      <c r="F43" s="26" t="s">
        <v>594</v>
      </c>
      <c r="G43" s="26">
        <v>380</v>
      </c>
      <c r="H43" s="26">
        <v>115</v>
      </c>
      <c r="I43" s="26">
        <f t="shared" si="0"/>
        <v>-265</v>
      </c>
      <c r="J43" s="203">
        <f t="shared" si="1"/>
        <v>0.30263157894736842</v>
      </c>
    </row>
    <row r="44" spans="4:10" x14ac:dyDescent="0.35">
      <c r="D44" s="21">
        <v>41</v>
      </c>
      <c r="E44" s="132" t="s">
        <v>631</v>
      </c>
      <c r="F44" s="26" t="s">
        <v>594</v>
      </c>
      <c r="G44" s="26">
        <v>25</v>
      </c>
      <c r="H44" s="26">
        <v>7</v>
      </c>
      <c r="I44" s="26">
        <f t="shared" si="0"/>
        <v>-18</v>
      </c>
      <c r="J44" s="203">
        <f t="shared" si="1"/>
        <v>0.28000000000000003</v>
      </c>
    </row>
    <row r="45" spans="4:10" x14ac:dyDescent="0.35">
      <c r="D45" s="21">
        <v>42</v>
      </c>
      <c r="E45" s="132" t="s">
        <v>632</v>
      </c>
      <c r="F45" s="26" t="s">
        <v>594</v>
      </c>
      <c r="G45" s="26">
        <v>75</v>
      </c>
      <c r="H45" s="26">
        <v>11</v>
      </c>
      <c r="I45" s="26">
        <f t="shared" si="0"/>
        <v>-64</v>
      </c>
      <c r="J45" s="203">
        <f t="shared" si="1"/>
        <v>0.14666666666666667</v>
      </c>
    </row>
    <row r="46" spans="4:10" x14ac:dyDescent="0.35">
      <c r="D46" s="21">
        <v>43</v>
      </c>
      <c r="E46" s="132" t="s">
        <v>633</v>
      </c>
      <c r="F46" s="26" t="s">
        <v>594</v>
      </c>
      <c r="G46" s="26">
        <v>600</v>
      </c>
      <c r="H46" s="26">
        <v>245</v>
      </c>
      <c r="I46" s="26">
        <f t="shared" si="0"/>
        <v>-355</v>
      </c>
      <c r="J46" s="203">
        <f t="shared" si="1"/>
        <v>0.40833333333333333</v>
      </c>
    </row>
    <row r="47" spans="4:10" x14ac:dyDescent="0.35">
      <c r="D47" s="21">
        <v>44</v>
      </c>
      <c r="E47" s="132" t="s">
        <v>634</v>
      </c>
      <c r="F47" s="26" t="s">
        <v>594</v>
      </c>
      <c r="G47" s="26">
        <v>150</v>
      </c>
      <c r="H47" s="26">
        <v>44</v>
      </c>
      <c r="I47" s="26">
        <f t="shared" si="0"/>
        <v>-106</v>
      </c>
      <c r="J47" s="203">
        <f t="shared" si="1"/>
        <v>0.29333333333333333</v>
      </c>
    </row>
    <row r="48" spans="4:10" x14ac:dyDescent="0.35">
      <c r="D48" s="21">
        <v>45</v>
      </c>
      <c r="E48" s="132" t="s">
        <v>635</v>
      </c>
      <c r="F48" s="26" t="s">
        <v>594</v>
      </c>
      <c r="G48" s="26">
        <v>490</v>
      </c>
      <c r="H48" s="26">
        <v>138</v>
      </c>
      <c r="I48" s="26">
        <f t="shared" si="0"/>
        <v>-352</v>
      </c>
      <c r="J48" s="203">
        <f t="shared" si="1"/>
        <v>0.28163265306122448</v>
      </c>
    </row>
    <row r="49" spans="4:10" x14ac:dyDescent="0.35">
      <c r="D49" s="21">
        <v>46</v>
      </c>
      <c r="E49" s="132" t="s">
        <v>636</v>
      </c>
      <c r="F49" s="26" t="s">
        <v>594</v>
      </c>
      <c r="G49" s="26">
        <v>340</v>
      </c>
      <c r="H49" s="26">
        <v>205</v>
      </c>
      <c r="I49" s="26">
        <f t="shared" si="0"/>
        <v>-135</v>
      </c>
      <c r="J49" s="203">
        <f t="shared" si="1"/>
        <v>0.6029411764705882</v>
      </c>
    </row>
    <row r="50" spans="4:10" x14ac:dyDescent="0.35">
      <c r="D50" s="21">
        <v>47</v>
      </c>
      <c r="E50" s="132" t="s">
        <v>637</v>
      </c>
      <c r="F50" s="26" t="s">
        <v>594</v>
      </c>
      <c r="G50" s="26">
        <v>380</v>
      </c>
      <c r="H50" s="26">
        <v>281</v>
      </c>
      <c r="I50" s="26">
        <f t="shared" si="0"/>
        <v>-99</v>
      </c>
      <c r="J50" s="203">
        <f t="shared" si="1"/>
        <v>0.73947368421052628</v>
      </c>
    </row>
    <row r="51" spans="4:10" x14ac:dyDescent="0.35">
      <c r="D51" s="21">
        <v>48</v>
      </c>
      <c r="E51" s="132" t="s">
        <v>638</v>
      </c>
      <c r="F51" s="26" t="s">
        <v>594</v>
      </c>
      <c r="G51" s="26">
        <v>600</v>
      </c>
      <c r="H51" s="26">
        <v>441</v>
      </c>
      <c r="I51" s="26">
        <f t="shared" si="0"/>
        <v>-159</v>
      </c>
      <c r="J51" s="203">
        <f t="shared" si="1"/>
        <v>0.73499999999999999</v>
      </c>
    </row>
    <row r="52" spans="4:10" x14ac:dyDescent="0.35">
      <c r="D52" s="21">
        <v>49</v>
      </c>
      <c r="E52" s="132" t="s">
        <v>639</v>
      </c>
      <c r="F52" s="26" t="s">
        <v>594</v>
      </c>
      <c r="G52" s="26">
        <v>420</v>
      </c>
      <c r="H52" s="26">
        <v>114</v>
      </c>
      <c r="I52" s="26">
        <f t="shared" si="0"/>
        <v>-306</v>
      </c>
      <c r="J52" s="203">
        <f t="shared" si="1"/>
        <v>0.27142857142857141</v>
      </c>
    </row>
    <row r="53" spans="4:10" x14ac:dyDescent="0.35">
      <c r="D53" s="21">
        <v>50</v>
      </c>
      <c r="E53" s="132" t="s">
        <v>640</v>
      </c>
      <c r="F53" s="26" t="s">
        <v>594</v>
      </c>
      <c r="G53" s="26">
        <v>150</v>
      </c>
      <c r="H53" s="26">
        <v>13</v>
      </c>
      <c r="I53" s="26">
        <f t="shared" si="0"/>
        <v>-137</v>
      </c>
      <c r="J53" s="203">
        <f t="shared" si="1"/>
        <v>8.666666666666667E-2</v>
      </c>
    </row>
    <row r="54" spans="4:10" x14ac:dyDescent="0.35">
      <c r="D54" s="21">
        <v>51</v>
      </c>
      <c r="E54" s="132" t="s">
        <v>641</v>
      </c>
      <c r="F54" s="26" t="s">
        <v>594</v>
      </c>
      <c r="G54" s="26">
        <v>150</v>
      </c>
      <c r="H54" s="26">
        <v>8</v>
      </c>
      <c r="I54" s="26">
        <f t="shared" si="0"/>
        <v>-142</v>
      </c>
      <c r="J54" s="203">
        <f t="shared" si="1"/>
        <v>5.3333333333333337E-2</v>
      </c>
    </row>
    <row r="55" spans="4:10" ht="23" customHeight="1" x14ac:dyDescent="0.35">
      <c r="D55" s="9"/>
      <c r="E55" s="21" t="s">
        <v>34</v>
      </c>
      <c r="F55" s="21"/>
      <c r="G55" s="26">
        <f>SUM(G4:G54)</f>
        <v>17975</v>
      </c>
      <c r="H55" s="26">
        <f>SUM(H4:H54)</f>
        <v>10454</v>
      </c>
      <c r="I55" s="26"/>
      <c r="J55" s="203">
        <f>H55/G55*100%</f>
        <v>0.58158553546592484</v>
      </c>
    </row>
  </sheetData>
  <mergeCells count="7">
    <mergeCell ref="I2:I3"/>
    <mergeCell ref="J2:J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5A7E-7892-4168-B500-3DA32365CA1F}">
  <dimension ref="A1:G110"/>
  <sheetViews>
    <sheetView topLeftCell="A22" workbookViewId="0">
      <selection activeCell="J27" sqref="J27"/>
    </sheetView>
  </sheetViews>
  <sheetFormatPr defaultRowHeight="14.5" x14ac:dyDescent="0.35"/>
  <cols>
    <col min="1" max="1" width="5.08984375" customWidth="1"/>
    <col min="2" max="2" width="16.453125" customWidth="1"/>
    <col min="3" max="3" width="28.90625" style="180" customWidth="1"/>
    <col min="4" max="4" width="9" style="196" customWidth="1"/>
    <col min="5" max="5" width="9.36328125" style="196" customWidth="1"/>
    <col min="6" max="6" width="7.26953125" style="196" customWidth="1"/>
    <col min="7" max="7" width="8.7265625" style="196"/>
  </cols>
  <sheetData>
    <row r="1" spans="1:7" x14ac:dyDescent="0.35">
      <c r="A1" s="1" t="s">
        <v>7</v>
      </c>
      <c r="B1" s="1" t="s">
        <v>8</v>
      </c>
      <c r="C1" s="179" t="s">
        <v>9</v>
      </c>
      <c r="D1" s="1" t="s">
        <v>10</v>
      </c>
      <c r="E1" s="1" t="s">
        <v>3</v>
      </c>
      <c r="F1" s="1" t="s">
        <v>4</v>
      </c>
      <c r="G1" s="2" t="s">
        <v>6</v>
      </c>
    </row>
    <row r="2" spans="1:7" x14ac:dyDescent="0.35">
      <c r="A2" s="21">
        <v>1</v>
      </c>
      <c r="B2" s="21" t="s">
        <v>604</v>
      </c>
      <c r="C2" s="132" t="s">
        <v>381</v>
      </c>
      <c r="D2" s="26">
        <v>7</v>
      </c>
      <c r="E2" s="26">
        <v>190</v>
      </c>
      <c r="F2" s="26">
        <v>101</v>
      </c>
      <c r="G2" s="203">
        <f>F2/E2*100%</f>
        <v>0.53157894736842104</v>
      </c>
    </row>
    <row r="3" spans="1:7" x14ac:dyDescent="0.35">
      <c r="A3" s="21">
        <v>2</v>
      </c>
      <c r="B3" s="21"/>
      <c r="C3" s="132" t="s">
        <v>382</v>
      </c>
      <c r="D3" s="26">
        <v>7</v>
      </c>
      <c r="E3" s="26">
        <v>190</v>
      </c>
      <c r="F3" s="26">
        <v>109</v>
      </c>
      <c r="G3" s="203">
        <f t="shared" ref="G3:G66" si="0">F3/E3*100%</f>
        <v>0.5736842105263158</v>
      </c>
    </row>
    <row r="4" spans="1:7" x14ac:dyDescent="0.35">
      <c r="A4" s="21">
        <v>3</v>
      </c>
      <c r="B4" s="21"/>
      <c r="C4" s="132" t="s">
        <v>383</v>
      </c>
      <c r="D4" s="26">
        <v>5</v>
      </c>
      <c r="E4" s="26">
        <v>150</v>
      </c>
      <c r="F4" s="26">
        <v>114</v>
      </c>
      <c r="G4" s="203">
        <f t="shared" si="0"/>
        <v>0.76</v>
      </c>
    </row>
    <row r="5" spans="1:7" x14ac:dyDescent="0.35">
      <c r="A5" s="21">
        <v>4</v>
      </c>
      <c r="B5" s="21" t="s">
        <v>605</v>
      </c>
      <c r="C5" s="200" t="s">
        <v>846</v>
      </c>
      <c r="D5" s="201">
        <v>9</v>
      </c>
      <c r="E5" s="201">
        <v>230</v>
      </c>
      <c r="F5" s="201">
        <v>185</v>
      </c>
      <c r="G5" s="203">
        <f t="shared" si="0"/>
        <v>0.80434782608695654</v>
      </c>
    </row>
    <row r="6" spans="1:7" x14ac:dyDescent="0.35">
      <c r="A6" s="21">
        <v>5</v>
      </c>
      <c r="B6" s="21" t="s">
        <v>606</v>
      </c>
      <c r="C6" s="200" t="s">
        <v>847</v>
      </c>
      <c r="D6" s="201">
        <v>6</v>
      </c>
      <c r="E6" s="201">
        <v>190</v>
      </c>
      <c r="F6" s="201">
        <v>107</v>
      </c>
      <c r="G6" s="203">
        <f t="shared" si="0"/>
        <v>0.56315789473684208</v>
      </c>
    </row>
    <row r="7" spans="1:7" x14ac:dyDescent="0.35">
      <c r="A7" s="21">
        <v>6</v>
      </c>
      <c r="B7" s="21" t="s">
        <v>848</v>
      </c>
      <c r="C7" s="132" t="s">
        <v>482</v>
      </c>
      <c r="D7" s="26">
        <v>6</v>
      </c>
      <c r="E7" s="26">
        <v>190</v>
      </c>
      <c r="F7" s="26">
        <v>120</v>
      </c>
      <c r="G7" s="203">
        <f t="shared" si="0"/>
        <v>0.63157894736842102</v>
      </c>
    </row>
    <row r="8" spans="1:7" x14ac:dyDescent="0.35">
      <c r="A8" s="21">
        <v>7</v>
      </c>
      <c r="B8" s="21"/>
      <c r="C8" s="132" t="s">
        <v>483</v>
      </c>
      <c r="D8" s="26">
        <v>6</v>
      </c>
      <c r="E8" s="26">
        <v>190</v>
      </c>
      <c r="F8" s="26">
        <v>127</v>
      </c>
      <c r="G8" s="203">
        <f t="shared" si="0"/>
        <v>0.66842105263157892</v>
      </c>
    </row>
    <row r="9" spans="1:7" x14ac:dyDescent="0.35">
      <c r="A9" s="21">
        <v>8</v>
      </c>
      <c r="B9" s="21" t="s">
        <v>850</v>
      </c>
      <c r="C9" s="200" t="s">
        <v>849</v>
      </c>
      <c r="D9" s="201">
        <v>4</v>
      </c>
      <c r="E9" s="201">
        <v>150</v>
      </c>
      <c r="F9" s="201">
        <v>116</v>
      </c>
      <c r="G9" s="203">
        <f t="shared" si="0"/>
        <v>0.77333333333333332</v>
      </c>
    </row>
    <row r="10" spans="1:7" x14ac:dyDescent="0.35">
      <c r="A10" s="21">
        <v>9</v>
      </c>
      <c r="B10" s="21" t="s">
        <v>851</v>
      </c>
      <c r="C10" s="200" t="s">
        <v>852</v>
      </c>
      <c r="D10" s="201">
        <v>5</v>
      </c>
      <c r="E10" s="201">
        <v>150</v>
      </c>
      <c r="F10" s="201">
        <v>39</v>
      </c>
      <c r="G10" s="203">
        <f t="shared" si="0"/>
        <v>0.26</v>
      </c>
    </row>
    <row r="11" spans="1:7" x14ac:dyDescent="0.35">
      <c r="A11" s="21">
        <v>10</v>
      </c>
      <c r="B11" s="21" t="s">
        <v>600</v>
      </c>
      <c r="C11" s="200" t="s">
        <v>853</v>
      </c>
      <c r="D11" s="201">
        <v>7</v>
      </c>
      <c r="E11" s="201">
        <v>190</v>
      </c>
      <c r="F11" s="201">
        <v>107</v>
      </c>
      <c r="G11" s="203">
        <f t="shared" si="0"/>
        <v>0.56315789473684208</v>
      </c>
    </row>
    <row r="12" spans="1:7" x14ac:dyDescent="0.35">
      <c r="A12" s="21">
        <v>11</v>
      </c>
      <c r="B12" s="21" t="s">
        <v>601</v>
      </c>
      <c r="C12" s="200" t="s">
        <v>854</v>
      </c>
      <c r="D12" s="201">
        <v>7</v>
      </c>
      <c r="E12" s="201">
        <v>190</v>
      </c>
      <c r="F12" s="201">
        <v>114</v>
      </c>
      <c r="G12" s="203">
        <f t="shared" si="0"/>
        <v>0.6</v>
      </c>
    </row>
    <row r="13" spans="1:7" x14ac:dyDescent="0.35">
      <c r="A13" s="21">
        <v>12</v>
      </c>
      <c r="B13" s="21" t="s">
        <v>855</v>
      </c>
      <c r="C13" s="200" t="s">
        <v>856</v>
      </c>
      <c r="D13" s="201">
        <v>5</v>
      </c>
      <c r="E13" s="201">
        <v>150</v>
      </c>
      <c r="F13" s="201">
        <v>37</v>
      </c>
      <c r="G13" s="203">
        <f t="shared" si="0"/>
        <v>0.24666666666666667</v>
      </c>
    </row>
    <row r="14" spans="1:7" x14ac:dyDescent="0.35">
      <c r="A14" s="21">
        <v>13</v>
      </c>
      <c r="B14" s="21" t="s">
        <v>682</v>
      </c>
      <c r="C14" s="132" t="s">
        <v>680</v>
      </c>
      <c r="D14" s="26">
        <v>6</v>
      </c>
      <c r="E14" s="26">
        <v>190</v>
      </c>
      <c r="F14" s="26">
        <v>80</v>
      </c>
      <c r="G14" s="203">
        <f t="shared" si="0"/>
        <v>0.42105263157894735</v>
      </c>
    </row>
    <row r="15" spans="1:7" x14ac:dyDescent="0.35">
      <c r="A15" s="21">
        <v>14</v>
      </c>
      <c r="B15" s="21"/>
      <c r="C15" s="132" t="s">
        <v>681</v>
      </c>
      <c r="D15" s="26">
        <v>6</v>
      </c>
      <c r="E15" s="26">
        <v>190</v>
      </c>
      <c r="F15" s="26">
        <v>73</v>
      </c>
      <c r="G15" s="203">
        <f t="shared" si="0"/>
        <v>0.38421052631578945</v>
      </c>
    </row>
    <row r="16" spans="1:7" x14ac:dyDescent="0.35">
      <c r="A16" s="21">
        <v>15</v>
      </c>
      <c r="B16" s="21" t="s">
        <v>593</v>
      </c>
      <c r="C16" s="132" t="s">
        <v>322</v>
      </c>
      <c r="D16" s="26">
        <v>6</v>
      </c>
      <c r="E16" s="26">
        <v>190</v>
      </c>
      <c r="F16" s="26">
        <v>88</v>
      </c>
      <c r="G16" s="203">
        <f t="shared" si="0"/>
        <v>0.4631578947368421</v>
      </c>
    </row>
    <row r="17" spans="1:7" x14ac:dyDescent="0.35">
      <c r="A17" s="21">
        <v>16</v>
      </c>
      <c r="B17" s="21"/>
      <c r="C17" s="132" t="s">
        <v>323</v>
      </c>
      <c r="D17" s="26">
        <v>7</v>
      </c>
      <c r="E17" s="26">
        <v>190</v>
      </c>
      <c r="F17" s="26">
        <v>96</v>
      </c>
      <c r="G17" s="203">
        <f t="shared" si="0"/>
        <v>0.50526315789473686</v>
      </c>
    </row>
    <row r="18" spans="1:7" x14ac:dyDescent="0.35">
      <c r="A18" s="21">
        <v>17</v>
      </c>
      <c r="B18" s="21"/>
      <c r="C18" s="132" t="s">
        <v>324</v>
      </c>
      <c r="D18" s="26">
        <v>6</v>
      </c>
      <c r="E18" s="26">
        <v>190</v>
      </c>
      <c r="F18" s="26">
        <v>85</v>
      </c>
      <c r="G18" s="203">
        <f t="shared" si="0"/>
        <v>0.44736842105263158</v>
      </c>
    </row>
    <row r="19" spans="1:7" x14ac:dyDescent="0.35">
      <c r="A19" s="21">
        <v>18</v>
      </c>
      <c r="B19" s="21"/>
      <c r="C19" s="132" t="s">
        <v>326</v>
      </c>
      <c r="D19" s="26">
        <v>5</v>
      </c>
      <c r="E19" s="26">
        <v>150</v>
      </c>
      <c r="F19" s="26">
        <v>81</v>
      </c>
      <c r="G19" s="203">
        <f t="shared" si="0"/>
        <v>0.54</v>
      </c>
    </row>
    <row r="20" spans="1:7" x14ac:dyDescent="0.35">
      <c r="A20" s="21">
        <v>19</v>
      </c>
      <c r="B20" s="21" t="s">
        <v>857</v>
      </c>
      <c r="C20" s="132" t="s">
        <v>325</v>
      </c>
      <c r="D20" s="26">
        <v>6</v>
      </c>
      <c r="E20" s="26">
        <v>190</v>
      </c>
      <c r="F20" s="26">
        <v>50</v>
      </c>
      <c r="G20" s="203">
        <f t="shared" si="0"/>
        <v>0.26315789473684209</v>
      </c>
    </row>
    <row r="21" spans="1:7" x14ac:dyDescent="0.35">
      <c r="A21" s="21">
        <v>20</v>
      </c>
      <c r="B21" s="21"/>
      <c r="C21" s="132" t="s">
        <v>349</v>
      </c>
      <c r="D21" s="26">
        <v>5</v>
      </c>
      <c r="E21" s="26">
        <v>150</v>
      </c>
      <c r="F21" s="26">
        <v>119</v>
      </c>
      <c r="G21" s="203">
        <f t="shared" si="0"/>
        <v>0.79333333333333333</v>
      </c>
    </row>
    <row r="22" spans="1:7" x14ac:dyDescent="0.35">
      <c r="A22" s="21">
        <v>21</v>
      </c>
      <c r="B22" s="21"/>
      <c r="C22" s="132" t="s">
        <v>350</v>
      </c>
      <c r="D22" s="26">
        <v>7</v>
      </c>
      <c r="E22" s="26">
        <v>190</v>
      </c>
      <c r="F22" s="26">
        <v>55</v>
      </c>
      <c r="G22" s="203">
        <f t="shared" si="0"/>
        <v>0.28947368421052633</v>
      </c>
    </row>
    <row r="23" spans="1:7" x14ac:dyDescent="0.35">
      <c r="A23" s="21">
        <v>22</v>
      </c>
      <c r="B23" s="21" t="s">
        <v>596</v>
      </c>
      <c r="C23" s="200" t="s">
        <v>858</v>
      </c>
      <c r="D23" s="201">
        <v>7</v>
      </c>
      <c r="E23" s="201">
        <v>190</v>
      </c>
      <c r="F23" s="201">
        <v>69</v>
      </c>
      <c r="G23" s="203">
        <f t="shared" si="0"/>
        <v>0.36315789473684212</v>
      </c>
    </row>
    <row r="24" spans="1:7" x14ac:dyDescent="0.35">
      <c r="A24" s="21">
        <v>23</v>
      </c>
      <c r="B24" s="21" t="s">
        <v>615</v>
      </c>
      <c r="C24" s="132" t="s">
        <v>775</v>
      </c>
      <c r="D24" s="26">
        <v>6</v>
      </c>
      <c r="E24" s="26">
        <v>190</v>
      </c>
      <c r="F24" s="26">
        <v>88</v>
      </c>
      <c r="G24" s="203">
        <f t="shared" si="0"/>
        <v>0.4631578947368421</v>
      </c>
    </row>
    <row r="25" spans="1:7" x14ac:dyDescent="0.35">
      <c r="A25" s="21">
        <v>24</v>
      </c>
      <c r="B25" s="21"/>
      <c r="C25" s="132" t="s">
        <v>776</v>
      </c>
      <c r="D25" s="26">
        <v>7</v>
      </c>
      <c r="E25" s="26">
        <v>190</v>
      </c>
      <c r="F25" s="26">
        <v>120</v>
      </c>
      <c r="G25" s="203">
        <f t="shared" si="0"/>
        <v>0.63157894736842102</v>
      </c>
    </row>
    <row r="26" spans="1:7" x14ac:dyDescent="0.35">
      <c r="A26" s="21">
        <v>25</v>
      </c>
      <c r="B26" s="21"/>
      <c r="C26" s="132" t="s">
        <v>777</v>
      </c>
      <c r="D26" s="26">
        <v>7</v>
      </c>
      <c r="E26" s="26">
        <v>190</v>
      </c>
      <c r="F26" s="26">
        <v>154</v>
      </c>
      <c r="G26" s="203">
        <f t="shared" si="0"/>
        <v>0.81052631578947365</v>
      </c>
    </row>
    <row r="27" spans="1:7" x14ac:dyDescent="0.35">
      <c r="A27" s="21">
        <v>26</v>
      </c>
      <c r="B27" s="21" t="s">
        <v>792</v>
      </c>
      <c r="C27" s="132" t="s">
        <v>778</v>
      </c>
      <c r="D27" s="26">
        <v>5</v>
      </c>
      <c r="E27" s="26">
        <v>150</v>
      </c>
      <c r="F27" s="26">
        <v>152</v>
      </c>
      <c r="G27" s="203">
        <f t="shared" si="0"/>
        <v>1.0133333333333334</v>
      </c>
    </row>
    <row r="28" spans="1:7" x14ac:dyDescent="0.35">
      <c r="A28" s="21">
        <v>27</v>
      </c>
      <c r="B28" s="21"/>
      <c r="C28" s="132" t="s">
        <v>779</v>
      </c>
      <c r="D28" s="26">
        <v>5</v>
      </c>
      <c r="E28" s="26">
        <v>150</v>
      </c>
      <c r="F28" s="26">
        <v>101</v>
      </c>
      <c r="G28" s="203">
        <f t="shared" si="0"/>
        <v>0.67333333333333334</v>
      </c>
    </row>
    <row r="29" spans="1:7" x14ac:dyDescent="0.35">
      <c r="A29" s="21">
        <v>28</v>
      </c>
      <c r="B29" s="21" t="s">
        <v>607</v>
      </c>
      <c r="C29" s="47" t="s">
        <v>882</v>
      </c>
      <c r="D29" s="202">
        <v>5</v>
      </c>
      <c r="E29" s="202">
        <v>150</v>
      </c>
      <c r="F29" s="202">
        <v>55</v>
      </c>
      <c r="G29" s="203">
        <f t="shared" si="0"/>
        <v>0.36666666666666664</v>
      </c>
    </row>
    <row r="30" spans="1:7" x14ac:dyDescent="0.35">
      <c r="A30" s="21">
        <v>29</v>
      </c>
      <c r="B30" s="21"/>
      <c r="C30" s="47" t="s">
        <v>883</v>
      </c>
      <c r="D30" s="202">
        <v>7</v>
      </c>
      <c r="E30" s="202">
        <v>190</v>
      </c>
      <c r="F30" s="202">
        <v>149</v>
      </c>
      <c r="G30" s="203">
        <f t="shared" si="0"/>
        <v>0.78421052631578947</v>
      </c>
    </row>
    <row r="31" spans="1:7" x14ac:dyDescent="0.35">
      <c r="A31" s="21">
        <v>30</v>
      </c>
      <c r="B31" s="21"/>
      <c r="C31" s="47" t="s">
        <v>884</v>
      </c>
      <c r="D31" s="202">
        <v>7</v>
      </c>
      <c r="E31" s="202">
        <v>190</v>
      </c>
      <c r="F31" s="202">
        <v>121</v>
      </c>
      <c r="G31" s="203">
        <f t="shared" si="0"/>
        <v>0.63684210526315788</v>
      </c>
    </row>
    <row r="32" spans="1:7" x14ac:dyDescent="0.35">
      <c r="A32" s="21">
        <v>31</v>
      </c>
      <c r="B32" s="21" t="s">
        <v>608</v>
      </c>
      <c r="C32" s="21" t="s">
        <v>906</v>
      </c>
      <c r="D32" s="26">
        <v>7</v>
      </c>
      <c r="E32" s="26">
        <v>190</v>
      </c>
      <c r="F32" s="26">
        <v>147</v>
      </c>
      <c r="G32" s="203">
        <f t="shared" si="0"/>
        <v>0.77368421052631575</v>
      </c>
    </row>
    <row r="33" spans="1:7" x14ac:dyDescent="0.35">
      <c r="A33" s="21">
        <v>32</v>
      </c>
      <c r="B33" s="21"/>
      <c r="C33" s="21" t="s">
        <v>907</v>
      </c>
      <c r="D33" s="26">
        <v>6</v>
      </c>
      <c r="E33" s="26">
        <v>190</v>
      </c>
      <c r="F33" s="26">
        <v>132</v>
      </c>
      <c r="G33" s="203">
        <f t="shared" si="0"/>
        <v>0.69473684210526321</v>
      </c>
    </row>
    <row r="34" spans="1:7" x14ac:dyDescent="0.35">
      <c r="A34" s="21">
        <v>33</v>
      </c>
      <c r="B34" s="21"/>
      <c r="C34" s="21" t="s">
        <v>908</v>
      </c>
      <c r="D34" s="26">
        <v>5</v>
      </c>
      <c r="E34" s="26">
        <v>150</v>
      </c>
      <c r="F34" s="26">
        <v>63</v>
      </c>
      <c r="G34" s="203">
        <f t="shared" si="0"/>
        <v>0.42</v>
      </c>
    </row>
    <row r="35" spans="1:7" x14ac:dyDescent="0.35">
      <c r="A35" s="21">
        <v>34</v>
      </c>
      <c r="B35" s="21" t="s">
        <v>609</v>
      </c>
      <c r="C35" s="132" t="s">
        <v>918</v>
      </c>
      <c r="D35" s="26">
        <v>3</v>
      </c>
      <c r="E35" s="26">
        <v>150</v>
      </c>
      <c r="F35" s="26">
        <v>82</v>
      </c>
      <c r="G35" s="203">
        <f t="shared" si="0"/>
        <v>0.54666666666666663</v>
      </c>
    </row>
    <row r="36" spans="1:7" x14ac:dyDescent="0.35">
      <c r="A36" s="21">
        <v>35</v>
      </c>
      <c r="B36" s="21" t="s">
        <v>610</v>
      </c>
      <c r="C36" s="132" t="s">
        <v>919</v>
      </c>
      <c r="D36" s="26">
        <v>5</v>
      </c>
      <c r="E36" s="26">
        <v>125</v>
      </c>
      <c r="F36" s="26">
        <v>16</v>
      </c>
      <c r="G36" s="203">
        <f t="shared" si="0"/>
        <v>0.128</v>
      </c>
    </row>
    <row r="37" spans="1:7" x14ac:dyDescent="0.35">
      <c r="A37" s="21">
        <v>36</v>
      </c>
      <c r="B37" s="21" t="s">
        <v>611</v>
      </c>
      <c r="C37" s="47" t="s">
        <v>708</v>
      </c>
      <c r="D37" s="202">
        <v>7</v>
      </c>
      <c r="E37" s="202">
        <v>190</v>
      </c>
      <c r="F37" s="202">
        <v>128</v>
      </c>
      <c r="G37" s="203">
        <f t="shared" si="0"/>
        <v>0.67368421052631577</v>
      </c>
    </row>
    <row r="38" spans="1:7" x14ac:dyDescent="0.35">
      <c r="A38" s="21">
        <v>37</v>
      </c>
      <c r="B38" s="21"/>
      <c r="C38" s="47" t="s">
        <v>709</v>
      </c>
      <c r="D38" s="202">
        <v>7</v>
      </c>
      <c r="E38" s="202">
        <v>190</v>
      </c>
      <c r="F38" s="202">
        <v>175</v>
      </c>
      <c r="G38" s="203">
        <f t="shared" si="0"/>
        <v>0.92105263157894735</v>
      </c>
    </row>
    <row r="39" spans="1:7" x14ac:dyDescent="0.35">
      <c r="A39" s="21">
        <v>38</v>
      </c>
      <c r="B39" s="21"/>
      <c r="C39" s="47" t="s">
        <v>710</v>
      </c>
      <c r="D39" s="202">
        <v>7</v>
      </c>
      <c r="E39" s="202">
        <v>190</v>
      </c>
      <c r="F39" s="202">
        <v>132</v>
      </c>
      <c r="G39" s="203">
        <f t="shared" si="0"/>
        <v>0.69473684210526321</v>
      </c>
    </row>
    <row r="40" spans="1:7" x14ac:dyDescent="0.35">
      <c r="A40" s="21">
        <v>39</v>
      </c>
      <c r="B40" s="21" t="s">
        <v>920</v>
      </c>
      <c r="C40" s="21" t="s">
        <v>722</v>
      </c>
      <c r="D40" s="26">
        <v>5</v>
      </c>
      <c r="E40" s="26">
        <v>150</v>
      </c>
      <c r="F40" s="26">
        <v>72</v>
      </c>
      <c r="G40" s="203">
        <f t="shared" si="0"/>
        <v>0.48</v>
      </c>
    </row>
    <row r="41" spans="1:7" x14ac:dyDescent="0.35">
      <c r="A41" s="21">
        <v>40</v>
      </c>
      <c r="B41" s="21"/>
      <c r="C41" s="21" t="s">
        <v>723</v>
      </c>
      <c r="D41" s="26">
        <v>5</v>
      </c>
      <c r="E41" s="26">
        <v>150</v>
      </c>
      <c r="F41" s="26">
        <v>66</v>
      </c>
      <c r="G41" s="203">
        <f t="shared" si="0"/>
        <v>0.44</v>
      </c>
    </row>
    <row r="42" spans="1:7" x14ac:dyDescent="0.35">
      <c r="A42" s="21">
        <v>41</v>
      </c>
      <c r="B42" s="21" t="s">
        <v>616</v>
      </c>
      <c r="C42" s="21" t="s">
        <v>748</v>
      </c>
      <c r="D42" s="26">
        <v>7</v>
      </c>
      <c r="E42" s="26">
        <v>190</v>
      </c>
      <c r="F42" s="26">
        <v>102</v>
      </c>
      <c r="G42" s="203">
        <f t="shared" si="0"/>
        <v>0.5368421052631579</v>
      </c>
    </row>
    <row r="43" spans="1:7" x14ac:dyDescent="0.35">
      <c r="A43" s="21">
        <v>42</v>
      </c>
      <c r="B43" s="21"/>
      <c r="C43" s="21" t="s">
        <v>749</v>
      </c>
      <c r="D43" s="26">
        <v>7</v>
      </c>
      <c r="E43" s="26">
        <v>190</v>
      </c>
      <c r="F43" s="26">
        <v>125</v>
      </c>
      <c r="G43" s="203">
        <f t="shared" si="0"/>
        <v>0.65789473684210531</v>
      </c>
    </row>
    <row r="44" spans="1:7" x14ac:dyDescent="0.35">
      <c r="A44" s="21">
        <v>43</v>
      </c>
      <c r="B44" s="21"/>
      <c r="C44" s="21" t="s">
        <v>750</v>
      </c>
      <c r="D44" s="26">
        <v>7</v>
      </c>
      <c r="E44" s="26">
        <v>190</v>
      </c>
      <c r="F44" s="26">
        <v>109</v>
      </c>
      <c r="G44" s="203">
        <f t="shared" si="0"/>
        <v>0.5736842105263158</v>
      </c>
    </row>
    <row r="45" spans="1:7" x14ac:dyDescent="0.35">
      <c r="A45" s="21">
        <v>44</v>
      </c>
      <c r="B45" s="21" t="s">
        <v>617</v>
      </c>
      <c r="C45" s="21" t="s">
        <v>105</v>
      </c>
      <c r="D45" s="26">
        <v>5</v>
      </c>
      <c r="E45" s="26">
        <v>150</v>
      </c>
      <c r="F45" s="26">
        <v>87</v>
      </c>
      <c r="G45" s="203">
        <f t="shared" si="0"/>
        <v>0.57999999999999996</v>
      </c>
    </row>
    <row r="46" spans="1:7" x14ac:dyDescent="0.35">
      <c r="A46" s="21">
        <v>45</v>
      </c>
      <c r="B46" s="21"/>
      <c r="C46" s="21" t="s">
        <v>103</v>
      </c>
      <c r="D46" s="26">
        <v>5</v>
      </c>
      <c r="E46" s="26">
        <v>150</v>
      </c>
      <c r="F46" s="26">
        <v>107</v>
      </c>
      <c r="G46" s="203">
        <f t="shared" si="0"/>
        <v>0.71333333333333337</v>
      </c>
    </row>
    <row r="47" spans="1:7" x14ac:dyDescent="0.35">
      <c r="A47" s="21">
        <v>46</v>
      </c>
      <c r="B47" s="21"/>
      <c r="C47" s="21" t="s">
        <v>104</v>
      </c>
      <c r="D47" s="26">
        <v>5</v>
      </c>
      <c r="E47" s="26">
        <v>150</v>
      </c>
      <c r="F47" s="26">
        <v>117</v>
      </c>
      <c r="G47" s="203">
        <f t="shared" si="0"/>
        <v>0.78</v>
      </c>
    </row>
    <row r="48" spans="1:7" x14ac:dyDescent="0.35">
      <c r="A48" s="21">
        <v>47</v>
      </c>
      <c r="B48" s="21" t="s">
        <v>613</v>
      </c>
      <c r="C48" s="21" t="s">
        <v>122</v>
      </c>
      <c r="D48" s="26">
        <v>7</v>
      </c>
      <c r="E48" s="26">
        <v>190</v>
      </c>
      <c r="F48" s="26">
        <v>108</v>
      </c>
      <c r="G48" s="203">
        <f t="shared" si="0"/>
        <v>0.56842105263157894</v>
      </c>
    </row>
    <row r="49" spans="1:7" x14ac:dyDescent="0.35">
      <c r="A49" s="21">
        <v>48</v>
      </c>
      <c r="B49" s="21"/>
      <c r="C49" s="21" t="s">
        <v>123</v>
      </c>
      <c r="D49" s="26">
        <v>7</v>
      </c>
      <c r="E49" s="26">
        <v>190</v>
      </c>
      <c r="F49" s="26">
        <v>104</v>
      </c>
      <c r="G49" s="203">
        <f t="shared" si="0"/>
        <v>0.54736842105263162</v>
      </c>
    </row>
    <row r="50" spans="1:7" x14ac:dyDescent="0.35">
      <c r="A50" s="21">
        <v>49</v>
      </c>
      <c r="B50" s="21" t="s">
        <v>614</v>
      </c>
      <c r="C50" s="21" t="s">
        <v>136</v>
      </c>
      <c r="D50" s="26">
        <v>5</v>
      </c>
      <c r="E50" s="26">
        <v>150</v>
      </c>
      <c r="F50" s="26">
        <v>97</v>
      </c>
      <c r="G50" s="203">
        <f t="shared" si="0"/>
        <v>0.64666666666666661</v>
      </c>
    </row>
    <row r="51" spans="1:7" x14ac:dyDescent="0.35">
      <c r="A51" s="21">
        <v>50</v>
      </c>
      <c r="B51" s="21"/>
      <c r="C51" s="21" t="s">
        <v>137</v>
      </c>
      <c r="D51" s="26">
        <v>5</v>
      </c>
      <c r="E51" s="26">
        <v>150</v>
      </c>
      <c r="F51" s="26">
        <v>83</v>
      </c>
      <c r="G51" s="203">
        <f t="shared" si="0"/>
        <v>0.55333333333333334</v>
      </c>
    </row>
    <row r="52" spans="1:7" x14ac:dyDescent="0.35">
      <c r="A52" s="21">
        <v>51</v>
      </c>
      <c r="B52" s="21" t="s">
        <v>602</v>
      </c>
      <c r="C52" s="21" t="s">
        <v>149</v>
      </c>
      <c r="D52" s="26">
        <v>5</v>
      </c>
      <c r="E52" s="26">
        <v>150</v>
      </c>
      <c r="F52" s="26">
        <v>16</v>
      </c>
      <c r="G52" s="203">
        <f t="shared" si="0"/>
        <v>0.10666666666666667</v>
      </c>
    </row>
    <row r="53" spans="1:7" x14ac:dyDescent="0.35">
      <c r="A53" s="21">
        <v>52</v>
      </c>
      <c r="B53" s="21"/>
      <c r="C53" s="21" t="s">
        <v>150</v>
      </c>
      <c r="D53" s="26">
        <v>4</v>
      </c>
      <c r="E53" s="26">
        <v>150</v>
      </c>
      <c r="F53" s="26">
        <v>86</v>
      </c>
      <c r="G53" s="203">
        <f t="shared" si="0"/>
        <v>0.57333333333333336</v>
      </c>
    </row>
    <row r="54" spans="1:7" x14ac:dyDescent="0.35">
      <c r="A54" s="21">
        <v>53</v>
      </c>
      <c r="B54" s="21" t="s">
        <v>618</v>
      </c>
      <c r="C54" s="132" t="s">
        <v>921</v>
      </c>
      <c r="D54" s="26">
        <v>5</v>
      </c>
      <c r="E54" s="26">
        <v>150</v>
      </c>
      <c r="F54" s="26">
        <v>139</v>
      </c>
      <c r="G54" s="203">
        <f t="shared" si="0"/>
        <v>0.92666666666666664</v>
      </c>
    </row>
    <row r="55" spans="1:7" x14ac:dyDescent="0.35">
      <c r="A55" s="21">
        <v>54</v>
      </c>
      <c r="B55" s="21" t="s">
        <v>922</v>
      </c>
      <c r="C55" s="132" t="s">
        <v>882</v>
      </c>
      <c r="D55" s="26">
        <v>7</v>
      </c>
      <c r="E55" s="26">
        <v>190</v>
      </c>
      <c r="F55" s="26">
        <v>35</v>
      </c>
      <c r="G55" s="203">
        <f t="shared" si="0"/>
        <v>0.18421052631578946</v>
      </c>
    </row>
    <row r="56" spans="1:7" x14ac:dyDescent="0.35">
      <c r="A56" s="21">
        <v>55</v>
      </c>
      <c r="B56" s="21" t="s">
        <v>619</v>
      </c>
      <c r="C56" s="21" t="s">
        <v>923</v>
      </c>
      <c r="D56" s="26">
        <v>7</v>
      </c>
      <c r="E56" s="26">
        <v>190</v>
      </c>
      <c r="F56" s="26">
        <v>210</v>
      </c>
      <c r="G56" s="203">
        <f t="shared" si="0"/>
        <v>1.1052631578947369</v>
      </c>
    </row>
    <row r="57" spans="1:7" x14ac:dyDescent="0.35">
      <c r="A57" s="21">
        <v>56</v>
      </c>
      <c r="B57" s="21"/>
      <c r="C57" s="21" t="s">
        <v>924</v>
      </c>
      <c r="D57" s="26">
        <v>5</v>
      </c>
      <c r="E57" s="26">
        <v>150</v>
      </c>
      <c r="F57" s="26">
        <v>136</v>
      </c>
      <c r="G57" s="203">
        <f t="shared" si="0"/>
        <v>0.90666666666666662</v>
      </c>
    </row>
    <row r="58" spans="1:7" x14ac:dyDescent="0.35">
      <c r="A58" s="21">
        <v>57</v>
      </c>
      <c r="B58" s="21"/>
      <c r="C58" s="21" t="s">
        <v>925</v>
      </c>
      <c r="D58" s="26">
        <v>5</v>
      </c>
      <c r="E58" s="26">
        <v>150</v>
      </c>
      <c r="F58" s="26">
        <v>152</v>
      </c>
      <c r="G58" s="203">
        <f t="shared" si="0"/>
        <v>1.0133333333333334</v>
      </c>
    </row>
    <row r="59" spans="1:7" x14ac:dyDescent="0.35">
      <c r="A59" s="21">
        <v>58</v>
      </c>
      <c r="B59" s="21"/>
      <c r="C59" s="21" t="s">
        <v>926</v>
      </c>
      <c r="D59" s="26">
        <v>5</v>
      </c>
      <c r="E59" s="26">
        <v>150</v>
      </c>
      <c r="F59" s="26">
        <v>154</v>
      </c>
      <c r="G59" s="203">
        <f t="shared" si="0"/>
        <v>1.0266666666666666</v>
      </c>
    </row>
    <row r="60" spans="1:7" x14ac:dyDescent="0.35">
      <c r="A60" s="21">
        <v>59</v>
      </c>
      <c r="B60" s="21"/>
      <c r="C60" s="21" t="s">
        <v>927</v>
      </c>
      <c r="D60" s="26">
        <v>5</v>
      </c>
      <c r="E60" s="26">
        <v>150</v>
      </c>
      <c r="F60" s="26">
        <v>154</v>
      </c>
      <c r="G60" s="203">
        <f t="shared" si="0"/>
        <v>1.0266666666666666</v>
      </c>
    </row>
    <row r="61" spans="1:7" x14ac:dyDescent="0.35">
      <c r="A61" s="21">
        <v>60</v>
      </c>
      <c r="B61" s="21"/>
      <c r="C61" s="21" t="s">
        <v>928</v>
      </c>
      <c r="D61" s="26">
        <v>7</v>
      </c>
      <c r="E61" s="26">
        <v>190</v>
      </c>
      <c r="F61" s="26">
        <v>224</v>
      </c>
      <c r="G61" s="203">
        <f t="shared" si="0"/>
        <v>1.1789473684210525</v>
      </c>
    </row>
    <row r="62" spans="1:7" x14ac:dyDescent="0.35">
      <c r="A62" s="21">
        <v>61</v>
      </c>
      <c r="B62" s="21"/>
      <c r="C62" s="21" t="s">
        <v>929</v>
      </c>
      <c r="D62" s="26">
        <v>7</v>
      </c>
      <c r="E62" s="26">
        <v>190</v>
      </c>
      <c r="F62" s="26">
        <v>256</v>
      </c>
      <c r="G62" s="203">
        <f t="shared" si="0"/>
        <v>1.3473684210526315</v>
      </c>
    </row>
    <row r="63" spans="1:7" x14ac:dyDescent="0.35">
      <c r="A63" s="21">
        <v>62</v>
      </c>
      <c r="B63" s="21"/>
      <c r="C63" s="21" t="s">
        <v>930</v>
      </c>
      <c r="D63" s="26">
        <v>7</v>
      </c>
      <c r="E63" s="26">
        <v>190</v>
      </c>
      <c r="F63" s="26">
        <v>216</v>
      </c>
      <c r="G63" s="203">
        <f t="shared" si="0"/>
        <v>1.1368421052631579</v>
      </c>
    </row>
    <row r="64" spans="1:7" x14ac:dyDescent="0.35">
      <c r="A64" s="21">
        <v>63</v>
      </c>
      <c r="B64" s="21" t="s">
        <v>641</v>
      </c>
      <c r="C64" s="132" t="s">
        <v>931</v>
      </c>
      <c r="D64" s="26">
        <v>0</v>
      </c>
      <c r="E64" s="26">
        <v>150</v>
      </c>
      <c r="F64" s="26">
        <v>8</v>
      </c>
      <c r="G64" s="203">
        <f t="shared" si="0"/>
        <v>5.3333333333333337E-2</v>
      </c>
    </row>
    <row r="65" spans="1:7" x14ac:dyDescent="0.35">
      <c r="A65" s="21">
        <v>64</v>
      </c>
      <c r="B65" s="21" t="s">
        <v>628</v>
      </c>
      <c r="C65" s="21" t="s">
        <v>256</v>
      </c>
      <c r="D65" s="26">
        <v>5</v>
      </c>
      <c r="E65" s="26">
        <v>150</v>
      </c>
      <c r="F65" s="26">
        <v>123</v>
      </c>
      <c r="G65" s="203">
        <f t="shared" si="0"/>
        <v>0.82</v>
      </c>
    </row>
    <row r="66" spans="1:7" x14ac:dyDescent="0.35">
      <c r="A66" s="21">
        <v>65</v>
      </c>
      <c r="B66" s="21"/>
      <c r="C66" s="21" t="s">
        <v>257</v>
      </c>
      <c r="D66" s="26">
        <v>5</v>
      </c>
      <c r="E66" s="26">
        <v>150</v>
      </c>
      <c r="F66" s="26">
        <v>118</v>
      </c>
      <c r="G66" s="203">
        <f t="shared" si="0"/>
        <v>0.78666666666666663</v>
      </c>
    </row>
    <row r="67" spans="1:7" x14ac:dyDescent="0.35">
      <c r="A67" s="21">
        <v>66</v>
      </c>
      <c r="B67" s="21"/>
      <c r="C67" s="21" t="s">
        <v>258</v>
      </c>
      <c r="D67" s="26">
        <v>5</v>
      </c>
      <c r="E67" s="26">
        <v>150</v>
      </c>
      <c r="F67" s="26">
        <v>180</v>
      </c>
      <c r="G67" s="203">
        <f t="shared" ref="G67:G110" si="1">F67/E67*100%</f>
        <v>1.2</v>
      </c>
    </row>
    <row r="68" spans="1:7" x14ac:dyDescent="0.35">
      <c r="A68" s="21">
        <v>67</v>
      </c>
      <c r="B68" s="21" t="s">
        <v>627</v>
      </c>
      <c r="C68" s="21" t="s">
        <v>267</v>
      </c>
      <c r="D68" s="26">
        <v>5</v>
      </c>
      <c r="E68" s="26">
        <v>150</v>
      </c>
      <c r="F68" s="26">
        <v>117</v>
      </c>
      <c r="G68" s="203">
        <f t="shared" si="1"/>
        <v>0.78</v>
      </c>
    </row>
    <row r="69" spans="1:7" x14ac:dyDescent="0.35">
      <c r="A69" s="21">
        <v>68</v>
      </c>
      <c r="B69" s="21"/>
      <c r="C69" s="21" t="s">
        <v>268</v>
      </c>
      <c r="D69" s="26">
        <v>2</v>
      </c>
      <c r="E69" s="26">
        <v>50</v>
      </c>
      <c r="F69" s="26">
        <v>11</v>
      </c>
      <c r="G69" s="203">
        <f t="shared" si="1"/>
        <v>0.22</v>
      </c>
    </row>
    <row r="70" spans="1:7" x14ac:dyDescent="0.35">
      <c r="A70" s="21">
        <v>69</v>
      </c>
      <c r="B70" s="21" t="s">
        <v>624</v>
      </c>
      <c r="C70" s="132" t="s">
        <v>932</v>
      </c>
      <c r="D70" s="26">
        <v>4</v>
      </c>
      <c r="E70" s="26">
        <v>150</v>
      </c>
      <c r="F70" s="26">
        <v>23</v>
      </c>
      <c r="G70" s="203">
        <f t="shared" si="1"/>
        <v>0.15333333333333332</v>
      </c>
    </row>
    <row r="71" spans="1:7" x14ac:dyDescent="0.35">
      <c r="A71" s="21">
        <v>70</v>
      </c>
      <c r="B71" s="21" t="s">
        <v>629</v>
      </c>
      <c r="C71" s="21" t="s">
        <v>290</v>
      </c>
      <c r="D71" s="26">
        <v>5</v>
      </c>
      <c r="E71" s="26">
        <v>150</v>
      </c>
      <c r="F71" s="26">
        <v>121</v>
      </c>
      <c r="G71" s="203">
        <f t="shared" si="1"/>
        <v>0.80666666666666664</v>
      </c>
    </row>
    <row r="72" spans="1:7" x14ac:dyDescent="0.35">
      <c r="A72" s="21">
        <v>71</v>
      </c>
      <c r="B72" s="21"/>
      <c r="C72" s="21" t="s">
        <v>291</v>
      </c>
      <c r="D72" s="26">
        <v>5</v>
      </c>
      <c r="E72" s="26">
        <v>150</v>
      </c>
      <c r="F72" s="26">
        <v>85</v>
      </c>
      <c r="G72" s="203">
        <f t="shared" si="1"/>
        <v>0.56666666666666665</v>
      </c>
    </row>
    <row r="73" spans="1:7" x14ac:dyDescent="0.35">
      <c r="A73" s="21">
        <v>72</v>
      </c>
      <c r="B73" s="21"/>
      <c r="C73" s="21" t="s">
        <v>268</v>
      </c>
      <c r="D73" s="26">
        <v>4</v>
      </c>
      <c r="E73" s="26">
        <v>100</v>
      </c>
      <c r="F73" s="26">
        <v>8</v>
      </c>
      <c r="G73" s="203">
        <f t="shared" si="1"/>
        <v>0.08</v>
      </c>
    </row>
    <row r="74" spans="1:7" x14ac:dyDescent="0.35">
      <c r="A74" s="21">
        <v>73</v>
      </c>
      <c r="B74" s="21" t="s">
        <v>621</v>
      </c>
      <c r="C74" s="21" t="s">
        <v>180</v>
      </c>
      <c r="D74" s="26">
        <v>5</v>
      </c>
      <c r="E74" s="26">
        <v>150</v>
      </c>
      <c r="F74" s="26">
        <v>152</v>
      </c>
      <c r="G74" s="203">
        <f t="shared" si="1"/>
        <v>1.0133333333333334</v>
      </c>
    </row>
    <row r="75" spans="1:7" x14ac:dyDescent="0.35">
      <c r="A75" s="21">
        <v>74</v>
      </c>
      <c r="B75" s="21"/>
      <c r="C75" s="21" t="s">
        <v>181</v>
      </c>
      <c r="D75" s="26">
        <v>6</v>
      </c>
      <c r="E75" s="26">
        <v>190</v>
      </c>
      <c r="F75" s="26">
        <v>194</v>
      </c>
      <c r="G75" s="203">
        <f t="shared" si="1"/>
        <v>1.0210526315789474</v>
      </c>
    </row>
    <row r="76" spans="1:7" x14ac:dyDescent="0.35">
      <c r="A76" s="21">
        <v>75</v>
      </c>
      <c r="B76" s="21" t="s">
        <v>622</v>
      </c>
      <c r="C76" s="21" t="s">
        <v>199</v>
      </c>
      <c r="D76" s="26">
        <v>5</v>
      </c>
      <c r="E76" s="26">
        <v>150</v>
      </c>
      <c r="F76" s="26">
        <v>126</v>
      </c>
      <c r="G76" s="203">
        <f t="shared" si="1"/>
        <v>0.84</v>
      </c>
    </row>
    <row r="77" spans="1:7" x14ac:dyDescent="0.35">
      <c r="A77" s="21">
        <v>76</v>
      </c>
      <c r="B77" s="21"/>
      <c r="C77" s="21" t="s">
        <v>200</v>
      </c>
      <c r="D77" s="26">
        <v>5</v>
      </c>
      <c r="E77" s="26">
        <v>150</v>
      </c>
      <c r="F77" s="26">
        <v>63</v>
      </c>
      <c r="G77" s="203">
        <f t="shared" si="1"/>
        <v>0.42</v>
      </c>
    </row>
    <row r="78" spans="1:7" x14ac:dyDescent="0.35">
      <c r="A78" s="21">
        <v>77</v>
      </c>
      <c r="B78" s="21"/>
      <c r="C78" s="21" t="s">
        <v>201</v>
      </c>
      <c r="D78" s="26">
        <v>4</v>
      </c>
      <c r="E78" s="26">
        <v>150</v>
      </c>
      <c r="F78" s="26">
        <v>75</v>
      </c>
      <c r="G78" s="203">
        <f t="shared" si="1"/>
        <v>0.5</v>
      </c>
    </row>
    <row r="79" spans="1:7" x14ac:dyDescent="0.35">
      <c r="A79" s="21">
        <v>78</v>
      </c>
      <c r="B79" s="21" t="s">
        <v>620</v>
      </c>
      <c r="C79" s="132" t="s">
        <v>933</v>
      </c>
      <c r="D79" s="26">
        <v>5</v>
      </c>
      <c r="E79" s="26">
        <v>150</v>
      </c>
      <c r="F79" s="26">
        <v>38</v>
      </c>
      <c r="G79" s="203">
        <f t="shared" si="1"/>
        <v>0.25333333333333335</v>
      </c>
    </row>
    <row r="80" spans="1:7" x14ac:dyDescent="0.35">
      <c r="A80" s="21">
        <v>79</v>
      </c>
      <c r="B80" s="21" t="s">
        <v>625</v>
      </c>
      <c r="C80" s="21" t="s">
        <v>72</v>
      </c>
      <c r="D80" s="26">
        <v>6</v>
      </c>
      <c r="E80" s="26">
        <v>190</v>
      </c>
      <c r="F80" s="26">
        <v>87</v>
      </c>
      <c r="G80" s="203">
        <f t="shared" si="1"/>
        <v>0.45789473684210524</v>
      </c>
    </row>
    <row r="81" spans="1:7" x14ac:dyDescent="0.35">
      <c r="A81" s="21">
        <v>80</v>
      </c>
      <c r="B81" s="21"/>
      <c r="C81" s="21" t="s">
        <v>73</v>
      </c>
      <c r="D81" s="26">
        <v>5</v>
      </c>
      <c r="E81" s="26">
        <v>150</v>
      </c>
      <c r="F81" s="26">
        <v>54</v>
      </c>
      <c r="G81" s="203">
        <f t="shared" si="1"/>
        <v>0.36</v>
      </c>
    </row>
    <row r="82" spans="1:7" x14ac:dyDescent="0.35">
      <c r="A82" s="21">
        <v>81</v>
      </c>
      <c r="B82" s="21"/>
      <c r="C82" s="21" t="s">
        <v>74</v>
      </c>
      <c r="D82" s="26">
        <v>5</v>
      </c>
      <c r="E82" s="26">
        <v>150</v>
      </c>
      <c r="F82" s="26">
        <v>88</v>
      </c>
      <c r="G82" s="203">
        <f t="shared" si="1"/>
        <v>0.58666666666666667</v>
      </c>
    </row>
    <row r="83" spans="1:7" x14ac:dyDescent="0.35">
      <c r="A83" s="21">
        <v>82</v>
      </c>
      <c r="B83" s="21" t="s">
        <v>626</v>
      </c>
      <c r="C83" s="132" t="s">
        <v>934</v>
      </c>
      <c r="D83" s="26">
        <v>7</v>
      </c>
      <c r="E83" s="26">
        <v>190</v>
      </c>
      <c r="F83" s="26">
        <v>65</v>
      </c>
      <c r="G83" s="203">
        <f t="shared" si="1"/>
        <v>0.34210526315789475</v>
      </c>
    </row>
    <row r="84" spans="1:7" x14ac:dyDescent="0.35">
      <c r="A84" s="21">
        <v>83</v>
      </c>
      <c r="B84" s="21" t="s">
        <v>623</v>
      </c>
      <c r="C84" s="21" t="s">
        <v>233</v>
      </c>
      <c r="D84" s="26">
        <v>6</v>
      </c>
      <c r="E84" s="26">
        <v>190</v>
      </c>
      <c r="F84" s="26">
        <v>70</v>
      </c>
      <c r="G84" s="203">
        <f t="shared" si="1"/>
        <v>0.36842105263157893</v>
      </c>
    </row>
    <row r="85" spans="1:7" x14ac:dyDescent="0.35">
      <c r="A85" s="21">
        <v>84</v>
      </c>
      <c r="B85" s="21"/>
      <c r="C85" s="21" t="s">
        <v>234</v>
      </c>
      <c r="D85" s="26">
        <v>5</v>
      </c>
      <c r="E85" s="26">
        <v>150</v>
      </c>
      <c r="F85" s="26">
        <v>57</v>
      </c>
      <c r="G85" s="203">
        <f t="shared" si="1"/>
        <v>0.38</v>
      </c>
    </row>
    <row r="86" spans="1:7" x14ac:dyDescent="0.35">
      <c r="A86" s="21">
        <v>85</v>
      </c>
      <c r="B86" s="21"/>
      <c r="C86" s="21" t="s">
        <v>235</v>
      </c>
      <c r="D86" s="26">
        <v>5</v>
      </c>
      <c r="E86" s="26">
        <v>150</v>
      </c>
      <c r="F86" s="26">
        <v>76</v>
      </c>
      <c r="G86" s="203">
        <f t="shared" si="1"/>
        <v>0.50666666666666671</v>
      </c>
    </row>
    <row r="87" spans="1:7" x14ac:dyDescent="0.35">
      <c r="A87" s="21">
        <v>86</v>
      </c>
      <c r="B87" s="21"/>
      <c r="C87" s="21" t="s">
        <v>236</v>
      </c>
      <c r="D87" s="26">
        <v>4</v>
      </c>
      <c r="E87" s="26">
        <v>150</v>
      </c>
      <c r="F87" s="26">
        <v>55</v>
      </c>
      <c r="G87" s="203">
        <f t="shared" si="1"/>
        <v>0.36666666666666664</v>
      </c>
    </row>
    <row r="88" spans="1:7" x14ac:dyDescent="0.35">
      <c r="A88" s="21">
        <v>87</v>
      </c>
      <c r="B88" s="21" t="s">
        <v>630</v>
      </c>
      <c r="C88" s="21" t="s">
        <v>543</v>
      </c>
      <c r="D88" s="26">
        <v>7</v>
      </c>
      <c r="E88" s="26">
        <v>190</v>
      </c>
      <c r="F88" s="26">
        <v>59</v>
      </c>
      <c r="G88" s="203">
        <f t="shared" si="1"/>
        <v>0.31052631578947371</v>
      </c>
    </row>
    <row r="89" spans="1:7" x14ac:dyDescent="0.35">
      <c r="A89" s="21">
        <v>88</v>
      </c>
      <c r="B89" s="21"/>
      <c r="C89" s="21" t="s">
        <v>544</v>
      </c>
      <c r="D89" s="26">
        <v>6</v>
      </c>
      <c r="E89" s="26">
        <v>190</v>
      </c>
      <c r="F89" s="26">
        <v>56</v>
      </c>
      <c r="G89" s="203">
        <f t="shared" si="1"/>
        <v>0.29473684210526313</v>
      </c>
    </row>
    <row r="90" spans="1:7" x14ac:dyDescent="0.35">
      <c r="A90" s="21">
        <v>89</v>
      </c>
      <c r="B90" s="21" t="s">
        <v>639</v>
      </c>
      <c r="C90" s="21" t="s">
        <v>585</v>
      </c>
      <c r="D90" s="26">
        <v>6</v>
      </c>
      <c r="E90" s="26">
        <v>190</v>
      </c>
      <c r="F90" s="26">
        <v>49</v>
      </c>
      <c r="G90" s="203">
        <f t="shared" si="1"/>
        <v>0.25789473684210529</v>
      </c>
    </row>
    <row r="91" spans="1:7" x14ac:dyDescent="0.35">
      <c r="A91" s="21">
        <v>90</v>
      </c>
      <c r="B91" s="21"/>
      <c r="C91" s="21" t="s">
        <v>586</v>
      </c>
      <c r="D91" s="26">
        <v>8</v>
      </c>
      <c r="E91" s="26">
        <v>230</v>
      </c>
      <c r="F91" s="26">
        <v>65</v>
      </c>
      <c r="G91" s="203">
        <f t="shared" si="1"/>
        <v>0.28260869565217389</v>
      </c>
    </row>
    <row r="92" spans="1:7" x14ac:dyDescent="0.35">
      <c r="A92" s="21">
        <v>91</v>
      </c>
      <c r="B92" s="21" t="s">
        <v>640</v>
      </c>
      <c r="C92" s="132" t="s">
        <v>935</v>
      </c>
      <c r="D92" s="26">
        <v>5</v>
      </c>
      <c r="E92" s="26">
        <v>150</v>
      </c>
      <c r="F92" s="26">
        <v>13</v>
      </c>
      <c r="G92" s="203">
        <f t="shared" si="1"/>
        <v>8.666666666666667E-2</v>
      </c>
    </row>
    <row r="93" spans="1:7" x14ac:dyDescent="0.35">
      <c r="A93" s="21">
        <v>92</v>
      </c>
      <c r="B93" s="21" t="s">
        <v>631</v>
      </c>
      <c r="C93" s="132" t="s">
        <v>919</v>
      </c>
      <c r="D93" s="26">
        <v>1</v>
      </c>
      <c r="E93" s="26">
        <v>25</v>
      </c>
      <c r="F93" s="26">
        <v>7</v>
      </c>
      <c r="G93" s="203">
        <f t="shared" si="1"/>
        <v>0.28000000000000003</v>
      </c>
    </row>
    <row r="94" spans="1:7" x14ac:dyDescent="0.35">
      <c r="A94" s="21">
        <v>93</v>
      </c>
      <c r="B94" s="21" t="s">
        <v>632</v>
      </c>
      <c r="C94" s="132" t="s">
        <v>919</v>
      </c>
      <c r="D94" s="26">
        <v>3</v>
      </c>
      <c r="E94" s="26">
        <v>75</v>
      </c>
      <c r="F94" s="26">
        <v>11</v>
      </c>
      <c r="G94" s="203">
        <f t="shared" si="1"/>
        <v>0.14666666666666667</v>
      </c>
    </row>
    <row r="95" spans="1:7" x14ac:dyDescent="0.35">
      <c r="A95" s="21">
        <v>94</v>
      </c>
      <c r="B95" s="21" t="s">
        <v>635</v>
      </c>
      <c r="C95" s="21" t="s">
        <v>815</v>
      </c>
      <c r="D95" s="26">
        <v>7</v>
      </c>
      <c r="E95" s="26">
        <v>190</v>
      </c>
      <c r="F95" s="26">
        <v>39</v>
      </c>
      <c r="G95" s="203">
        <f t="shared" si="1"/>
        <v>0.20526315789473684</v>
      </c>
    </row>
    <row r="96" spans="1:7" x14ac:dyDescent="0.35">
      <c r="A96" s="21">
        <v>95</v>
      </c>
      <c r="B96" s="21"/>
      <c r="C96" s="21" t="s">
        <v>814</v>
      </c>
      <c r="D96" s="26">
        <v>5</v>
      </c>
      <c r="E96" s="26">
        <v>150</v>
      </c>
      <c r="F96" s="26">
        <v>39</v>
      </c>
      <c r="G96" s="203">
        <f t="shared" si="1"/>
        <v>0.26</v>
      </c>
    </row>
    <row r="97" spans="1:7" x14ac:dyDescent="0.35">
      <c r="A97" s="21">
        <v>96</v>
      </c>
      <c r="B97" s="21"/>
      <c r="C97" s="21" t="s">
        <v>817</v>
      </c>
      <c r="D97" s="26">
        <v>5</v>
      </c>
      <c r="E97" s="26">
        <v>150</v>
      </c>
      <c r="F97" s="26">
        <v>60</v>
      </c>
      <c r="G97" s="203">
        <f t="shared" si="1"/>
        <v>0.4</v>
      </c>
    </row>
    <row r="98" spans="1:7" x14ac:dyDescent="0.35">
      <c r="A98" s="21">
        <v>97</v>
      </c>
      <c r="B98" s="21" t="s">
        <v>633</v>
      </c>
      <c r="C98" s="21" t="s">
        <v>819</v>
      </c>
      <c r="D98" s="26">
        <v>4</v>
      </c>
      <c r="E98" s="26">
        <v>150</v>
      </c>
      <c r="F98" s="26">
        <v>100</v>
      </c>
      <c r="G98" s="203">
        <f t="shared" si="1"/>
        <v>0.66666666666666663</v>
      </c>
    </row>
    <row r="99" spans="1:7" x14ac:dyDescent="0.35">
      <c r="A99" s="21">
        <v>98</v>
      </c>
      <c r="B99" s="21"/>
      <c r="C99" s="21" t="s">
        <v>820</v>
      </c>
      <c r="D99" s="26">
        <v>5</v>
      </c>
      <c r="E99" s="26">
        <v>150</v>
      </c>
      <c r="F99" s="26">
        <v>100</v>
      </c>
      <c r="G99" s="203">
        <f t="shared" si="1"/>
        <v>0.66666666666666663</v>
      </c>
    </row>
    <row r="100" spans="1:7" x14ac:dyDescent="0.35">
      <c r="A100" s="21">
        <v>99</v>
      </c>
      <c r="B100" s="21"/>
      <c r="C100" s="21" t="s">
        <v>816</v>
      </c>
      <c r="D100" s="26">
        <v>5</v>
      </c>
      <c r="E100" s="26">
        <v>150</v>
      </c>
      <c r="F100" s="26">
        <v>15</v>
      </c>
      <c r="G100" s="203">
        <f t="shared" si="1"/>
        <v>0.1</v>
      </c>
    </row>
    <row r="101" spans="1:7" x14ac:dyDescent="0.35">
      <c r="A101" s="21">
        <v>100</v>
      </c>
      <c r="B101" s="21"/>
      <c r="C101" s="21" t="s">
        <v>844</v>
      </c>
      <c r="D101" s="26">
        <v>4</v>
      </c>
      <c r="E101" s="26">
        <v>150</v>
      </c>
      <c r="F101" s="26">
        <v>30</v>
      </c>
      <c r="G101" s="203">
        <f t="shared" si="1"/>
        <v>0.2</v>
      </c>
    </row>
    <row r="102" spans="1:7" x14ac:dyDescent="0.35">
      <c r="A102" s="21">
        <v>101</v>
      </c>
      <c r="B102" s="21" t="s">
        <v>634</v>
      </c>
      <c r="C102" s="132" t="s">
        <v>936</v>
      </c>
      <c r="D102" s="26">
        <v>4</v>
      </c>
      <c r="E102" s="26">
        <v>150</v>
      </c>
      <c r="F102" s="26">
        <v>44</v>
      </c>
      <c r="G102" s="203">
        <f t="shared" si="1"/>
        <v>0.29333333333333333</v>
      </c>
    </row>
    <row r="103" spans="1:7" x14ac:dyDescent="0.35">
      <c r="A103" s="21">
        <v>102</v>
      </c>
      <c r="B103" s="21" t="s">
        <v>636</v>
      </c>
      <c r="C103" s="21" t="s">
        <v>49</v>
      </c>
      <c r="D103" s="26">
        <v>7</v>
      </c>
      <c r="E103" s="26">
        <v>190</v>
      </c>
      <c r="F103" s="26">
        <v>111</v>
      </c>
      <c r="G103" s="203">
        <f t="shared" si="1"/>
        <v>0.58421052631578951</v>
      </c>
    </row>
    <row r="104" spans="1:7" x14ac:dyDescent="0.35">
      <c r="A104" s="21">
        <v>103</v>
      </c>
      <c r="B104" s="21"/>
      <c r="C104" s="21" t="s">
        <v>50</v>
      </c>
      <c r="D104" s="26">
        <v>5</v>
      </c>
      <c r="E104" s="26">
        <v>150</v>
      </c>
      <c r="F104" s="26">
        <v>94</v>
      </c>
      <c r="G104" s="203">
        <f t="shared" si="1"/>
        <v>0.62666666666666671</v>
      </c>
    </row>
    <row r="105" spans="1:7" x14ac:dyDescent="0.35">
      <c r="A105" s="21">
        <v>104</v>
      </c>
      <c r="B105" s="21" t="s">
        <v>638</v>
      </c>
      <c r="C105" s="21" t="s">
        <v>525</v>
      </c>
      <c r="D105" s="26">
        <v>5</v>
      </c>
      <c r="E105" s="26">
        <v>150</v>
      </c>
      <c r="F105" s="26">
        <v>125</v>
      </c>
      <c r="G105" s="203">
        <f t="shared" si="1"/>
        <v>0.83333333333333337</v>
      </c>
    </row>
    <row r="106" spans="1:7" x14ac:dyDescent="0.35">
      <c r="A106" s="21">
        <v>105</v>
      </c>
      <c r="B106" s="21"/>
      <c r="C106" s="21" t="s">
        <v>523</v>
      </c>
      <c r="D106" s="26">
        <v>5</v>
      </c>
      <c r="E106" s="26">
        <v>150</v>
      </c>
      <c r="F106" s="26">
        <v>132</v>
      </c>
      <c r="G106" s="203">
        <f t="shared" si="1"/>
        <v>0.88</v>
      </c>
    </row>
    <row r="107" spans="1:7" x14ac:dyDescent="0.35">
      <c r="A107" s="21">
        <v>106</v>
      </c>
      <c r="B107" s="21"/>
      <c r="C107" s="21" t="s">
        <v>526</v>
      </c>
      <c r="D107" s="26">
        <v>5</v>
      </c>
      <c r="E107" s="26">
        <v>150</v>
      </c>
      <c r="F107" s="26">
        <v>97</v>
      </c>
      <c r="G107" s="203">
        <f t="shared" si="1"/>
        <v>0.64666666666666661</v>
      </c>
    </row>
    <row r="108" spans="1:7" x14ac:dyDescent="0.35">
      <c r="A108" s="21">
        <v>107</v>
      </c>
      <c r="B108" s="21"/>
      <c r="C108" s="21" t="s">
        <v>524</v>
      </c>
      <c r="D108" s="26">
        <v>5</v>
      </c>
      <c r="E108" s="26">
        <v>150</v>
      </c>
      <c r="F108" s="26">
        <v>87</v>
      </c>
      <c r="G108" s="203">
        <f t="shared" si="1"/>
        <v>0.57999999999999996</v>
      </c>
    </row>
    <row r="109" spans="1:7" x14ac:dyDescent="0.35">
      <c r="A109" s="21">
        <v>108</v>
      </c>
      <c r="B109" s="21" t="s">
        <v>637</v>
      </c>
      <c r="C109" s="21" t="s">
        <v>547</v>
      </c>
      <c r="D109" s="26">
        <v>5</v>
      </c>
      <c r="E109" s="26">
        <v>150</v>
      </c>
      <c r="F109" s="26">
        <v>121</v>
      </c>
      <c r="G109" s="203">
        <f t="shared" si="1"/>
        <v>0.80666666666666664</v>
      </c>
    </row>
    <row r="110" spans="1:7" x14ac:dyDescent="0.35">
      <c r="A110" s="21">
        <v>109</v>
      </c>
      <c r="B110" s="21"/>
      <c r="C110" s="21" t="s">
        <v>548</v>
      </c>
      <c r="D110" s="26">
        <v>9</v>
      </c>
      <c r="E110" s="26">
        <v>230</v>
      </c>
      <c r="F110" s="26">
        <v>160</v>
      </c>
      <c r="G110" s="203">
        <f t="shared" si="1"/>
        <v>0.69565217391304346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C4DD-8DF5-41EA-A6AE-77D1B138A33C}">
  <dimension ref="A1:L5"/>
  <sheetViews>
    <sheetView tabSelected="1" workbookViewId="0">
      <selection activeCell="D12" sqref="D12"/>
    </sheetView>
  </sheetViews>
  <sheetFormatPr defaultRowHeight="14.5" x14ac:dyDescent="0.35"/>
  <cols>
    <col min="1" max="1" width="5.90625" style="196" customWidth="1"/>
    <col min="2" max="2" width="25.6328125" customWidth="1"/>
    <col min="3" max="3" width="18.54296875" style="196" customWidth="1"/>
    <col min="4" max="4" width="20.08984375" style="196" customWidth="1"/>
    <col min="7" max="7" width="5.26953125" customWidth="1"/>
    <col min="8" max="8" width="28.54296875" customWidth="1"/>
    <col min="9" max="9" width="16.54296875" customWidth="1"/>
    <col min="10" max="11" width="8.7265625" style="196"/>
    <col min="12" max="12" width="12.36328125" style="196" customWidth="1"/>
  </cols>
  <sheetData>
    <row r="1" spans="1:12" x14ac:dyDescent="0.35">
      <c r="B1" s="3" t="s">
        <v>11</v>
      </c>
      <c r="H1" s="3" t="s">
        <v>14</v>
      </c>
      <c r="I1" s="4"/>
    </row>
    <row r="2" spans="1:12" x14ac:dyDescent="0.35">
      <c r="A2" s="1" t="s">
        <v>7</v>
      </c>
      <c r="B2" s="1" t="s">
        <v>12</v>
      </c>
      <c r="C2" s="1" t="s">
        <v>4</v>
      </c>
      <c r="D2" s="1" t="s">
        <v>13</v>
      </c>
      <c r="G2" s="1" t="s">
        <v>7</v>
      </c>
      <c r="H2" s="1" t="s">
        <v>15</v>
      </c>
      <c r="I2" s="1" t="s">
        <v>8</v>
      </c>
      <c r="J2" s="1" t="s">
        <v>3</v>
      </c>
      <c r="K2" s="1" t="s">
        <v>4</v>
      </c>
      <c r="L2" s="1" t="s">
        <v>6</v>
      </c>
    </row>
    <row r="3" spans="1:12" ht="15.5" x14ac:dyDescent="0.35">
      <c r="A3" s="205">
        <v>1</v>
      </c>
      <c r="B3" s="206" t="s">
        <v>446</v>
      </c>
      <c r="C3" s="205">
        <v>113</v>
      </c>
      <c r="D3" s="205" t="s">
        <v>845</v>
      </c>
      <c r="G3" s="206">
        <v>1</v>
      </c>
      <c r="H3" s="206" t="s">
        <v>937</v>
      </c>
      <c r="I3" s="206" t="s">
        <v>845</v>
      </c>
      <c r="J3" s="205">
        <v>190</v>
      </c>
      <c r="K3" s="205">
        <v>256</v>
      </c>
      <c r="L3" s="207">
        <f t="shared" ref="L3:L5" si="0">K3/J3*100%</f>
        <v>1.3473684210526315</v>
      </c>
    </row>
    <row r="4" spans="1:12" ht="15.5" x14ac:dyDescent="0.35">
      <c r="A4" s="205">
        <v>2</v>
      </c>
      <c r="B4" s="206" t="s">
        <v>451</v>
      </c>
      <c r="C4" s="205">
        <v>84</v>
      </c>
      <c r="D4" s="205" t="s">
        <v>845</v>
      </c>
      <c r="G4" s="206">
        <v>2</v>
      </c>
      <c r="H4" s="206" t="s">
        <v>938</v>
      </c>
      <c r="I4" s="206" t="s">
        <v>939</v>
      </c>
      <c r="J4" s="205">
        <v>150</v>
      </c>
      <c r="K4" s="205">
        <v>180</v>
      </c>
      <c r="L4" s="207">
        <f t="shared" si="0"/>
        <v>1.2</v>
      </c>
    </row>
    <row r="5" spans="1:12" ht="15.5" x14ac:dyDescent="0.35">
      <c r="A5" s="205">
        <v>3</v>
      </c>
      <c r="B5" s="206" t="s">
        <v>403</v>
      </c>
      <c r="C5" s="205">
        <v>74</v>
      </c>
      <c r="D5" s="205" t="s">
        <v>845</v>
      </c>
      <c r="G5" s="206">
        <v>3</v>
      </c>
      <c r="H5" s="206" t="s">
        <v>940</v>
      </c>
      <c r="I5" s="206" t="s">
        <v>845</v>
      </c>
      <c r="J5" s="205">
        <v>190</v>
      </c>
      <c r="K5" s="205">
        <v>224</v>
      </c>
      <c r="L5" s="207">
        <f t="shared" si="0"/>
        <v>1.1789473684210525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5AB8-A3A1-4644-83FD-8A24E098CC1E}">
  <dimension ref="A1:O29"/>
  <sheetViews>
    <sheetView workbookViewId="0">
      <selection activeCell="C4" sqref="C4:G4"/>
    </sheetView>
  </sheetViews>
  <sheetFormatPr defaultRowHeight="14.5" x14ac:dyDescent="0.35"/>
  <cols>
    <col min="1" max="1" width="4.54296875" customWidth="1"/>
    <col min="2" max="2" width="28.453125" customWidth="1"/>
    <col min="3" max="3" width="5.7265625" customWidth="1"/>
    <col min="4" max="4" width="6.36328125" customWidth="1"/>
    <col min="5" max="5" width="7.08984375" customWidth="1"/>
    <col min="7" max="7" width="8.7265625" style="6"/>
    <col min="10" max="10" width="4.7265625" customWidth="1"/>
    <col min="11" max="11" width="18.36328125" customWidth="1"/>
    <col min="12" max="12" width="12.6328125" customWidth="1"/>
    <col min="13" max="13" width="11.6328125" customWidth="1"/>
    <col min="15" max="15" width="7.08984375" customWidth="1"/>
  </cols>
  <sheetData>
    <row r="1" spans="1:15" x14ac:dyDescent="0.35">
      <c r="B1" s="5" t="s">
        <v>16</v>
      </c>
    </row>
    <row r="2" spans="1:15" x14ac:dyDescent="0.35">
      <c r="B2" s="5" t="s">
        <v>17</v>
      </c>
    </row>
    <row r="3" spans="1:15" x14ac:dyDescent="0.35">
      <c r="B3" s="5" t="s">
        <v>18</v>
      </c>
    </row>
    <row r="4" spans="1:15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</row>
    <row r="5" spans="1:15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</row>
    <row r="6" spans="1:15" ht="3" customHeight="1" x14ac:dyDescent="0.35">
      <c r="A6" s="158"/>
      <c r="B6" s="159"/>
      <c r="C6" s="163"/>
      <c r="D6" s="163"/>
      <c r="E6" s="163"/>
      <c r="F6" s="163"/>
      <c r="G6" s="165"/>
    </row>
    <row r="7" spans="1:15" x14ac:dyDescent="0.35">
      <c r="A7" s="31">
        <v>1</v>
      </c>
      <c r="B7" s="67" t="s">
        <v>359</v>
      </c>
      <c r="C7" s="73" t="s">
        <v>28</v>
      </c>
      <c r="D7" s="74">
        <v>35</v>
      </c>
      <c r="E7" s="75">
        <v>9</v>
      </c>
      <c r="F7" s="31">
        <f>E7-D7</f>
        <v>-26</v>
      </c>
      <c r="G7" s="35">
        <f>E7/D7*100%</f>
        <v>0.25714285714285712</v>
      </c>
      <c r="J7" s="7" t="s">
        <v>7</v>
      </c>
      <c r="K7" s="1" t="s">
        <v>9</v>
      </c>
      <c r="L7" s="1" t="s">
        <v>10</v>
      </c>
      <c r="M7" s="1" t="s">
        <v>3</v>
      </c>
      <c r="N7" s="1" t="s">
        <v>4</v>
      </c>
      <c r="O7" s="8" t="s">
        <v>6</v>
      </c>
    </row>
    <row r="8" spans="1:15" x14ac:dyDescent="0.35">
      <c r="A8" s="31">
        <v>2</v>
      </c>
      <c r="B8" s="67" t="s">
        <v>360</v>
      </c>
      <c r="C8" s="73" t="s">
        <v>30</v>
      </c>
      <c r="D8" s="74">
        <v>25</v>
      </c>
      <c r="E8" s="75">
        <v>18</v>
      </c>
      <c r="F8" s="31">
        <f t="shared" ref="F8:F28" si="0">E8-D8</f>
        <v>-7</v>
      </c>
      <c r="G8" s="35">
        <f t="shared" ref="G8:G29" si="1">E8/D8*100%</f>
        <v>0.72</v>
      </c>
      <c r="J8" s="21">
        <v>1</v>
      </c>
      <c r="K8" s="21" t="s">
        <v>381</v>
      </c>
      <c r="L8" s="21">
        <v>7</v>
      </c>
      <c r="M8" s="21">
        <v>190</v>
      </c>
      <c r="N8" s="21">
        <v>101</v>
      </c>
      <c r="O8" s="22">
        <f>N8/M8*100%</f>
        <v>0.53157894736842104</v>
      </c>
    </row>
    <row r="9" spans="1:15" x14ac:dyDescent="0.35">
      <c r="A9" s="31">
        <v>3</v>
      </c>
      <c r="B9" s="67" t="s">
        <v>361</v>
      </c>
      <c r="C9" s="73" t="s">
        <v>30</v>
      </c>
      <c r="D9" s="74">
        <v>25</v>
      </c>
      <c r="E9" s="75">
        <v>20</v>
      </c>
      <c r="F9" s="31">
        <f t="shared" si="0"/>
        <v>-5</v>
      </c>
      <c r="G9" s="35">
        <f t="shared" si="1"/>
        <v>0.8</v>
      </c>
      <c r="J9" s="21">
        <v>2</v>
      </c>
      <c r="K9" s="21" t="s">
        <v>382</v>
      </c>
      <c r="L9" s="21">
        <v>7</v>
      </c>
      <c r="M9" s="21">
        <v>190</v>
      </c>
      <c r="N9" s="21">
        <v>109</v>
      </c>
      <c r="O9" s="22">
        <f t="shared" ref="O9:O10" si="2">N9/M9*100%</f>
        <v>0.5736842105263158</v>
      </c>
    </row>
    <row r="10" spans="1:15" x14ac:dyDescent="0.35">
      <c r="A10" s="31">
        <v>4</v>
      </c>
      <c r="B10" s="67" t="s">
        <v>362</v>
      </c>
      <c r="C10" s="73" t="s">
        <v>30</v>
      </c>
      <c r="D10" s="74">
        <v>25</v>
      </c>
      <c r="E10" s="75">
        <v>26</v>
      </c>
      <c r="F10" s="31">
        <f t="shared" si="0"/>
        <v>1</v>
      </c>
      <c r="G10" s="35">
        <f t="shared" si="1"/>
        <v>1.04</v>
      </c>
      <c r="J10" s="21">
        <v>3</v>
      </c>
      <c r="K10" s="21" t="s">
        <v>383</v>
      </c>
      <c r="L10" s="21">
        <v>5</v>
      </c>
      <c r="M10" s="21">
        <v>150</v>
      </c>
      <c r="N10" s="21">
        <v>114</v>
      </c>
      <c r="O10" s="22">
        <f t="shared" si="2"/>
        <v>0.76</v>
      </c>
    </row>
    <row r="11" spans="1:15" x14ac:dyDescent="0.35">
      <c r="A11" s="31">
        <v>5</v>
      </c>
      <c r="B11" s="67" t="s">
        <v>363</v>
      </c>
      <c r="C11" s="73" t="s">
        <v>30</v>
      </c>
      <c r="D11" s="74">
        <v>25</v>
      </c>
      <c r="E11" s="75">
        <v>20</v>
      </c>
      <c r="F11" s="31">
        <f t="shared" si="0"/>
        <v>-5</v>
      </c>
      <c r="G11" s="35">
        <f t="shared" si="1"/>
        <v>0.8</v>
      </c>
      <c r="J11" s="9"/>
      <c r="K11" s="21"/>
      <c r="L11" s="21"/>
      <c r="M11" s="21"/>
      <c r="N11" s="21"/>
      <c r="O11" s="21"/>
    </row>
    <row r="12" spans="1:15" x14ac:dyDescent="0.35">
      <c r="A12" s="31">
        <v>6</v>
      </c>
      <c r="B12" s="68" t="s">
        <v>364</v>
      </c>
      <c r="C12" s="73" t="s">
        <v>30</v>
      </c>
      <c r="D12" s="74">
        <v>25</v>
      </c>
      <c r="E12" s="75">
        <v>3</v>
      </c>
      <c r="F12" s="31">
        <f t="shared" si="0"/>
        <v>-22</v>
      </c>
      <c r="G12" s="35">
        <f t="shared" si="1"/>
        <v>0.12</v>
      </c>
    </row>
    <row r="13" spans="1:15" x14ac:dyDescent="0.35">
      <c r="A13" s="31">
        <v>7</v>
      </c>
      <c r="B13" s="68" t="s">
        <v>365</v>
      </c>
      <c r="C13" s="73" t="s">
        <v>30</v>
      </c>
      <c r="D13" s="74">
        <v>25</v>
      </c>
      <c r="E13" s="75">
        <v>3</v>
      </c>
      <c r="F13" s="31">
        <f t="shared" si="0"/>
        <v>-22</v>
      </c>
      <c r="G13" s="35">
        <f t="shared" si="1"/>
        <v>0.12</v>
      </c>
    </row>
    <row r="14" spans="1:15" x14ac:dyDescent="0.35">
      <c r="A14" s="31">
        <v>8</v>
      </c>
      <c r="B14" s="68" t="s">
        <v>366</v>
      </c>
      <c r="C14" s="73" t="s">
        <v>30</v>
      </c>
      <c r="D14" s="74">
        <v>25</v>
      </c>
      <c r="E14" s="76">
        <v>2</v>
      </c>
      <c r="F14" s="31">
        <f t="shared" si="0"/>
        <v>-23</v>
      </c>
      <c r="G14" s="35">
        <f t="shared" si="1"/>
        <v>0.08</v>
      </c>
    </row>
    <row r="15" spans="1:15" x14ac:dyDescent="0.35">
      <c r="A15" s="31">
        <v>9</v>
      </c>
      <c r="B15" s="69" t="s">
        <v>367</v>
      </c>
      <c r="C15" s="77" t="s">
        <v>28</v>
      </c>
      <c r="D15" s="78">
        <v>35</v>
      </c>
      <c r="E15" s="79">
        <v>8</v>
      </c>
      <c r="F15" s="31">
        <f t="shared" si="0"/>
        <v>-27</v>
      </c>
      <c r="G15" s="35">
        <f t="shared" si="1"/>
        <v>0.22857142857142856</v>
      </c>
    </row>
    <row r="16" spans="1:15" x14ac:dyDescent="0.35">
      <c r="A16" s="31">
        <v>10</v>
      </c>
      <c r="B16" s="69" t="s">
        <v>368</v>
      </c>
      <c r="C16" s="77" t="s">
        <v>30</v>
      </c>
      <c r="D16" s="78">
        <v>25</v>
      </c>
      <c r="E16" s="79">
        <v>27</v>
      </c>
      <c r="F16" s="31">
        <f t="shared" si="0"/>
        <v>2</v>
      </c>
      <c r="G16" s="35">
        <f t="shared" si="1"/>
        <v>1.08</v>
      </c>
    </row>
    <row r="17" spans="1:7" x14ac:dyDescent="0.35">
      <c r="A17" s="31">
        <v>11</v>
      </c>
      <c r="B17" s="69" t="s">
        <v>369</v>
      </c>
      <c r="C17" s="77" t="s">
        <v>30</v>
      </c>
      <c r="D17" s="78">
        <v>25</v>
      </c>
      <c r="E17" s="79">
        <v>20</v>
      </c>
      <c r="F17" s="31">
        <f t="shared" si="0"/>
        <v>-5</v>
      </c>
      <c r="G17" s="35">
        <f t="shared" si="1"/>
        <v>0.8</v>
      </c>
    </row>
    <row r="18" spans="1:7" x14ac:dyDescent="0.35">
      <c r="A18" s="31">
        <v>12</v>
      </c>
      <c r="B18" s="69" t="s">
        <v>370</v>
      </c>
      <c r="C18" s="77" t="s">
        <v>30</v>
      </c>
      <c r="D18" s="78">
        <v>25</v>
      </c>
      <c r="E18" s="79">
        <v>19</v>
      </c>
      <c r="F18" s="31">
        <f t="shared" si="0"/>
        <v>-6</v>
      </c>
      <c r="G18" s="35">
        <f t="shared" si="1"/>
        <v>0.76</v>
      </c>
    </row>
    <row r="19" spans="1:7" x14ac:dyDescent="0.35">
      <c r="A19" s="31">
        <v>13</v>
      </c>
      <c r="B19" s="69" t="s">
        <v>371</v>
      </c>
      <c r="C19" s="77" t="s">
        <v>30</v>
      </c>
      <c r="D19" s="78">
        <v>25</v>
      </c>
      <c r="E19" s="79">
        <v>19</v>
      </c>
      <c r="F19" s="31">
        <f t="shared" si="0"/>
        <v>-6</v>
      </c>
      <c r="G19" s="35">
        <f t="shared" si="1"/>
        <v>0.76</v>
      </c>
    </row>
    <row r="20" spans="1:7" x14ac:dyDescent="0.35">
      <c r="A20" s="31">
        <v>14</v>
      </c>
      <c r="B20" s="69" t="s">
        <v>372</v>
      </c>
      <c r="C20" s="77" t="s">
        <v>30</v>
      </c>
      <c r="D20" s="78">
        <v>25</v>
      </c>
      <c r="E20" s="79">
        <v>10</v>
      </c>
      <c r="F20" s="31">
        <f t="shared" si="0"/>
        <v>-15</v>
      </c>
      <c r="G20" s="35">
        <f t="shared" si="1"/>
        <v>0.4</v>
      </c>
    </row>
    <row r="21" spans="1:7" x14ac:dyDescent="0.35">
      <c r="A21" s="31">
        <v>15</v>
      </c>
      <c r="B21" s="69" t="s">
        <v>373</v>
      </c>
      <c r="C21" s="77" t="s">
        <v>30</v>
      </c>
      <c r="D21" s="78">
        <v>25</v>
      </c>
      <c r="E21" s="79">
        <v>5</v>
      </c>
      <c r="F21" s="31">
        <f t="shared" si="0"/>
        <v>-20</v>
      </c>
      <c r="G21" s="35">
        <f t="shared" si="1"/>
        <v>0.2</v>
      </c>
    </row>
    <row r="22" spans="1:7" x14ac:dyDescent="0.35">
      <c r="A22" s="31">
        <v>16</v>
      </c>
      <c r="B22" s="70" t="s">
        <v>374</v>
      </c>
      <c r="C22" s="77" t="s">
        <v>30</v>
      </c>
      <c r="D22" s="78">
        <v>25</v>
      </c>
      <c r="E22" s="80">
        <v>1</v>
      </c>
      <c r="F22" s="31">
        <f t="shared" si="0"/>
        <v>-24</v>
      </c>
      <c r="G22" s="35">
        <f t="shared" si="1"/>
        <v>0.04</v>
      </c>
    </row>
    <row r="23" spans="1:7" x14ac:dyDescent="0.35">
      <c r="A23" s="31">
        <v>17</v>
      </c>
      <c r="B23" s="71" t="s">
        <v>375</v>
      </c>
      <c r="C23" s="81" t="s">
        <v>28</v>
      </c>
      <c r="D23" s="82">
        <v>35</v>
      </c>
      <c r="E23" s="83">
        <v>0</v>
      </c>
      <c r="F23" s="31">
        <f t="shared" si="0"/>
        <v>-35</v>
      </c>
      <c r="G23" s="35">
        <f t="shared" si="1"/>
        <v>0</v>
      </c>
    </row>
    <row r="24" spans="1:7" x14ac:dyDescent="0.35">
      <c r="A24" s="31">
        <v>18</v>
      </c>
      <c r="B24" s="71" t="s">
        <v>376</v>
      </c>
      <c r="C24" s="81" t="s">
        <v>30</v>
      </c>
      <c r="D24" s="82">
        <v>25</v>
      </c>
      <c r="E24" s="83">
        <v>25</v>
      </c>
      <c r="F24" s="31">
        <f t="shared" si="0"/>
        <v>0</v>
      </c>
      <c r="G24" s="35">
        <f t="shared" si="1"/>
        <v>1</v>
      </c>
    </row>
    <row r="25" spans="1:7" x14ac:dyDescent="0.35">
      <c r="A25" s="31">
        <v>19</v>
      </c>
      <c r="B25" s="71" t="s">
        <v>377</v>
      </c>
      <c r="C25" s="81" t="s">
        <v>30</v>
      </c>
      <c r="D25" s="82">
        <v>25</v>
      </c>
      <c r="E25" s="83">
        <v>25</v>
      </c>
      <c r="F25" s="31">
        <f t="shared" si="0"/>
        <v>0</v>
      </c>
      <c r="G25" s="35">
        <f t="shared" si="1"/>
        <v>1</v>
      </c>
    </row>
    <row r="26" spans="1:7" x14ac:dyDescent="0.35">
      <c r="A26" s="31">
        <v>20</v>
      </c>
      <c r="B26" s="71" t="s">
        <v>378</v>
      </c>
      <c r="C26" s="81" t="s">
        <v>30</v>
      </c>
      <c r="D26" s="82">
        <v>25</v>
      </c>
      <c r="E26" s="83">
        <v>26</v>
      </c>
      <c r="F26" s="31">
        <f t="shared" si="0"/>
        <v>1</v>
      </c>
      <c r="G26" s="35">
        <f t="shared" si="1"/>
        <v>1.04</v>
      </c>
    </row>
    <row r="27" spans="1:7" x14ac:dyDescent="0.35">
      <c r="A27" s="31">
        <v>21</v>
      </c>
      <c r="B27" s="71" t="s">
        <v>379</v>
      </c>
      <c r="C27" s="81" t="s">
        <v>30</v>
      </c>
      <c r="D27" s="82">
        <v>25</v>
      </c>
      <c r="E27" s="83">
        <v>25</v>
      </c>
      <c r="F27" s="31">
        <f t="shared" si="0"/>
        <v>0</v>
      </c>
      <c r="G27" s="35">
        <f t="shared" si="1"/>
        <v>1</v>
      </c>
    </row>
    <row r="28" spans="1:7" x14ac:dyDescent="0.35">
      <c r="A28" s="31">
        <v>22</v>
      </c>
      <c r="B28" s="72" t="s">
        <v>380</v>
      </c>
      <c r="C28" s="81" t="s">
        <v>30</v>
      </c>
      <c r="D28" s="82">
        <v>25</v>
      </c>
      <c r="E28" s="84">
        <v>13</v>
      </c>
      <c r="F28" s="31">
        <f t="shared" si="0"/>
        <v>-12</v>
      </c>
      <c r="G28" s="35">
        <f t="shared" si="1"/>
        <v>0.52</v>
      </c>
    </row>
    <row r="29" spans="1:7" x14ac:dyDescent="0.35">
      <c r="A29" s="31"/>
      <c r="B29" s="31" t="s">
        <v>34</v>
      </c>
      <c r="C29" s="31"/>
      <c r="D29" s="31">
        <v>530</v>
      </c>
      <c r="E29" s="31">
        <f>SUM(E7:E28)</f>
        <v>324</v>
      </c>
      <c r="F29" s="31"/>
      <c r="G29" s="35">
        <f t="shared" si="1"/>
        <v>0.61132075471698111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77D9-8923-42C6-A2FA-85AC03EE43F5}">
  <dimension ref="A1:G17"/>
  <sheetViews>
    <sheetView workbookViewId="0">
      <selection activeCell="C4" sqref="C4:G4"/>
    </sheetView>
  </sheetViews>
  <sheetFormatPr defaultRowHeight="14.5" x14ac:dyDescent="0.35"/>
  <cols>
    <col min="1" max="1" width="5.7265625" customWidth="1"/>
    <col min="2" max="2" width="37.26953125" customWidth="1"/>
    <col min="7" max="7" width="8.7265625" style="6"/>
  </cols>
  <sheetData>
    <row r="1" spans="1:7" x14ac:dyDescent="0.35">
      <c r="B1" s="5" t="s">
        <v>16</v>
      </c>
    </row>
    <row r="2" spans="1:7" x14ac:dyDescent="0.35">
      <c r="B2" s="5" t="s">
        <v>17</v>
      </c>
    </row>
    <row r="3" spans="1:7" x14ac:dyDescent="0.35">
      <c r="B3" s="5" t="s">
        <v>18</v>
      </c>
    </row>
    <row r="4" spans="1:7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</row>
    <row r="5" spans="1:7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6" t="s">
        <v>6</v>
      </c>
    </row>
    <row r="6" spans="1:7" x14ac:dyDescent="0.35">
      <c r="A6" s="158"/>
      <c r="B6" s="159"/>
      <c r="C6" s="163"/>
      <c r="D6" s="163"/>
      <c r="E6" s="163"/>
      <c r="F6" s="163"/>
      <c r="G6" s="167"/>
    </row>
    <row r="7" spans="1:7" x14ac:dyDescent="0.35">
      <c r="A7" s="86">
        <v>1</v>
      </c>
      <c r="B7" s="89" t="s">
        <v>384</v>
      </c>
      <c r="C7" s="90" t="s">
        <v>28</v>
      </c>
      <c r="D7" s="86">
        <v>35</v>
      </c>
      <c r="E7" s="92">
        <v>8</v>
      </c>
      <c r="F7" s="31">
        <f>E7-D7</f>
        <v>-27</v>
      </c>
      <c r="G7" s="35">
        <f>E7/D7*100%</f>
        <v>0.22857142857142856</v>
      </c>
    </row>
    <row r="8" spans="1:7" x14ac:dyDescent="0.35">
      <c r="A8" s="87">
        <v>2</v>
      </c>
      <c r="B8" s="88" t="s">
        <v>385</v>
      </c>
      <c r="C8" s="87" t="s">
        <v>30</v>
      </c>
      <c r="D8" s="87">
        <v>25</v>
      </c>
      <c r="E8" s="92">
        <v>60</v>
      </c>
      <c r="F8" s="31">
        <f t="shared" ref="F8:F17" si="0">E8-D8</f>
        <v>35</v>
      </c>
      <c r="G8" s="35">
        <f t="shared" ref="G8:G17" si="1">E8/D8*100%</f>
        <v>2.4</v>
      </c>
    </row>
    <row r="9" spans="1:7" x14ac:dyDescent="0.35">
      <c r="A9" s="86">
        <v>3</v>
      </c>
      <c r="B9" s="89" t="s">
        <v>386</v>
      </c>
      <c r="C9" s="90" t="s">
        <v>30</v>
      </c>
      <c r="D9" s="86">
        <v>25</v>
      </c>
      <c r="E9" s="92">
        <v>25</v>
      </c>
      <c r="F9" s="31">
        <f t="shared" si="0"/>
        <v>0</v>
      </c>
      <c r="G9" s="35">
        <f t="shared" si="1"/>
        <v>1</v>
      </c>
    </row>
    <row r="10" spans="1:7" x14ac:dyDescent="0.35">
      <c r="A10" s="86">
        <v>4</v>
      </c>
      <c r="B10" s="89" t="s">
        <v>387</v>
      </c>
      <c r="C10" s="90" t="s">
        <v>30</v>
      </c>
      <c r="D10" s="86">
        <v>25</v>
      </c>
      <c r="E10" s="92">
        <v>25</v>
      </c>
      <c r="F10" s="31">
        <f t="shared" si="0"/>
        <v>0</v>
      </c>
      <c r="G10" s="35">
        <f t="shared" si="1"/>
        <v>1</v>
      </c>
    </row>
    <row r="11" spans="1:7" x14ac:dyDescent="0.35">
      <c r="A11" s="86">
        <v>5</v>
      </c>
      <c r="B11" s="89" t="s">
        <v>388</v>
      </c>
      <c r="C11" s="90" t="s">
        <v>30</v>
      </c>
      <c r="D11" s="86">
        <v>25</v>
      </c>
      <c r="E11" s="92">
        <v>25</v>
      </c>
      <c r="F11" s="31">
        <f t="shared" si="0"/>
        <v>0</v>
      </c>
      <c r="G11" s="35">
        <f t="shared" si="1"/>
        <v>1</v>
      </c>
    </row>
    <row r="12" spans="1:7" x14ac:dyDescent="0.35">
      <c r="A12" s="86">
        <v>6</v>
      </c>
      <c r="B12" s="89" t="s">
        <v>389</v>
      </c>
      <c r="C12" s="90" t="s">
        <v>30</v>
      </c>
      <c r="D12" s="86">
        <v>25</v>
      </c>
      <c r="E12" s="92">
        <v>5</v>
      </c>
      <c r="F12" s="31">
        <f t="shared" si="0"/>
        <v>-20</v>
      </c>
      <c r="G12" s="35">
        <f t="shared" si="1"/>
        <v>0.2</v>
      </c>
    </row>
    <row r="13" spans="1:7" x14ac:dyDescent="0.35">
      <c r="A13" s="86">
        <v>7</v>
      </c>
      <c r="B13" s="89" t="s">
        <v>390</v>
      </c>
      <c r="C13" s="90" t="s">
        <v>30</v>
      </c>
      <c r="D13" s="86">
        <v>25</v>
      </c>
      <c r="E13" s="92">
        <v>19</v>
      </c>
      <c r="F13" s="31">
        <f t="shared" si="0"/>
        <v>-6</v>
      </c>
      <c r="G13" s="35">
        <f t="shared" si="1"/>
        <v>0.76</v>
      </c>
    </row>
    <row r="14" spans="1:7" x14ac:dyDescent="0.35">
      <c r="A14" s="86">
        <v>8</v>
      </c>
      <c r="B14" s="91" t="s">
        <v>391</v>
      </c>
      <c r="C14" s="90" t="s">
        <v>30</v>
      </c>
      <c r="D14" s="86">
        <v>25</v>
      </c>
      <c r="E14" s="92">
        <v>3</v>
      </c>
      <c r="F14" s="31">
        <f t="shared" si="0"/>
        <v>-22</v>
      </c>
      <c r="G14" s="35">
        <f t="shared" si="1"/>
        <v>0.12</v>
      </c>
    </row>
    <row r="15" spans="1:7" x14ac:dyDescent="0.35">
      <c r="A15" s="86">
        <v>9</v>
      </c>
      <c r="B15" s="91" t="s">
        <v>392</v>
      </c>
      <c r="C15" s="90" t="s">
        <v>30</v>
      </c>
      <c r="D15" s="86">
        <v>25</v>
      </c>
      <c r="E15" s="92">
        <v>1</v>
      </c>
      <c r="F15" s="31">
        <f t="shared" si="0"/>
        <v>-24</v>
      </c>
      <c r="G15" s="35">
        <f t="shared" si="1"/>
        <v>0.04</v>
      </c>
    </row>
    <row r="16" spans="1:7" x14ac:dyDescent="0.35">
      <c r="A16" s="86">
        <v>10</v>
      </c>
      <c r="B16" s="89" t="s">
        <v>393</v>
      </c>
      <c r="C16" s="90" t="s">
        <v>30</v>
      </c>
      <c r="D16" s="86">
        <v>25</v>
      </c>
      <c r="E16" s="92">
        <v>14</v>
      </c>
      <c r="F16" s="31">
        <f t="shared" si="0"/>
        <v>-11</v>
      </c>
      <c r="G16" s="35">
        <f t="shared" si="1"/>
        <v>0.56000000000000005</v>
      </c>
    </row>
    <row r="17" spans="1:7" x14ac:dyDescent="0.35">
      <c r="A17" s="31"/>
      <c r="B17" s="31" t="s">
        <v>34</v>
      </c>
      <c r="C17" s="31"/>
      <c r="D17" s="31">
        <v>230</v>
      </c>
      <c r="E17" s="31">
        <f>SUM(E7:E16)</f>
        <v>185</v>
      </c>
      <c r="F17" s="31">
        <f t="shared" si="0"/>
        <v>-45</v>
      </c>
      <c r="G17" s="35">
        <f t="shared" si="1"/>
        <v>0.80434782608695654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3369-D013-4CFD-8130-8D969D4E9390}">
  <dimension ref="A1:G14"/>
  <sheetViews>
    <sheetView workbookViewId="0">
      <selection activeCell="C4" sqref="C4:G4"/>
    </sheetView>
  </sheetViews>
  <sheetFormatPr defaultRowHeight="14.5" x14ac:dyDescent="0.35"/>
  <cols>
    <col min="1" max="1" width="3.81640625" customWidth="1"/>
    <col min="2" max="2" width="37.6328125" customWidth="1"/>
    <col min="7" max="7" width="8.7265625" style="6"/>
  </cols>
  <sheetData>
    <row r="1" spans="1:7" x14ac:dyDescent="0.35">
      <c r="B1" s="5" t="s">
        <v>16</v>
      </c>
    </row>
    <row r="2" spans="1:7" x14ac:dyDescent="0.35">
      <c r="B2" s="5" t="s">
        <v>17</v>
      </c>
    </row>
    <row r="3" spans="1:7" x14ac:dyDescent="0.35">
      <c r="B3" s="5" t="s">
        <v>18</v>
      </c>
    </row>
    <row r="4" spans="1:7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</row>
    <row r="5" spans="1:7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</row>
    <row r="6" spans="1:7" x14ac:dyDescent="0.35">
      <c r="A6" s="158"/>
      <c r="B6" s="159"/>
      <c r="C6" s="163"/>
      <c r="D6" s="163"/>
      <c r="E6" s="163"/>
      <c r="F6" s="163"/>
      <c r="G6" s="165"/>
    </row>
    <row r="7" spans="1:7" x14ac:dyDescent="0.35">
      <c r="A7" s="93">
        <v>1</v>
      </c>
      <c r="B7" s="94" t="s">
        <v>394</v>
      </c>
      <c r="C7" s="95" t="s">
        <v>28</v>
      </c>
      <c r="D7" s="93">
        <v>35</v>
      </c>
      <c r="E7" s="96">
        <v>0</v>
      </c>
      <c r="F7" s="85">
        <f>E7-D7</f>
        <v>-35</v>
      </c>
      <c r="G7" s="98">
        <f>E7/D7*100%</f>
        <v>0</v>
      </c>
    </row>
    <row r="8" spans="1:7" x14ac:dyDescent="0.35">
      <c r="A8" s="93">
        <v>2</v>
      </c>
      <c r="B8" s="94" t="s">
        <v>395</v>
      </c>
      <c r="C8" s="95" t="s">
        <v>30</v>
      </c>
      <c r="D8" s="93">
        <v>25</v>
      </c>
      <c r="E8" s="96">
        <v>29</v>
      </c>
      <c r="F8" s="85">
        <f t="shared" ref="F8:F14" si="0">E8-D8</f>
        <v>4</v>
      </c>
      <c r="G8" s="98">
        <f t="shared" ref="G8:G14" si="1">E8/D8*100%</f>
        <v>1.1599999999999999</v>
      </c>
    </row>
    <row r="9" spans="1:7" x14ac:dyDescent="0.35">
      <c r="A9" s="93">
        <v>3</v>
      </c>
      <c r="B9" s="94" t="s">
        <v>396</v>
      </c>
      <c r="C9" s="95" t="s">
        <v>30</v>
      </c>
      <c r="D9" s="93">
        <v>25</v>
      </c>
      <c r="E9" s="96">
        <v>33</v>
      </c>
      <c r="F9" s="85">
        <f t="shared" si="0"/>
        <v>8</v>
      </c>
      <c r="G9" s="98">
        <f t="shared" si="1"/>
        <v>1.32</v>
      </c>
    </row>
    <row r="10" spans="1:7" x14ac:dyDescent="0.35">
      <c r="A10" s="93">
        <v>4</v>
      </c>
      <c r="B10" s="94" t="s">
        <v>397</v>
      </c>
      <c r="C10" s="95" t="s">
        <v>30</v>
      </c>
      <c r="D10" s="93">
        <v>25</v>
      </c>
      <c r="E10" s="96">
        <v>14</v>
      </c>
      <c r="F10" s="85">
        <f t="shared" si="0"/>
        <v>-11</v>
      </c>
      <c r="G10" s="98">
        <f t="shared" si="1"/>
        <v>0.56000000000000005</v>
      </c>
    </row>
    <row r="11" spans="1:7" x14ac:dyDescent="0.35">
      <c r="A11" s="93">
        <v>5</v>
      </c>
      <c r="B11" s="94" t="s">
        <v>398</v>
      </c>
      <c r="C11" s="95" t="s">
        <v>30</v>
      </c>
      <c r="D11" s="93">
        <v>25</v>
      </c>
      <c r="E11" s="96">
        <v>3</v>
      </c>
      <c r="F11" s="85">
        <f t="shared" si="0"/>
        <v>-22</v>
      </c>
      <c r="G11" s="98">
        <f t="shared" si="1"/>
        <v>0.12</v>
      </c>
    </row>
    <row r="12" spans="1:7" x14ac:dyDescent="0.35">
      <c r="A12" s="93">
        <v>6</v>
      </c>
      <c r="B12" s="94" t="s">
        <v>399</v>
      </c>
      <c r="C12" s="95" t="s">
        <v>30</v>
      </c>
      <c r="D12" s="93">
        <v>25</v>
      </c>
      <c r="E12" s="96">
        <v>24</v>
      </c>
      <c r="F12" s="85">
        <f t="shared" si="0"/>
        <v>-1</v>
      </c>
      <c r="G12" s="98">
        <f t="shared" si="1"/>
        <v>0.96</v>
      </c>
    </row>
    <row r="13" spans="1:7" x14ac:dyDescent="0.35">
      <c r="A13" s="93">
        <v>7</v>
      </c>
      <c r="B13" s="97" t="s">
        <v>400</v>
      </c>
      <c r="C13" s="95" t="s">
        <v>30</v>
      </c>
      <c r="D13" s="93">
        <v>25</v>
      </c>
      <c r="E13" s="96">
        <v>4</v>
      </c>
      <c r="F13" s="85">
        <f t="shared" si="0"/>
        <v>-21</v>
      </c>
      <c r="G13" s="98">
        <f t="shared" si="1"/>
        <v>0.16</v>
      </c>
    </row>
    <row r="14" spans="1:7" x14ac:dyDescent="0.35">
      <c r="A14" s="85"/>
      <c r="B14" s="85" t="s">
        <v>34</v>
      </c>
      <c r="C14" s="85"/>
      <c r="D14" s="85">
        <v>190</v>
      </c>
      <c r="E14" s="85">
        <f>SUM(E7:E13)</f>
        <v>107</v>
      </c>
      <c r="F14" s="85">
        <f t="shared" si="0"/>
        <v>-83</v>
      </c>
      <c r="G14" s="98">
        <f t="shared" si="1"/>
        <v>0.56315789473684208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AE3D-2491-4D6C-A8ED-53C5ADBE8053}">
  <dimension ref="A1:N22"/>
  <sheetViews>
    <sheetView workbookViewId="0">
      <selection activeCell="C5" sqref="C5:G5"/>
    </sheetView>
  </sheetViews>
  <sheetFormatPr defaultRowHeight="14.5" x14ac:dyDescent="0.35"/>
  <cols>
    <col min="1" max="1" width="5.1796875" customWidth="1"/>
    <col min="2" max="2" width="30.453125" customWidth="1"/>
    <col min="7" max="7" width="8.7265625" style="6"/>
    <col min="9" max="9" width="5.08984375" customWidth="1"/>
    <col min="10" max="11" width="15.54296875" customWidth="1"/>
  </cols>
  <sheetData>
    <row r="1" spans="1:14" x14ac:dyDescent="0.35">
      <c r="B1" s="5" t="s">
        <v>16</v>
      </c>
    </row>
    <row r="2" spans="1:14" x14ac:dyDescent="0.35">
      <c r="B2" s="5" t="s">
        <v>17</v>
      </c>
    </row>
    <row r="3" spans="1:14" x14ac:dyDescent="0.35">
      <c r="B3" s="5" t="s">
        <v>466</v>
      </c>
    </row>
    <row r="4" spans="1:14" x14ac:dyDescent="0.35">
      <c r="B4" t="s">
        <v>467</v>
      </c>
    </row>
    <row r="5" spans="1:14" x14ac:dyDescent="0.35">
      <c r="A5" s="158" t="s">
        <v>19</v>
      </c>
      <c r="B5" s="159" t="s">
        <v>20</v>
      </c>
      <c r="C5" s="160" t="s">
        <v>941</v>
      </c>
      <c r="D5" s="161"/>
      <c r="E5" s="161"/>
      <c r="F5" s="161"/>
      <c r="G5" s="161"/>
      <c r="I5" s="7" t="s">
        <v>7</v>
      </c>
      <c r="J5" s="7" t="s">
        <v>9</v>
      </c>
      <c r="K5" t="s">
        <v>10</v>
      </c>
      <c r="L5" s="7" t="s">
        <v>3</v>
      </c>
      <c r="M5" s="7" t="s">
        <v>4</v>
      </c>
      <c r="N5" s="64" t="s">
        <v>6</v>
      </c>
    </row>
    <row r="6" spans="1:14" x14ac:dyDescent="0.35">
      <c r="A6" s="158"/>
      <c r="B6" s="159"/>
      <c r="C6" s="162" t="s">
        <v>21</v>
      </c>
      <c r="D6" s="162" t="s">
        <v>22</v>
      </c>
      <c r="E6" s="162" t="s">
        <v>23</v>
      </c>
      <c r="F6" s="162" t="s">
        <v>24</v>
      </c>
      <c r="G6" s="164" t="s">
        <v>6</v>
      </c>
      <c r="I6" s="21">
        <v>1</v>
      </c>
      <c r="J6" s="21" t="s">
        <v>482</v>
      </c>
      <c r="K6" s="21">
        <v>6</v>
      </c>
      <c r="L6" s="21">
        <v>190</v>
      </c>
      <c r="M6" s="21">
        <v>120</v>
      </c>
      <c r="N6" s="22">
        <f>M6/L6*100%</f>
        <v>0.63157894736842102</v>
      </c>
    </row>
    <row r="7" spans="1:14" x14ac:dyDescent="0.35">
      <c r="A7" s="158"/>
      <c r="B7" s="159"/>
      <c r="C7" s="163"/>
      <c r="D7" s="163"/>
      <c r="E7" s="163"/>
      <c r="F7" s="163"/>
      <c r="G7" s="165"/>
      <c r="I7" s="21">
        <v>2</v>
      </c>
      <c r="J7" s="21" t="s">
        <v>483</v>
      </c>
      <c r="K7" s="21">
        <v>6</v>
      </c>
      <c r="L7" s="21">
        <v>190</v>
      </c>
      <c r="M7" s="21">
        <v>127</v>
      </c>
      <c r="N7" s="22">
        <f>M7/L7*100%</f>
        <v>0.66842105263157892</v>
      </c>
    </row>
    <row r="8" spans="1:14" x14ac:dyDescent="0.35">
      <c r="A8" s="31">
        <v>1</v>
      </c>
      <c r="B8" s="45" t="s">
        <v>468</v>
      </c>
      <c r="C8" s="46" t="s">
        <v>28</v>
      </c>
      <c r="D8" s="46">
        <v>35</v>
      </c>
      <c r="E8" s="46">
        <v>3</v>
      </c>
      <c r="F8" s="31">
        <f>E8-D8</f>
        <v>-32</v>
      </c>
      <c r="G8" s="35">
        <f>E8/D8*100%</f>
        <v>8.5714285714285715E-2</v>
      </c>
    </row>
    <row r="9" spans="1:14" x14ac:dyDescent="0.35">
      <c r="A9" s="31">
        <v>2</v>
      </c>
      <c r="B9" s="45" t="s">
        <v>469</v>
      </c>
      <c r="C9" s="46" t="s">
        <v>30</v>
      </c>
      <c r="D9" s="46">
        <v>25</v>
      </c>
      <c r="E9" s="46">
        <v>14</v>
      </c>
      <c r="F9" s="31">
        <f t="shared" ref="F9:F22" si="0">E9-D9</f>
        <v>-11</v>
      </c>
      <c r="G9" s="35">
        <f t="shared" ref="G9:G22" si="1">E9/D9*100%</f>
        <v>0.56000000000000005</v>
      </c>
    </row>
    <row r="10" spans="1:14" x14ac:dyDescent="0.35">
      <c r="A10" s="31">
        <v>3</v>
      </c>
      <c r="B10" s="45" t="s">
        <v>470</v>
      </c>
      <c r="C10" s="46" t="s">
        <v>30</v>
      </c>
      <c r="D10" s="46">
        <v>25</v>
      </c>
      <c r="E10" s="46">
        <v>21</v>
      </c>
      <c r="F10" s="31">
        <f t="shared" si="0"/>
        <v>-4</v>
      </c>
      <c r="G10" s="35">
        <f t="shared" si="1"/>
        <v>0.84</v>
      </c>
    </row>
    <row r="11" spans="1:14" x14ac:dyDescent="0.35">
      <c r="A11" s="31">
        <v>4</v>
      </c>
      <c r="B11" s="45" t="s">
        <v>471</v>
      </c>
      <c r="C11" s="46" t="s">
        <v>30</v>
      </c>
      <c r="D11" s="46">
        <v>25</v>
      </c>
      <c r="E11" s="46">
        <v>15</v>
      </c>
      <c r="F11" s="31">
        <f t="shared" si="0"/>
        <v>-10</v>
      </c>
      <c r="G11" s="35">
        <f t="shared" si="1"/>
        <v>0.6</v>
      </c>
    </row>
    <row r="12" spans="1:14" x14ac:dyDescent="0.35">
      <c r="A12" s="31">
        <v>5</v>
      </c>
      <c r="B12" s="45" t="s">
        <v>472</v>
      </c>
      <c r="C12" s="46" t="s">
        <v>30</v>
      </c>
      <c r="D12" s="46">
        <v>25</v>
      </c>
      <c r="E12" s="46">
        <v>24</v>
      </c>
      <c r="F12" s="31">
        <f t="shared" si="0"/>
        <v>-1</v>
      </c>
      <c r="G12" s="35">
        <f t="shared" si="1"/>
        <v>0.96</v>
      </c>
    </row>
    <row r="13" spans="1:14" x14ac:dyDescent="0.35">
      <c r="A13" s="31">
        <v>6</v>
      </c>
      <c r="B13" s="45" t="s">
        <v>473</v>
      </c>
      <c r="C13" s="46" t="s">
        <v>30</v>
      </c>
      <c r="D13" s="46">
        <v>25</v>
      </c>
      <c r="E13" s="46">
        <v>19</v>
      </c>
      <c r="F13" s="31">
        <f t="shared" si="0"/>
        <v>-6</v>
      </c>
      <c r="G13" s="35">
        <f t="shared" si="1"/>
        <v>0.76</v>
      </c>
    </row>
    <row r="14" spans="1:14" x14ac:dyDescent="0.35">
      <c r="A14" s="31">
        <v>7</v>
      </c>
      <c r="B14" s="45" t="s">
        <v>474</v>
      </c>
      <c r="C14" s="46" t="s">
        <v>30</v>
      </c>
      <c r="D14" s="46">
        <v>25</v>
      </c>
      <c r="E14" s="46">
        <v>24</v>
      </c>
      <c r="F14" s="31">
        <f t="shared" si="0"/>
        <v>-1</v>
      </c>
      <c r="G14" s="35">
        <f t="shared" si="1"/>
        <v>0.96</v>
      </c>
    </row>
    <row r="15" spans="1:14" x14ac:dyDescent="0.35">
      <c r="A15" s="31">
        <v>8</v>
      </c>
      <c r="B15" s="45" t="s">
        <v>475</v>
      </c>
      <c r="C15" s="46" t="s">
        <v>28</v>
      </c>
      <c r="D15" s="46">
        <v>35</v>
      </c>
      <c r="E15" s="46">
        <v>1</v>
      </c>
      <c r="F15" s="31">
        <f t="shared" si="0"/>
        <v>-34</v>
      </c>
      <c r="G15" s="35">
        <f t="shared" si="1"/>
        <v>2.8571428571428571E-2</v>
      </c>
    </row>
    <row r="16" spans="1:14" x14ac:dyDescent="0.35">
      <c r="A16" s="31">
        <v>9</v>
      </c>
      <c r="B16" s="45" t="s">
        <v>476</v>
      </c>
      <c r="C16" s="46" t="s">
        <v>30</v>
      </c>
      <c r="D16" s="46">
        <v>25</v>
      </c>
      <c r="E16" s="46">
        <v>20</v>
      </c>
      <c r="F16" s="31">
        <f t="shared" si="0"/>
        <v>-5</v>
      </c>
      <c r="G16" s="35">
        <f t="shared" si="1"/>
        <v>0.8</v>
      </c>
    </row>
    <row r="17" spans="1:7" x14ac:dyDescent="0.35">
      <c r="A17" s="31">
        <v>10</v>
      </c>
      <c r="B17" s="45" t="s">
        <v>477</v>
      </c>
      <c r="C17" s="46" t="s">
        <v>30</v>
      </c>
      <c r="D17" s="46">
        <v>25</v>
      </c>
      <c r="E17" s="46">
        <v>21</v>
      </c>
      <c r="F17" s="31">
        <f t="shared" si="0"/>
        <v>-4</v>
      </c>
      <c r="G17" s="35">
        <f t="shared" si="1"/>
        <v>0.84</v>
      </c>
    </row>
    <row r="18" spans="1:7" x14ac:dyDescent="0.35">
      <c r="A18" s="31">
        <v>11</v>
      </c>
      <c r="B18" s="45" t="s">
        <v>478</v>
      </c>
      <c r="C18" s="46" t="s">
        <v>30</v>
      </c>
      <c r="D18" s="46">
        <v>25</v>
      </c>
      <c r="E18" s="46">
        <v>14</v>
      </c>
      <c r="F18" s="31">
        <f t="shared" si="0"/>
        <v>-11</v>
      </c>
      <c r="G18" s="35">
        <f t="shared" si="1"/>
        <v>0.56000000000000005</v>
      </c>
    </row>
    <row r="19" spans="1:7" x14ac:dyDescent="0.35">
      <c r="A19" s="31">
        <v>12</v>
      </c>
      <c r="B19" s="45" t="s">
        <v>479</v>
      </c>
      <c r="C19" s="46" t="s">
        <v>30</v>
      </c>
      <c r="D19" s="46">
        <v>25</v>
      </c>
      <c r="E19" s="46">
        <v>31</v>
      </c>
      <c r="F19" s="31">
        <f t="shared" si="0"/>
        <v>6</v>
      </c>
      <c r="G19" s="35">
        <f t="shared" si="1"/>
        <v>1.24</v>
      </c>
    </row>
    <row r="20" spans="1:7" x14ac:dyDescent="0.35">
      <c r="A20" s="31">
        <v>13</v>
      </c>
      <c r="B20" s="45" t="s">
        <v>480</v>
      </c>
      <c r="C20" s="46" t="s">
        <v>30</v>
      </c>
      <c r="D20" s="46">
        <v>25</v>
      </c>
      <c r="E20" s="46">
        <v>29</v>
      </c>
      <c r="F20" s="31">
        <f t="shared" si="0"/>
        <v>4</v>
      </c>
      <c r="G20" s="35">
        <f t="shared" si="1"/>
        <v>1.1599999999999999</v>
      </c>
    </row>
    <row r="21" spans="1:7" x14ac:dyDescent="0.35">
      <c r="A21" s="31">
        <v>14</v>
      </c>
      <c r="B21" s="45" t="s">
        <v>481</v>
      </c>
      <c r="C21" s="46" t="s">
        <v>30</v>
      </c>
      <c r="D21" s="46">
        <v>25</v>
      </c>
      <c r="E21" s="46">
        <v>11</v>
      </c>
      <c r="F21" s="31">
        <f t="shared" si="0"/>
        <v>-14</v>
      </c>
      <c r="G21" s="35">
        <f t="shared" si="1"/>
        <v>0.44</v>
      </c>
    </row>
    <row r="22" spans="1:7" x14ac:dyDescent="0.35">
      <c r="A22" s="31"/>
      <c r="B22" s="31" t="s">
        <v>34</v>
      </c>
      <c r="C22" s="31"/>
      <c r="D22" s="31">
        <v>380</v>
      </c>
      <c r="E22" s="31">
        <f>SUM(E8:E21)</f>
        <v>247</v>
      </c>
      <c r="F22" s="31">
        <f t="shared" si="0"/>
        <v>-133</v>
      </c>
      <c r="G22" s="35">
        <f t="shared" si="1"/>
        <v>0.65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74ED-09CF-43C0-A46C-851283EA6386}">
  <dimension ref="A1:G13"/>
  <sheetViews>
    <sheetView workbookViewId="0">
      <selection activeCell="C5" sqref="C5:G5"/>
    </sheetView>
  </sheetViews>
  <sheetFormatPr defaultRowHeight="14.5" x14ac:dyDescent="0.35"/>
  <cols>
    <col min="1" max="1" width="5.36328125" customWidth="1"/>
    <col min="2" max="2" width="34.6328125" customWidth="1"/>
    <col min="7" max="7" width="8.7265625" style="6"/>
  </cols>
  <sheetData>
    <row r="1" spans="1:7" x14ac:dyDescent="0.35">
      <c r="B1" s="5" t="s">
        <v>16</v>
      </c>
    </row>
    <row r="2" spans="1:7" x14ac:dyDescent="0.35">
      <c r="B2" s="5" t="s">
        <v>17</v>
      </c>
    </row>
    <row r="3" spans="1:7" x14ac:dyDescent="0.35">
      <c r="B3" s="5" t="s">
        <v>466</v>
      </c>
    </row>
    <row r="4" spans="1:7" x14ac:dyDescent="0.35">
      <c r="B4" t="s">
        <v>484</v>
      </c>
    </row>
    <row r="5" spans="1:7" x14ac:dyDescent="0.35">
      <c r="A5" s="158" t="s">
        <v>19</v>
      </c>
      <c r="B5" s="159" t="s">
        <v>20</v>
      </c>
      <c r="C5" s="160" t="s">
        <v>941</v>
      </c>
      <c r="D5" s="161"/>
      <c r="E5" s="161"/>
      <c r="F5" s="161"/>
      <c r="G5" s="161"/>
    </row>
    <row r="6" spans="1:7" x14ac:dyDescent="0.35">
      <c r="A6" s="158"/>
      <c r="B6" s="159"/>
      <c r="C6" s="162" t="s">
        <v>21</v>
      </c>
      <c r="D6" s="162" t="s">
        <v>22</v>
      </c>
      <c r="E6" s="162" t="s">
        <v>23</v>
      </c>
      <c r="F6" s="162" t="s">
        <v>24</v>
      </c>
      <c r="G6" s="164" t="s">
        <v>6</v>
      </c>
    </row>
    <row r="7" spans="1:7" x14ac:dyDescent="0.35">
      <c r="A7" s="158"/>
      <c r="B7" s="159"/>
      <c r="C7" s="163"/>
      <c r="D7" s="163"/>
      <c r="E7" s="163"/>
      <c r="F7" s="163"/>
      <c r="G7" s="165"/>
    </row>
    <row r="8" spans="1:7" x14ac:dyDescent="0.35">
      <c r="A8" s="31">
        <v>1</v>
      </c>
      <c r="B8" s="45" t="s">
        <v>485</v>
      </c>
      <c r="C8" s="46" t="s">
        <v>28</v>
      </c>
      <c r="D8" s="46">
        <v>35</v>
      </c>
      <c r="E8" s="46">
        <v>0</v>
      </c>
      <c r="F8" s="31">
        <f>E8-D8</f>
        <v>-35</v>
      </c>
      <c r="G8" s="35">
        <f>E8/D8*100%</f>
        <v>0</v>
      </c>
    </row>
    <row r="9" spans="1:7" x14ac:dyDescent="0.35">
      <c r="A9" s="31">
        <v>2</v>
      </c>
      <c r="B9" s="45" t="s">
        <v>486</v>
      </c>
      <c r="C9" s="46" t="s">
        <v>30</v>
      </c>
      <c r="D9" s="46">
        <v>25</v>
      </c>
      <c r="E9" s="46">
        <v>50</v>
      </c>
      <c r="F9" s="31">
        <f t="shared" ref="F9:F13" si="0">E9-D9</f>
        <v>25</v>
      </c>
      <c r="G9" s="35">
        <f t="shared" ref="G9:G13" si="1">E9/D9*100%</f>
        <v>2</v>
      </c>
    </row>
    <row r="10" spans="1:7" x14ac:dyDescent="0.35">
      <c r="A10" s="31">
        <v>3</v>
      </c>
      <c r="B10" s="45" t="s">
        <v>487</v>
      </c>
      <c r="C10" s="46" t="s">
        <v>30</v>
      </c>
      <c r="D10" s="46">
        <v>25</v>
      </c>
      <c r="E10" s="46">
        <v>25</v>
      </c>
      <c r="F10" s="31">
        <f t="shared" si="0"/>
        <v>0</v>
      </c>
      <c r="G10" s="35">
        <f t="shared" si="1"/>
        <v>1</v>
      </c>
    </row>
    <row r="11" spans="1:7" x14ac:dyDescent="0.35">
      <c r="A11" s="31">
        <v>4</v>
      </c>
      <c r="B11" s="45" t="s">
        <v>488</v>
      </c>
      <c r="C11" s="46" t="s">
        <v>30</v>
      </c>
      <c r="D11" s="46">
        <v>25</v>
      </c>
      <c r="E11" s="46">
        <v>18</v>
      </c>
      <c r="F11" s="31">
        <f t="shared" si="0"/>
        <v>-7</v>
      </c>
      <c r="G11" s="35">
        <f t="shared" si="1"/>
        <v>0.72</v>
      </c>
    </row>
    <row r="12" spans="1:7" x14ac:dyDescent="0.35">
      <c r="A12" s="31">
        <v>5</v>
      </c>
      <c r="B12" s="45" t="s">
        <v>489</v>
      </c>
      <c r="C12" s="46" t="s">
        <v>30</v>
      </c>
      <c r="D12" s="46">
        <v>25</v>
      </c>
      <c r="E12" s="46">
        <v>23</v>
      </c>
      <c r="F12" s="31">
        <f t="shared" si="0"/>
        <v>-2</v>
      </c>
      <c r="G12" s="35">
        <f t="shared" si="1"/>
        <v>0.92</v>
      </c>
    </row>
    <row r="13" spans="1:7" x14ac:dyDescent="0.35">
      <c r="A13" s="31"/>
      <c r="B13" s="31" t="s">
        <v>34</v>
      </c>
      <c r="C13" s="31"/>
      <c r="D13" s="31">
        <v>150</v>
      </c>
      <c r="E13" s="31">
        <f>SUM(E8:E12)</f>
        <v>116</v>
      </c>
      <c r="F13" s="31">
        <f t="shared" si="0"/>
        <v>-34</v>
      </c>
      <c r="G13" s="35">
        <f t="shared" si="1"/>
        <v>0.77333333333333332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82A4-E203-4D6B-94E6-32B57FFE68A4}">
  <dimension ref="A1:G14"/>
  <sheetViews>
    <sheetView workbookViewId="0">
      <selection activeCell="C5" sqref="C5:G5"/>
    </sheetView>
  </sheetViews>
  <sheetFormatPr defaultRowHeight="14.5" x14ac:dyDescent="0.35"/>
  <cols>
    <col min="1" max="1" width="4.54296875" customWidth="1"/>
    <col min="2" max="2" width="29" customWidth="1"/>
    <col min="7" max="7" width="8.7265625" style="6"/>
  </cols>
  <sheetData>
    <row r="1" spans="1:7" x14ac:dyDescent="0.35">
      <c r="B1" s="5" t="s">
        <v>16</v>
      </c>
    </row>
    <row r="2" spans="1:7" x14ac:dyDescent="0.35">
      <c r="B2" s="5" t="s">
        <v>17</v>
      </c>
    </row>
    <row r="3" spans="1:7" x14ac:dyDescent="0.35">
      <c r="B3" s="5" t="s">
        <v>466</v>
      </c>
    </row>
    <row r="4" spans="1:7" x14ac:dyDescent="0.35">
      <c r="B4" t="s">
        <v>490</v>
      </c>
    </row>
    <row r="5" spans="1:7" x14ac:dyDescent="0.35">
      <c r="A5" s="158" t="s">
        <v>19</v>
      </c>
      <c r="B5" s="159" t="s">
        <v>20</v>
      </c>
      <c r="C5" s="160" t="s">
        <v>941</v>
      </c>
      <c r="D5" s="161"/>
      <c r="E5" s="161"/>
      <c r="F5" s="161"/>
      <c r="G5" s="161"/>
    </row>
    <row r="6" spans="1:7" x14ac:dyDescent="0.35">
      <c r="A6" s="158"/>
      <c r="B6" s="159"/>
      <c r="C6" s="162" t="s">
        <v>21</v>
      </c>
      <c r="D6" s="162" t="s">
        <v>22</v>
      </c>
      <c r="E6" s="162" t="s">
        <v>23</v>
      </c>
      <c r="F6" s="162" t="s">
        <v>24</v>
      </c>
      <c r="G6" s="164" t="s">
        <v>6</v>
      </c>
    </row>
    <row r="7" spans="1:7" x14ac:dyDescent="0.35">
      <c r="A7" s="158"/>
      <c r="B7" s="159"/>
      <c r="C7" s="163"/>
      <c r="D7" s="163"/>
      <c r="E7" s="163"/>
      <c r="F7" s="163"/>
      <c r="G7" s="165"/>
    </row>
    <row r="8" spans="1:7" x14ac:dyDescent="0.35">
      <c r="A8" s="31">
        <v>1</v>
      </c>
      <c r="B8" s="110" t="s">
        <v>491</v>
      </c>
      <c r="C8" s="111" t="s">
        <v>28</v>
      </c>
      <c r="D8" s="111">
        <v>35</v>
      </c>
      <c r="E8" s="111">
        <v>0</v>
      </c>
      <c r="F8" s="31">
        <f>E8-D8</f>
        <v>-35</v>
      </c>
      <c r="G8" s="35">
        <f>E8/D8*100%</f>
        <v>0</v>
      </c>
    </row>
    <row r="9" spans="1:7" x14ac:dyDescent="0.35">
      <c r="A9" s="31">
        <v>2</v>
      </c>
      <c r="B9" s="45" t="s">
        <v>492</v>
      </c>
      <c r="C9" s="46" t="s">
        <v>30</v>
      </c>
      <c r="D9" s="46">
        <v>25</v>
      </c>
      <c r="E9" s="46">
        <v>4</v>
      </c>
      <c r="F9" s="31">
        <f t="shared" ref="F9:F14" si="0">E9-D9</f>
        <v>-21</v>
      </c>
      <c r="G9" s="35">
        <f t="shared" ref="G9:G14" si="1">E9/D9*100%</f>
        <v>0.16</v>
      </c>
    </row>
    <row r="10" spans="1:7" x14ac:dyDescent="0.35">
      <c r="A10" s="31">
        <v>3</v>
      </c>
      <c r="B10" s="45" t="s">
        <v>493</v>
      </c>
      <c r="C10" s="46" t="s">
        <v>30</v>
      </c>
      <c r="D10" s="46">
        <v>25</v>
      </c>
      <c r="E10" s="46">
        <v>3</v>
      </c>
      <c r="F10" s="31">
        <f t="shared" si="0"/>
        <v>-22</v>
      </c>
      <c r="G10" s="35">
        <f t="shared" si="1"/>
        <v>0.12</v>
      </c>
    </row>
    <row r="11" spans="1:7" x14ac:dyDescent="0.35">
      <c r="A11" s="31">
        <v>4</v>
      </c>
      <c r="B11" s="45" t="s">
        <v>494</v>
      </c>
      <c r="C11" s="46" t="s">
        <v>30</v>
      </c>
      <c r="D11" s="46">
        <v>25</v>
      </c>
      <c r="E11" s="46">
        <v>8</v>
      </c>
      <c r="F11" s="31">
        <f t="shared" si="0"/>
        <v>-17</v>
      </c>
      <c r="G11" s="35">
        <f t="shared" si="1"/>
        <v>0.32</v>
      </c>
    </row>
    <row r="12" spans="1:7" x14ac:dyDescent="0.35">
      <c r="A12" s="31">
        <v>5</v>
      </c>
      <c r="B12" s="45" t="s">
        <v>495</v>
      </c>
      <c r="C12" s="46" t="s">
        <v>30</v>
      </c>
      <c r="D12" s="46">
        <v>25</v>
      </c>
      <c r="E12" s="46">
        <v>1</v>
      </c>
      <c r="F12" s="31">
        <f t="shared" si="0"/>
        <v>-24</v>
      </c>
      <c r="G12" s="35">
        <f t="shared" si="1"/>
        <v>0.04</v>
      </c>
    </row>
    <row r="13" spans="1:7" x14ac:dyDescent="0.35">
      <c r="A13" s="31">
        <v>6</v>
      </c>
      <c r="B13" s="45" t="s">
        <v>496</v>
      </c>
      <c r="C13" s="46" t="s">
        <v>30</v>
      </c>
      <c r="D13" s="46">
        <v>25</v>
      </c>
      <c r="E13" s="46">
        <v>23</v>
      </c>
      <c r="F13" s="31">
        <f t="shared" si="0"/>
        <v>-2</v>
      </c>
      <c r="G13" s="35">
        <f t="shared" si="1"/>
        <v>0.92</v>
      </c>
    </row>
    <row r="14" spans="1:7" x14ac:dyDescent="0.35">
      <c r="A14" s="31"/>
      <c r="B14" s="31" t="s">
        <v>34</v>
      </c>
      <c r="C14" s="31"/>
      <c r="D14" s="31">
        <v>150</v>
      </c>
      <c r="E14" s="31">
        <f>SUM(E8:E13)</f>
        <v>39</v>
      </c>
      <c r="F14" s="31">
        <f t="shared" si="0"/>
        <v>-111</v>
      </c>
      <c r="G14" s="35">
        <f t="shared" si="1"/>
        <v>0.26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026D-762C-47D3-8744-623A02B625AF}">
  <dimension ref="A1:G16"/>
  <sheetViews>
    <sheetView workbookViewId="0">
      <selection activeCell="C5" sqref="C5:G5"/>
    </sheetView>
  </sheetViews>
  <sheetFormatPr defaultRowHeight="14.5" x14ac:dyDescent="0.35"/>
  <cols>
    <col min="1" max="1" width="5.90625" customWidth="1"/>
    <col min="2" max="2" width="33.08984375" customWidth="1"/>
    <col min="7" max="7" width="8.7265625" style="6"/>
  </cols>
  <sheetData>
    <row r="1" spans="1:7" x14ac:dyDescent="0.35">
      <c r="B1" s="5" t="s">
        <v>16</v>
      </c>
    </row>
    <row r="2" spans="1:7" x14ac:dyDescent="0.35">
      <c r="B2" s="5" t="s">
        <v>17</v>
      </c>
    </row>
    <row r="3" spans="1:7" x14ac:dyDescent="0.35">
      <c r="B3" s="5" t="s">
        <v>643</v>
      </c>
    </row>
    <row r="4" spans="1:7" x14ac:dyDescent="0.35">
      <c r="B4" t="s">
        <v>600</v>
      </c>
    </row>
    <row r="5" spans="1:7" x14ac:dyDescent="0.35">
      <c r="A5" s="158" t="s">
        <v>19</v>
      </c>
      <c r="B5" s="159" t="s">
        <v>20</v>
      </c>
      <c r="C5" s="160" t="s">
        <v>941</v>
      </c>
      <c r="D5" s="161"/>
      <c r="E5" s="161"/>
      <c r="F5" s="161"/>
      <c r="G5" s="161"/>
    </row>
    <row r="6" spans="1:7" x14ac:dyDescent="0.35">
      <c r="A6" s="158"/>
      <c r="B6" s="159"/>
      <c r="C6" s="162" t="s">
        <v>21</v>
      </c>
      <c r="D6" s="162" t="s">
        <v>22</v>
      </c>
      <c r="E6" s="162" t="s">
        <v>23</v>
      </c>
      <c r="F6" s="162" t="s">
        <v>24</v>
      </c>
      <c r="G6" s="164" t="s">
        <v>6</v>
      </c>
    </row>
    <row r="7" spans="1:7" x14ac:dyDescent="0.35">
      <c r="A7" s="168"/>
      <c r="B7" s="169"/>
      <c r="C7" s="170"/>
      <c r="D7" s="170"/>
      <c r="E7" s="170"/>
      <c r="F7" s="170"/>
      <c r="G7" s="171"/>
    </row>
    <row r="8" spans="1:7" x14ac:dyDescent="0.35">
      <c r="A8" s="31">
        <v>1</v>
      </c>
      <c r="B8" s="135" t="s">
        <v>644</v>
      </c>
      <c r="C8" s="133" t="s">
        <v>28</v>
      </c>
      <c r="D8" s="133">
        <v>35</v>
      </c>
      <c r="E8" s="134">
        <v>0</v>
      </c>
      <c r="F8" s="31">
        <f>E8-D8</f>
        <v>-35</v>
      </c>
      <c r="G8" s="35">
        <f>E8/D8*100%</f>
        <v>0</v>
      </c>
    </row>
    <row r="9" spans="1:7" x14ac:dyDescent="0.35">
      <c r="A9" s="31">
        <v>2</v>
      </c>
      <c r="B9" s="135" t="s">
        <v>645</v>
      </c>
      <c r="C9" s="136" t="s">
        <v>30</v>
      </c>
      <c r="D9" s="133">
        <v>25</v>
      </c>
      <c r="E9" s="134">
        <v>21</v>
      </c>
      <c r="F9" s="31">
        <f t="shared" ref="F9:F16" si="0">E9-D9</f>
        <v>-4</v>
      </c>
      <c r="G9" s="35">
        <f t="shared" ref="G9:G16" si="1">E9/D9*100%</f>
        <v>0.84</v>
      </c>
    </row>
    <row r="10" spans="1:7" x14ac:dyDescent="0.35">
      <c r="A10" s="31">
        <v>3</v>
      </c>
      <c r="B10" s="135" t="s">
        <v>646</v>
      </c>
      <c r="C10" s="136" t="s">
        <v>30</v>
      </c>
      <c r="D10" s="133">
        <v>25</v>
      </c>
      <c r="E10" s="134">
        <v>21</v>
      </c>
      <c r="F10" s="31">
        <f t="shared" si="0"/>
        <v>-4</v>
      </c>
      <c r="G10" s="35">
        <f t="shared" si="1"/>
        <v>0.84</v>
      </c>
    </row>
    <row r="11" spans="1:7" x14ac:dyDescent="0.35">
      <c r="A11" s="31">
        <v>4</v>
      </c>
      <c r="B11" s="135" t="s">
        <v>647</v>
      </c>
      <c r="C11" s="133" t="s">
        <v>30</v>
      </c>
      <c r="D11" s="133">
        <v>25</v>
      </c>
      <c r="E11" s="134">
        <v>20</v>
      </c>
      <c r="F11" s="31">
        <f t="shared" si="0"/>
        <v>-5</v>
      </c>
      <c r="G11" s="35">
        <f t="shared" si="1"/>
        <v>0.8</v>
      </c>
    </row>
    <row r="12" spans="1:7" x14ac:dyDescent="0.35">
      <c r="A12" s="31">
        <v>5</v>
      </c>
      <c r="B12" s="135" t="s">
        <v>648</v>
      </c>
      <c r="C12" s="136" t="s">
        <v>30</v>
      </c>
      <c r="D12" s="133">
        <v>25</v>
      </c>
      <c r="E12" s="134">
        <v>23</v>
      </c>
      <c r="F12" s="31">
        <f t="shared" si="0"/>
        <v>-2</v>
      </c>
      <c r="G12" s="35">
        <f t="shared" si="1"/>
        <v>0.92</v>
      </c>
    </row>
    <row r="13" spans="1:7" x14ac:dyDescent="0.35">
      <c r="A13" s="31">
        <v>6</v>
      </c>
      <c r="B13" s="135" t="s">
        <v>649</v>
      </c>
      <c r="C13" s="133" t="s">
        <v>30</v>
      </c>
      <c r="D13" s="133">
        <v>25</v>
      </c>
      <c r="E13" s="134">
        <v>9</v>
      </c>
      <c r="F13" s="31">
        <f t="shared" si="0"/>
        <v>-16</v>
      </c>
      <c r="G13" s="35">
        <f t="shared" si="1"/>
        <v>0.36</v>
      </c>
    </row>
    <row r="14" spans="1:7" x14ac:dyDescent="0.35">
      <c r="A14" s="31">
        <v>7</v>
      </c>
      <c r="B14" s="135" t="s">
        <v>650</v>
      </c>
      <c r="C14" s="133" t="s">
        <v>30</v>
      </c>
      <c r="D14" s="133">
        <v>25</v>
      </c>
      <c r="E14" s="134">
        <v>2</v>
      </c>
      <c r="F14" s="31">
        <f t="shared" si="0"/>
        <v>-23</v>
      </c>
      <c r="G14" s="35">
        <f t="shared" si="1"/>
        <v>0.08</v>
      </c>
    </row>
    <row r="15" spans="1:7" x14ac:dyDescent="0.35">
      <c r="A15" s="31">
        <v>8</v>
      </c>
      <c r="B15" s="135" t="s">
        <v>651</v>
      </c>
      <c r="C15" s="136" t="s">
        <v>30</v>
      </c>
      <c r="D15" s="133">
        <v>25</v>
      </c>
      <c r="E15" s="134">
        <v>11</v>
      </c>
      <c r="F15" s="31">
        <f t="shared" si="0"/>
        <v>-14</v>
      </c>
      <c r="G15" s="35">
        <f t="shared" si="1"/>
        <v>0.44</v>
      </c>
    </row>
    <row r="16" spans="1:7" x14ac:dyDescent="0.35">
      <c r="A16" s="31"/>
      <c r="B16" s="31" t="s">
        <v>34</v>
      </c>
      <c r="C16" s="31"/>
      <c r="D16" s="31">
        <v>190</v>
      </c>
      <c r="E16" s="31">
        <f>SUM(E8:E15)</f>
        <v>107</v>
      </c>
      <c r="F16" s="31">
        <f t="shared" si="0"/>
        <v>-83</v>
      </c>
      <c r="G16" s="35">
        <f t="shared" si="1"/>
        <v>0.56315789473684208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8301-8271-447F-A984-A96CC4ECD925}">
  <dimension ref="A1:G16"/>
  <sheetViews>
    <sheetView workbookViewId="0">
      <selection activeCell="C5" sqref="C5:G5"/>
    </sheetView>
  </sheetViews>
  <sheetFormatPr defaultRowHeight="14.5" x14ac:dyDescent="0.35"/>
  <cols>
    <col min="1" max="1" width="3.54296875" customWidth="1"/>
    <col min="2" max="2" width="31" customWidth="1"/>
    <col min="7" max="7" width="8.7265625" style="6"/>
  </cols>
  <sheetData>
    <row r="1" spans="1:7" x14ac:dyDescent="0.35">
      <c r="B1" s="5" t="s">
        <v>16</v>
      </c>
    </row>
    <row r="2" spans="1:7" x14ac:dyDescent="0.35">
      <c r="B2" s="5" t="s">
        <v>17</v>
      </c>
    </row>
    <row r="3" spans="1:7" x14ac:dyDescent="0.35">
      <c r="B3" s="5" t="s">
        <v>643</v>
      </c>
    </row>
    <row r="5" spans="1:7" x14ac:dyDescent="0.35">
      <c r="A5" s="158" t="s">
        <v>19</v>
      </c>
      <c r="B5" s="159" t="s">
        <v>20</v>
      </c>
      <c r="C5" s="160" t="s">
        <v>941</v>
      </c>
      <c r="D5" s="161"/>
      <c r="E5" s="161"/>
      <c r="F5" s="161"/>
      <c r="G5" s="161"/>
    </row>
    <row r="6" spans="1:7" x14ac:dyDescent="0.35">
      <c r="A6" s="158"/>
      <c r="B6" s="159"/>
      <c r="C6" s="162" t="s">
        <v>21</v>
      </c>
      <c r="D6" s="162" t="s">
        <v>22</v>
      </c>
      <c r="E6" s="162" t="s">
        <v>23</v>
      </c>
      <c r="F6" s="162" t="s">
        <v>24</v>
      </c>
      <c r="G6" s="164" t="s">
        <v>6</v>
      </c>
    </row>
    <row r="7" spans="1:7" x14ac:dyDescent="0.35">
      <c r="A7" s="168"/>
      <c r="B7" s="169"/>
      <c r="C7" s="170"/>
      <c r="D7" s="170"/>
      <c r="E7" s="170"/>
      <c r="F7" s="170"/>
      <c r="G7" s="171"/>
    </row>
    <row r="8" spans="1:7" x14ac:dyDescent="0.35">
      <c r="A8" s="31">
        <v>1</v>
      </c>
      <c r="B8" s="135" t="s">
        <v>652</v>
      </c>
      <c r="C8" s="133" t="s">
        <v>28</v>
      </c>
      <c r="D8" s="133">
        <v>35</v>
      </c>
      <c r="E8" s="134">
        <v>9</v>
      </c>
      <c r="F8" s="31">
        <f>E8-D8</f>
        <v>-26</v>
      </c>
      <c r="G8" s="35">
        <f>E8/D8*100%</f>
        <v>0.25714285714285712</v>
      </c>
    </row>
    <row r="9" spans="1:7" x14ac:dyDescent="0.35">
      <c r="A9" s="31">
        <v>2</v>
      </c>
      <c r="B9" s="135" t="s">
        <v>653</v>
      </c>
      <c r="C9" s="136" t="s">
        <v>30</v>
      </c>
      <c r="D9" s="133">
        <v>25</v>
      </c>
      <c r="E9" s="134">
        <v>23</v>
      </c>
      <c r="F9" s="31">
        <f t="shared" ref="F9:F16" si="0">E9-D9</f>
        <v>-2</v>
      </c>
      <c r="G9" s="35">
        <f t="shared" ref="G9:G16" si="1">E9/D9*100%</f>
        <v>0.92</v>
      </c>
    </row>
    <row r="10" spans="1:7" x14ac:dyDescent="0.35">
      <c r="A10" s="31">
        <v>3</v>
      </c>
      <c r="B10" s="135" t="s">
        <v>654</v>
      </c>
      <c r="C10" s="136" t="s">
        <v>30</v>
      </c>
      <c r="D10" s="133">
        <v>25</v>
      </c>
      <c r="E10" s="134">
        <v>20</v>
      </c>
      <c r="F10" s="31">
        <f t="shared" si="0"/>
        <v>-5</v>
      </c>
      <c r="G10" s="35">
        <f t="shared" si="1"/>
        <v>0.8</v>
      </c>
    </row>
    <row r="11" spans="1:7" x14ac:dyDescent="0.35">
      <c r="A11" s="31">
        <v>4</v>
      </c>
      <c r="B11" s="135" t="s">
        <v>655</v>
      </c>
      <c r="C11" s="133" t="s">
        <v>30</v>
      </c>
      <c r="D11" s="133">
        <v>25</v>
      </c>
      <c r="E11" s="134">
        <v>18</v>
      </c>
      <c r="F11" s="31">
        <f t="shared" si="0"/>
        <v>-7</v>
      </c>
      <c r="G11" s="35">
        <f t="shared" si="1"/>
        <v>0.72</v>
      </c>
    </row>
    <row r="12" spans="1:7" x14ac:dyDescent="0.35">
      <c r="A12" s="31">
        <v>5</v>
      </c>
      <c r="B12" s="135" t="s">
        <v>656</v>
      </c>
      <c r="C12" s="136" t="s">
        <v>30</v>
      </c>
      <c r="D12" s="133">
        <v>25</v>
      </c>
      <c r="E12" s="134">
        <v>15</v>
      </c>
      <c r="F12" s="31">
        <f t="shared" si="0"/>
        <v>-10</v>
      </c>
      <c r="G12" s="35">
        <f t="shared" si="1"/>
        <v>0.6</v>
      </c>
    </row>
    <row r="13" spans="1:7" x14ac:dyDescent="0.35">
      <c r="A13" s="31">
        <v>6</v>
      </c>
      <c r="B13" s="135" t="s">
        <v>657</v>
      </c>
      <c r="C13" s="133" t="s">
        <v>30</v>
      </c>
      <c r="D13" s="133">
        <v>25</v>
      </c>
      <c r="E13" s="134">
        <v>11</v>
      </c>
      <c r="F13" s="31">
        <f t="shared" si="0"/>
        <v>-14</v>
      </c>
      <c r="G13" s="35">
        <f t="shared" si="1"/>
        <v>0.44</v>
      </c>
    </row>
    <row r="14" spans="1:7" x14ac:dyDescent="0.35">
      <c r="A14" s="31">
        <v>7</v>
      </c>
      <c r="B14" s="135" t="s">
        <v>658</v>
      </c>
      <c r="C14" s="136" t="s">
        <v>30</v>
      </c>
      <c r="D14" s="133">
        <v>25</v>
      </c>
      <c r="E14" s="134">
        <v>10</v>
      </c>
      <c r="F14" s="31">
        <f t="shared" si="0"/>
        <v>-15</v>
      </c>
      <c r="G14" s="35">
        <f t="shared" si="1"/>
        <v>0.4</v>
      </c>
    </row>
    <row r="15" spans="1:7" x14ac:dyDescent="0.35">
      <c r="A15" s="31">
        <v>8</v>
      </c>
      <c r="B15" s="135" t="s">
        <v>659</v>
      </c>
      <c r="C15" s="136" t="s">
        <v>30</v>
      </c>
      <c r="D15" s="133">
        <v>25</v>
      </c>
      <c r="E15" s="134">
        <v>8</v>
      </c>
      <c r="F15" s="31">
        <f t="shared" si="0"/>
        <v>-17</v>
      </c>
      <c r="G15" s="35">
        <f t="shared" si="1"/>
        <v>0.32</v>
      </c>
    </row>
    <row r="16" spans="1:7" x14ac:dyDescent="0.35">
      <c r="A16" s="31"/>
      <c r="B16" s="31" t="s">
        <v>34</v>
      </c>
      <c r="C16" s="31"/>
      <c r="D16" s="31">
        <v>190</v>
      </c>
      <c r="E16" s="31">
        <f>SUM(E8:E15)</f>
        <v>114</v>
      </c>
      <c r="F16" s="31">
        <f t="shared" si="0"/>
        <v>-76</v>
      </c>
      <c r="G16" s="35">
        <f t="shared" si="1"/>
        <v>0.6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81E9-831F-43E1-B236-B901D6BBF869}">
  <dimension ref="A1:G14"/>
  <sheetViews>
    <sheetView workbookViewId="0">
      <selection activeCell="C5" sqref="C5:G5"/>
    </sheetView>
  </sheetViews>
  <sheetFormatPr defaultRowHeight="14.5" x14ac:dyDescent="0.35"/>
  <cols>
    <col min="1" max="1" width="4" customWidth="1"/>
    <col min="2" max="2" width="30.453125" customWidth="1"/>
    <col min="7" max="7" width="8.7265625" style="6"/>
  </cols>
  <sheetData>
    <row r="1" spans="1:7" x14ac:dyDescent="0.35">
      <c r="B1" s="5" t="s">
        <v>16</v>
      </c>
    </row>
    <row r="2" spans="1:7" x14ac:dyDescent="0.35">
      <c r="B2" s="5" t="s">
        <v>17</v>
      </c>
    </row>
    <row r="3" spans="1:7" x14ac:dyDescent="0.35">
      <c r="B3" s="5" t="s">
        <v>643</v>
      </c>
    </row>
    <row r="5" spans="1:7" x14ac:dyDescent="0.35">
      <c r="A5" s="158" t="s">
        <v>19</v>
      </c>
      <c r="B5" s="159" t="s">
        <v>20</v>
      </c>
      <c r="C5" s="160" t="s">
        <v>941</v>
      </c>
      <c r="D5" s="161"/>
      <c r="E5" s="161"/>
      <c r="F5" s="161"/>
      <c r="G5" s="161"/>
    </row>
    <row r="6" spans="1:7" x14ac:dyDescent="0.35">
      <c r="A6" s="158"/>
      <c r="B6" s="159"/>
      <c r="C6" s="162" t="s">
        <v>21</v>
      </c>
      <c r="D6" s="162" t="s">
        <v>22</v>
      </c>
      <c r="E6" s="162" t="s">
        <v>23</v>
      </c>
      <c r="F6" s="162" t="s">
        <v>24</v>
      </c>
      <c r="G6" s="164" t="s">
        <v>6</v>
      </c>
    </row>
    <row r="7" spans="1:7" x14ac:dyDescent="0.35">
      <c r="A7" s="168"/>
      <c r="B7" s="169"/>
      <c r="C7" s="170"/>
      <c r="D7" s="170"/>
      <c r="E7" s="170"/>
      <c r="F7" s="170"/>
      <c r="G7" s="171"/>
    </row>
    <row r="8" spans="1:7" x14ac:dyDescent="0.35">
      <c r="A8" s="31">
        <v>1</v>
      </c>
      <c r="B8" s="135" t="s">
        <v>660</v>
      </c>
      <c r="C8" s="133" t="s">
        <v>28</v>
      </c>
      <c r="D8" s="133">
        <v>35</v>
      </c>
      <c r="E8" s="134">
        <v>2</v>
      </c>
      <c r="F8" s="31">
        <f>E8-D8</f>
        <v>-33</v>
      </c>
      <c r="G8" s="35">
        <f>E8/D8*100%</f>
        <v>5.7142857142857141E-2</v>
      </c>
    </row>
    <row r="9" spans="1:7" x14ac:dyDescent="0.35">
      <c r="A9" s="31">
        <v>2</v>
      </c>
      <c r="B9" s="135" t="s">
        <v>661</v>
      </c>
      <c r="C9" s="136" t="s">
        <v>30</v>
      </c>
      <c r="D9" s="133">
        <v>25</v>
      </c>
      <c r="E9" s="134">
        <v>9</v>
      </c>
      <c r="F9" s="31">
        <f t="shared" ref="F9:F14" si="0">E9-D9</f>
        <v>-16</v>
      </c>
      <c r="G9" s="35">
        <f t="shared" ref="G9:G14" si="1">E9/D9*100%</f>
        <v>0.36</v>
      </c>
    </row>
    <row r="10" spans="1:7" x14ac:dyDescent="0.35">
      <c r="A10" s="31">
        <v>3</v>
      </c>
      <c r="B10" s="135" t="s">
        <v>662</v>
      </c>
      <c r="C10" s="133" t="s">
        <v>30</v>
      </c>
      <c r="D10" s="133">
        <v>25</v>
      </c>
      <c r="E10" s="134">
        <v>1</v>
      </c>
      <c r="F10" s="31">
        <f t="shared" si="0"/>
        <v>-24</v>
      </c>
      <c r="G10" s="35">
        <f t="shared" si="1"/>
        <v>0.04</v>
      </c>
    </row>
    <row r="11" spans="1:7" x14ac:dyDescent="0.35">
      <c r="A11" s="31">
        <v>4</v>
      </c>
      <c r="B11" s="135" t="s">
        <v>663</v>
      </c>
      <c r="C11" s="136" t="s">
        <v>30</v>
      </c>
      <c r="D11" s="133">
        <v>25</v>
      </c>
      <c r="E11" s="134">
        <v>5</v>
      </c>
      <c r="F11" s="31">
        <f t="shared" si="0"/>
        <v>-20</v>
      </c>
      <c r="G11" s="35">
        <f t="shared" si="1"/>
        <v>0.2</v>
      </c>
    </row>
    <row r="12" spans="1:7" x14ac:dyDescent="0.35">
      <c r="A12" s="31">
        <v>5</v>
      </c>
      <c r="B12" s="135" t="s">
        <v>664</v>
      </c>
      <c r="C12" s="133" t="s">
        <v>30</v>
      </c>
      <c r="D12" s="136">
        <v>25</v>
      </c>
      <c r="E12" s="134">
        <v>5</v>
      </c>
      <c r="F12" s="31">
        <f t="shared" si="0"/>
        <v>-20</v>
      </c>
      <c r="G12" s="35">
        <f t="shared" si="1"/>
        <v>0.2</v>
      </c>
    </row>
    <row r="13" spans="1:7" x14ac:dyDescent="0.35">
      <c r="A13" s="31">
        <v>6</v>
      </c>
      <c r="B13" s="135" t="s">
        <v>665</v>
      </c>
      <c r="C13" s="136" t="s">
        <v>30</v>
      </c>
      <c r="D13" s="133">
        <v>25</v>
      </c>
      <c r="E13" s="134">
        <v>15</v>
      </c>
      <c r="F13" s="31">
        <f t="shared" si="0"/>
        <v>-10</v>
      </c>
      <c r="G13" s="35">
        <f t="shared" si="1"/>
        <v>0.6</v>
      </c>
    </row>
    <row r="14" spans="1:7" x14ac:dyDescent="0.35">
      <c r="A14" s="31"/>
      <c r="B14" s="31" t="s">
        <v>34</v>
      </c>
      <c r="C14" s="31"/>
      <c r="D14" s="31">
        <v>150</v>
      </c>
      <c r="E14" s="31">
        <f>SUM(E8:E13)</f>
        <v>37</v>
      </c>
      <c r="F14" s="31">
        <f t="shared" si="0"/>
        <v>-113</v>
      </c>
      <c r="G14" s="35">
        <f t="shared" si="1"/>
        <v>0.24666666666666667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7EA8-6EF7-468C-98D1-C531309465A0}">
  <dimension ref="A1:N22"/>
  <sheetViews>
    <sheetView workbookViewId="0">
      <selection activeCell="C5" sqref="C5:G5"/>
    </sheetView>
  </sheetViews>
  <sheetFormatPr defaultRowHeight="14.5" x14ac:dyDescent="0.35"/>
  <cols>
    <col min="1" max="1" width="5.453125" customWidth="1"/>
    <col min="2" max="2" width="33" customWidth="1"/>
    <col min="7" max="7" width="8.7265625" style="6"/>
    <col min="9" max="9" width="5.6328125" customWidth="1"/>
    <col min="10" max="10" width="23.7265625" customWidth="1"/>
  </cols>
  <sheetData>
    <row r="1" spans="1:14" x14ac:dyDescent="0.35">
      <c r="B1" s="5" t="s">
        <v>16</v>
      </c>
    </row>
    <row r="2" spans="1:14" x14ac:dyDescent="0.35">
      <c r="B2" s="5" t="s">
        <v>17</v>
      </c>
    </row>
    <row r="3" spans="1:14" x14ac:dyDescent="0.35">
      <c r="B3" s="5" t="s">
        <v>643</v>
      </c>
    </row>
    <row r="5" spans="1:14" x14ac:dyDescent="0.35">
      <c r="A5" s="158" t="s">
        <v>19</v>
      </c>
      <c r="B5" s="159" t="s">
        <v>20</v>
      </c>
      <c r="C5" s="160" t="s">
        <v>941</v>
      </c>
      <c r="D5" s="161"/>
      <c r="E5" s="161"/>
      <c r="F5" s="161"/>
      <c r="G5" s="161"/>
      <c r="I5" s="7" t="s">
        <v>7</v>
      </c>
      <c r="J5" s="7" t="s">
        <v>9</v>
      </c>
      <c r="K5" s="7" t="s">
        <v>10</v>
      </c>
      <c r="L5" s="7" t="s">
        <v>3</v>
      </c>
      <c r="M5" s="7" t="s">
        <v>4</v>
      </c>
      <c r="N5" s="64" t="s">
        <v>6</v>
      </c>
    </row>
    <row r="6" spans="1:14" x14ac:dyDescent="0.35">
      <c r="A6" s="158"/>
      <c r="B6" s="159"/>
      <c r="C6" s="162" t="s">
        <v>21</v>
      </c>
      <c r="D6" s="162" t="s">
        <v>22</v>
      </c>
      <c r="E6" s="162" t="s">
        <v>23</v>
      </c>
      <c r="F6" s="162" t="s">
        <v>24</v>
      </c>
      <c r="G6" s="164" t="s">
        <v>6</v>
      </c>
      <c r="I6" s="21">
        <v>1</v>
      </c>
      <c r="J6" s="21" t="s">
        <v>680</v>
      </c>
      <c r="K6" s="21">
        <v>6</v>
      </c>
      <c r="L6" s="21">
        <v>190</v>
      </c>
      <c r="M6" s="21">
        <v>80</v>
      </c>
      <c r="N6" s="22">
        <f>M6/L6*100%</f>
        <v>0.42105263157894735</v>
      </c>
    </row>
    <row r="7" spans="1:14" x14ac:dyDescent="0.35">
      <c r="A7" s="168"/>
      <c r="B7" s="169"/>
      <c r="C7" s="170"/>
      <c r="D7" s="170"/>
      <c r="E7" s="170"/>
      <c r="F7" s="170"/>
      <c r="G7" s="171"/>
      <c r="I7" s="21">
        <v>2</v>
      </c>
      <c r="J7" s="21" t="s">
        <v>681</v>
      </c>
      <c r="K7" s="21">
        <v>6</v>
      </c>
      <c r="L7" s="21">
        <v>190</v>
      </c>
      <c r="M7" s="21">
        <v>73</v>
      </c>
      <c r="N7" s="22">
        <f t="shared" ref="N7" si="0">M7/L7*100%</f>
        <v>0.38421052631578945</v>
      </c>
    </row>
    <row r="8" spans="1:14" x14ac:dyDescent="0.35">
      <c r="A8" s="31">
        <v>1</v>
      </c>
      <c r="B8" s="135" t="s">
        <v>666</v>
      </c>
      <c r="C8" s="133" t="s">
        <v>28</v>
      </c>
      <c r="D8" s="133">
        <v>35</v>
      </c>
      <c r="E8" s="134">
        <v>1</v>
      </c>
      <c r="F8" s="31">
        <f>E8-D8</f>
        <v>-34</v>
      </c>
      <c r="G8" s="35">
        <f>E8/D8*100%</f>
        <v>2.8571428571428571E-2</v>
      </c>
    </row>
    <row r="9" spans="1:14" x14ac:dyDescent="0.35">
      <c r="A9" s="31">
        <v>2</v>
      </c>
      <c r="B9" s="137" t="s">
        <v>667</v>
      </c>
      <c r="C9" s="136" t="s">
        <v>30</v>
      </c>
      <c r="D9" s="136">
        <v>25</v>
      </c>
      <c r="E9" s="134">
        <v>40</v>
      </c>
      <c r="F9" s="31">
        <f t="shared" ref="F9:F22" si="1">E9-D9</f>
        <v>15</v>
      </c>
      <c r="G9" s="35">
        <f t="shared" ref="G9:G22" si="2">E9/D9*100%</f>
        <v>1.6</v>
      </c>
    </row>
    <row r="10" spans="1:14" x14ac:dyDescent="0.35">
      <c r="A10" s="31">
        <v>3</v>
      </c>
      <c r="B10" s="138" t="s">
        <v>668</v>
      </c>
      <c r="C10" s="136" t="s">
        <v>30</v>
      </c>
      <c r="D10" s="136">
        <v>25</v>
      </c>
      <c r="E10" s="134">
        <v>11</v>
      </c>
      <c r="F10" s="31">
        <f t="shared" si="1"/>
        <v>-14</v>
      </c>
      <c r="G10" s="35">
        <f t="shared" si="2"/>
        <v>0.44</v>
      </c>
    </row>
    <row r="11" spans="1:14" x14ac:dyDescent="0.35">
      <c r="A11" s="31">
        <v>4</v>
      </c>
      <c r="B11" s="135" t="s">
        <v>669</v>
      </c>
      <c r="C11" s="133" t="s">
        <v>30</v>
      </c>
      <c r="D11" s="133">
        <v>25</v>
      </c>
      <c r="E11" s="134">
        <v>6</v>
      </c>
      <c r="F11" s="31">
        <f t="shared" si="1"/>
        <v>-19</v>
      </c>
      <c r="G11" s="35">
        <f t="shared" si="2"/>
        <v>0.24</v>
      </c>
    </row>
    <row r="12" spans="1:14" x14ac:dyDescent="0.35">
      <c r="A12" s="31">
        <v>5</v>
      </c>
      <c r="B12" s="137" t="s">
        <v>670</v>
      </c>
      <c r="C12" s="136" t="s">
        <v>30</v>
      </c>
      <c r="D12" s="136">
        <v>25</v>
      </c>
      <c r="E12" s="134">
        <v>13</v>
      </c>
      <c r="F12" s="31">
        <f t="shared" si="1"/>
        <v>-12</v>
      </c>
      <c r="G12" s="35">
        <f t="shared" si="2"/>
        <v>0.52</v>
      </c>
    </row>
    <row r="13" spans="1:14" x14ac:dyDescent="0.35">
      <c r="A13" s="31">
        <v>6</v>
      </c>
      <c r="B13" s="135" t="s">
        <v>671</v>
      </c>
      <c r="C13" s="133" t="s">
        <v>30</v>
      </c>
      <c r="D13" s="133">
        <v>25</v>
      </c>
      <c r="E13" s="134">
        <v>1</v>
      </c>
      <c r="F13" s="31">
        <f t="shared" si="1"/>
        <v>-24</v>
      </c>
      <c r="G13" s="35">
        <f t="shared" si="2"/>
        <v>0.04</v>
      </c>
    </row>
    <row r="14" spans="1:14" x14ac:dyDescent="0.35">
      <c r="A14" s="31">
        <v>7</v>
      </c>
      <c r="B14" s="138" t="s">
        <v>672</v>
      </c>
      <c r="C14" s="136" t="s">
        <v>30</v>
      </c>
      <c r="D14" s="136">
        <v>25</v>
      </c>
      <c r="E14" s="134">
        <v>8</v>
      </c>
      <c r="F14" s="31">
        <f t="shared" si="1"/>
        <v>-17</v>
      </c>
      <c r="G14" s="35">
        <f t="shared" si="2"/>
        <v>0.32</v>
      </c>
    </row>
    <row r="15" spans="1:14" x14ac:dyDescent="0.35">
      <c r="A15" s="31">
        <v>8</v>
      </c>
      <c r="B15" s="135" t="s">
        <v>673</v>
      </c>
      <c r="C15" s="133" t="s">
        <v>28</v>
      </c>
      <c r="D15" s="133">
        <v>35</v>
      </c>
      <c r="E15" s="134">
        <v>0</v>
      </c>
      <c r="F15" s="31">
        <f t="shared" si="1"/>
        <v>-35</v>
      </c>
      <c r="G15" s="35">
        <f t="shared" si="2"/>
        <v>0</v>
      </c>
    </row>
    <row r="16" spans="1:14" x14ac:dyDescent="0.35">
      <c r="A16" s="31">
        <v>9</v>
      </c>
      <c r="B16" s="137" t="s">
        <v>674</v>
      </c>
      <c r="C16" s="136" t="s">
        <v>30</v>
      </c>
      <c r="D16" s="136">
        <v>25</v>
      </c>
      <c r="E16" s="134">
        <v>12</v>
      </c>
      <c r="F16" s="31">
        <f t="shared" si="1"/>
        <v>-13</v>
      </c>
      <c r="G16" s="35">
        <f t="shared" si="2"/>
        <v>0.48</v>
      </c>
    </row>
    <row r="17" spans="1:7" x14ac:dyDescent="0.35">
      <c r="A17" s="31">
        <v>10</v>
      </c>
      <c r="B17" s="135" t="s">
        <v>675</v>
      </c>
      <c r="C17" s="136" t="s">
        <v>30</v>
      </c>
      <c r="D17" s="133">
        <v>25</v>
      </c>
      <c r="E17" s="134">
        <v>21</v>
      </c>
      <c r="F17" s="31">
        <f t="shared" si="1"/>
        <v>-4</v>
      </c>
      <c r="G17" s="35">
        <f t="shared" si="2"/>
        <v>0.84</v>
      </c>
    </row>
    <row r="18" spans="1:7" x14ac:dyDescent="0.35">
      <c r="A18" s="31">
        <v>11</v>
      </c>
      <c r="B18" s="139" t="s">
        <v>676</v>
      </c>
      <c r="C18" s="133" t="s">
        <v>30</v>
      </c>
      <c r="D18" s="133">
        <v>25</v>
      </c>
      <c r="E18" s="134">
        <v>9</v>
      </c>
      <c r="F18" s="31">
        <f t="shared" si="1"/>
        <v>-16</v>
      </c>
      <c r="G18" s="35">
        <f t="shared" si="2"/>
        <v>0.36</v>
      </c>
    </row>
    <row r="19" spans="1:7" x14ac:dyDescent="0.35">
      <c r="A19" s="31">
        <v>12</v>
      </c>
      <c r="B19" s="137" t="s">
        <v>677</v>
      </c>
      <c r="C19" s="136" t="s">
        <v>30</v>
      </c>
      <c r="D19" s="136">
        <v>25</v>
      </c>
      <c r="E19" s="134">
        <v>8</v>
      </c>
      <c r="F19" s="31">
        <f t="shared" si="1"/>
        <v>-17</v>
      </c>
      <c r="G19" s="35">
        <f t="shared" si="2"/>
        <v>0.32</v>
      </c>
    </row>
    <row r="20" spans="1:7" x14ac:dyDescent="0.35">
      <c r="A20" s="31">
        <v>13</v>
      </c>
      <c r="B20" s="135" t="s">
        <v>678</v>
      </c>
      <c r="C20" s="133" t="s">
        <v>30</v>
      </c>
      <c r="D20" s="133">
        <v>25</v>
      </c>
      <c r="E20" s="134">
        <v>15</v>
      </c>
      <c r="F20" s="31">
        <f t="shared" si="1"/>
        <v>-10</v>
      </c>
      <c r="G20" s="35">
        <f t="shared" si="2"/>
        <v>0.6</v>
      </c>
    </row>
    <row r="21" spans="1:7" x14ac:dyDescent="0.35">
      <c r="A21" s="31">
        <v>14</v>
      </c>
      <c r="B21" s="135" t="s">
        <v>679</v>
      </c>
      <c r="C21" s="136" t="s">
        <v>30</v>
      </c>
      <c r="D21" s="133">
        <v>25</v>
      </c>
      <c r="E21" s="134">
        <v>8</v>
      </c>
      <c r="F21" s="31">
        <f t="shared" si="1"/>
        <v>-17</v>
      </c>
      <c r="G21" s="35">
        <f t="shared" si="2"/>
        <v>0.32</v>
      </c>
    </row>
    <row r="22" spans="1:7" x14ac:dyDescent="0.35">
      <c r="A22" s="31"/>
      <c r="B22" s="31" t="s">
        <v>34</v>
      </c>
      <c r="C22" s="31"/>
      <c r="D22" s="31">
        <v>380</v>
      </c>
      <c r="E22" s="31">
        <f>SUM(E8:E21)</f>
        <v>153</v>
      </c>
      <c r="F22" s="31">
        <f t="shared" si="1"/>
        <v>-227</v>
      </c>
      <c r="G22" s="35">
        <f t="shared" si="2"/>
        <v>0.4026315789473684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7716-E826-4B3B-B2C1-4B85BBA08C94}">
  <dimension ref="A1:N35"/>
  <sheetViews>
    <sheetView workbookViewId="0">
      <selection activeCell="C4" sqref="C4:G4"/>
    </sheetView>
  </sheetViews>
  <sheetFormatPr defaultRowHeight="14.5" x14ac:dyDescent="0.35"/>
  <cols>
    <col min="1" max="1" width="5.81640625" customWidth="1"/>
    <col min="2" max="2" width="30.7265625" customWidth="1"/>
    <col min="7" max="7" width="8.7265625" style="6"/>
    <col min="9" max="9" width="3.7265625" customWidth="1"/>
    <col min="10" max="11" width="15.36328125" customWidth="1"/>
  </cols>
  <sheetData>
    <row r="1" spans="1:14" x14ac:dyDescent="0.35">
      <c r="B1" s="5" t="s">
        <v>16</v>
      </c>
    </row>
    <row r="2" spans="1:14" x14ac:dyDescent="0.35">
      <c r="B2" s="5" t="s">
        <v>17</v>
      </c>
    </row>
    <row r="3" spans="1:14" x14ac:dyDescent="0.35">
      <c r="B3" s="5" t="s">
        <v>292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7" t="s">
        <v>9</v>
      </c>
      <c r="K4" s="7" t="s">
        <v>10</v>
      </c>
      <c r="L4" s="7" t="s">
        <v>3</v>
      </c>
      <c r="M4" s="7" t="s">
        <v>4</v>
      </c>
      <c r="N4" s="64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322</v>
      </c>
      <c r="K5" s="21">
        <v>6</v>
      </c>
      <c r="L5" s="21">
        <v>190</v>
      </c>
      <c r="M5" s="21">
        <v>88</v>
      </c>
      <c r="N5" s="22">
        <f>M5/L5*100%</f>
        <v>0.4631578947368421</v>
      </c>
    </row>
    <row r="6" spans="1:14" x14ac:dyDescent="0.35">
      <c r="A6" s="158"/>
      <c r="B6" s="159"/>
      <c r="C6" s="163"/>
      <c r="D6" s="163"/>
      <c r="E6" s="163"/>
      <c r="F6" s="163"/>
      <c r="G6" s="165"/>
      <c r="I6" s="21">
        <v>2</v>
      </c>
      <c r="J6" s="21" t="s">
        <v>323</v>
      </c>
      <c r="K6" s="21">
        <v>7</v>
      </c>
      <c r="L6" s="21">
        <v>190</v>
      </c>
      <c r="M6" s="21">
        <v>96</v>
      </c>
      <c r="N6" s="22">
        <f t="shared" ref="N6:N8" si="0">M6/L6*100%</f>
        <v>0.50526315789473686</v>
      </c>
    </row>
    <row r="7" spans="1:14" x14ac:dyDescent="0.35">
      <c r="A7" s="31">
        <v>1</v>
      </c>
      <c r="B7" s="31" t="s">
        <v>293</v>
      </c>
      <c r="C7" s="66" t="s">
        <v>294</v>
      </c>
      <c r="D7" s="66">
        <v>35</v>
      </c>
      <c r="E7" s="66">
        <v>4</v>
      </c>
      <c r="F7" s="31">
        <f>E7-D7</f>
        <v>-31</v>
      </c>
      <c r="G7" s="35">
        <f>E7/D7*100%</f>
        <v>0.11428571428571428</v>
      </c>
      <c r="I7" s="21">
        <v>3</v>
      </c>
      <c r="J7" s="21" t="s">
        <v>324</v>
      </c>
      <c r="K7" s="21">
        <v>6</v>
      </c>
      <c r="L7" s="21">
        <v>190</v>
      </c>
      <c r="M7" s="21">
        <v>85</v>
      </c>
      <c r="N7" s="22">
        <f t="shared" si="0"/>
        <v>0.44736842105263158</v>
      </c>
    </row>
    <row r="8" spans="1:14" x14ac:dyDescent="0.35">
      <c r="A8" s="31">
        <v>2</v>
      </c>
      <c r="B8" s="31" t="s">
        <v>295</v>
      </c>
      <c r="C8" s="66" t="s">
        <v>30</v>
      </c>
      <c r="D8" s="66">
        <v>25</v>
      </c>
      <c r="E8" s="66">
        <v>33</v>
      </c>
      <c r="F8" s="31">
        <f t="shared" ref="F8:F35" si="1">E8-D8</f>
        <v>8</v>
      </c>
      <c r="G8" s="35">
        <f t="shared" ref="G8:G35" si="2">E8/D8*100%</f>
        <v>1.32</v>
      </c>
      <c r="I8" s="21">
        <v>4</v>
      </c>
      <c r="J8" s="21" t="s">
        <v>326</v>
      </c>
      <c r="K8" s="21">
        <v>5</v>
      </c>
      <c r="L8" s="21">
        <v>150</v>
      </c>
      <c r="M8" s="21">
        <v>81</v>
      </c>
      <c r="N8" s="22">
        <f t="shared" si="0"/>
        <v>0.54</v>
      </c>
    </row>
    <row r="9" spans="1:14" x14ac:dyDescent="0.35">
      <c r="A9" s="31">
        <v>3</v>
      </c>
      <c r="B9" s="31" t="s">
        <v>296</v>
      </c>
      <c r="C9" s="66" t="s">
        <v>30</v>
      </c>
      <c r="D9" s="66">
        <v>25</v>
      </c>
      <c r="E9" s="66">
        <v>25</v>
      </c>
      <c r="F9" s="31">
        <f t="shared" si="1"/>
        <v>0</v>
      </c>
      <c r="G9" s="35">
        <f t="shared" si="2"/>
        <v>1</v>
      </c>
    </row>
    <row r="10" spans="1:14" x14ac:dyDescent="0.35">
      <c r="A10" s="31">
        <v>4</v>
      </c>
      <c r="B10" s="31" t="s">
        <v>297</v>
      </c>
      <c r="C10" s="66" t="s">
        <v>30</v>
      </c>
      <c r="D10" s="66">
        <v>25</v>
      </c>
      <c r="E10" s="66">
        <v>3</v>
      </c>
      <c r="F10" s="31">
        <f t="shared" si="1"/>
        <v>-22</v>
      </c>
      <c r="G10" s="35">
        <f t="shared" si="2"/>
        <v>0.12</v>
      </c>
    </row>
    <row r="11" spans="1:14" x14ac:dyDescent="0.35">
      <c r="A11" s="31">
        <v>5</v>
      </c>
      <c r="B11" s="31" t="s">
        <v>298</v>
      </c>
      <c r="C11" s="66" t="s">
        <v>30</v>
      </c>
      <c r="D11" s="66">
        <v>25</v>
      </c>
      <c r="E11" s="66">
        <v>0</v>
      </c>
      <c r="F11" s="31">
        <f t="shared" si="1"/>
        <v>-25</v>
      </c>
      <c r="G11" s="35">
        <f t="shared" si="2"/>
        <v>0</v>
      </c>
    </row>
    <row r="12" spans="1:14" x14ac:dyDescent="0.35">
      <c r="A12" s="31">
        <v>6</v>
      </c>
      <c r="B12" s="31" t="s">
        <v>299</v>
      </c>
      <c r="C12" s="66" t="s">
        <v>30</v>
      </c>
      <c r="D12" s="66">
        <v>25</v>
      </c>
      <c r="E12" s="66">
        <v>13</v>
      </c>
      <c r="F12" s="31">
        <f t="shared" si="1"/>
        <v>-12</v>
      </c>
      <c r="G12" s="35">
        <f t="shared" si="2"/>
        <v>0.52</v>
      </c>
    </row>
    <row r="13" spans="1:14" x14ac:dyDescent="0.35">
      <c r="A13" s="31">
        <v>7</v>
      </c>
      <c r="B13" s="31" t="s">
        <v>300</v>
      </c>
      <c r="C13" s="66" t="s">
        <v>30</v>
      </c>
      <c r="D13" s="66">
        <v>25</v>
      </c>
      <c r="E13" s="66">
        <v>10</v>
      </c>
      <c r="F13" s="31">
        <f t="shared" si="1"/>
        <v>-15</v>
      </c>
      <c r="G13" s="35">
        <f t="shared" si="2"/>
        <v>0.4</v>
      </c>
    </row>
    <row r="14" spans="1:14" x14ac:dyDescent="0.35">
      <c r="A14" s="31">
        <v>8</v>
      </c>
      <c r="B14" s="45" t="s">
        <v>301</v>
      </c>
      <c r="C14" s="46" t="s">
        <v>28</v>
      </c>
      <c r="D14" s="46">
        <v>35</v>
      </c>
      <c r="E14" s="46">
        <v>2</v>
      </c>
      <c r="F14" s="31">
        <f t="shared" si="1"/>
        <v>-33</v>
      </c>
      <c r="G14" s="35">
        <f t="shared" si="2"/>
        <v>5.7142857142857141E-2</v>
      </c>
    </row>
    <row r="15" spans="1:14" x14ac:dyDescent="0.35">
      <c r="A15" s="31">
        <v>9</v>
      </c>
      <c r="B15" s="45" t="s">
        <v>302</v>
      </c>
      <c r="C15" s="46" t="s">
        <v>30</v>
      </c>
      <c r="D15" s="46">
        <v>25</v>
      </c>
      <c r="E15" s="46">
        <v>4</v>
      </c>
      <c r="F15" s="31">
        <f t="shared" si="1"/>
        <v>-21</v>
      </c>
      <c r="G15" s="35">
        <f t="shared" si="2"/>
        <v>0.16</v>
      </c>
    </row>
    <row r="16" spans="1:14" x14ac:dyDescent="0.35">
      <c r="A16" s="31">
        <v>10</v>
      </c>
      <c r="B16" s="45" t="s">
        <v>303</v>
      </c>
      <c r="C16" s="46" t="s">
        <v>30</v>
      </c>
      <c r="D16" s="46">
        <v>25</v>
      </c>
      <c r="E16" s="46">
        <v>18</v>
      </c>
      <c r="F16" s="31">
        <f t="shared" si="1"/>
        <v>-7</v>
      </c>
      <c r="G16" s="35">
        <f t="shared" si="2"/>
        <v>0.72</v>
      </c>
    </row>
    <row r="17" spans="1:7" x14ac:dyDescent="0.35">
      <c r="A17" s="31">
        <v>11</v>
      </c>
      <c r="B17" s="45" t="s">
        <v>304</v>
      </c>
      <c r="C17" s="46" t="s">
        <v>30</v>
      </c>
      <c r="D17" s="46">
        <v>25</v>
      </c>
      <c r="E17" s="46">
        <v>25</v>
      </c>
      <c r="F17" s="31">
        <f t="shared" si="1"/>
        <v>0</v>
      </c>
      <c r="G17" s="35">
        <f t="shared" si="2"/>
        <v>1</v>
      </c>
    </row>
    <row r="18" spans="1:7" x14ac:dyDescent="0.35">
      <c r="A18" s="31">
        <v>12</v>
      </c>
      <c r="B18" s="45" t="s">
        <v>305</v>
      </c>
      <c r="C18" s="46" t="s">
        <v>30</v>
      </c>
      <c r="D18" s="46">
        <v>25</v>
      </c>
      <c r="E18" s="46">
        <v>23</v>
      </c>
      <c r="F18" s="31">
        <f t="shared" si="1"/>
        <v>-2</v>
      </c>
      <c r="G18" s="35">
        <f t="shared" si="2"/>
        <v>0.92</v>
      </c>
    </row>
    <row r="19" spans="1:7" x14ac:dyDescent="0.35">
      <c r="A19" s="31">
        <v>13</v>
      </c>
      <c r="B19" s="45" t="s">
        <v>306</v>
      </c>
      <c r="C19" s="46" t="s">
        <v>30</v>
      </c>
      <c r="D19" s="46">
        <v>25</v>
      </c>
      <c r="E19" s="46">
        <v>22</v>
      </c>
      <c r="F19" s="31">
        <f t="shared" si="1"/>
        <v>-3</v>
      </c>
      <c r="G19" s="35">
        <f t="shared" si="2"/>
        <v>0.88</v>
      </c>
    </row>
    <row r="20" spans="1:7" x14ac:dyDescent="0.35">
      <c r="A20" s="31">
        <v>14</v>
      </c>
      <c r="B20" s="45" t="s">
        <v>307</v>
      </c>
      <c r="C20" s="46" t="s">
        <v>30</v>
      </c>
      <c r="D20" s="46">
        <v>25</v>
      </c>
      <c r="E20" s="46">
        <v>1</v>
      </c>
      <c r="F20" s="31">
        <f t="shared" si="1"/>
        <v>-24</v>
      </c>
      <c r="G20" s="35">
        <f t="shared" si="2"/>
        <v>0.04</v>
      </c>
    </row>
    <row r="21" spans="1:7" x14ac:dyDescent="0.35">
      <c r="A21" s="31">
        <v>15</v>
      </c>
      <c r="B21" s="45" t="s">
        <v>308</v>
      </c>
      <c r="C21" s="46" t="s">
        <v>30</v>
      </c>
      <c r="D21" s="46">
        <v>25</v>
      </c>
      <c r="E21" s="46">
        <v>1</v>
      </c>
      <c r="F21" s="31">
        <f t="shared" si="1"/>
        <v>-24</v>
      </c>
      <c r="G21" s="35">
        <f t="shared" si="2"/>
        <v>0.04</v>
      </c>
    </row>
    <row r="22" spans="1:7" x14ac:dyDescent="0.35">
      <c r="A22" s="31">
        <v>16</v>
      </c>
      <c r="B22" s="45" t="s">
        <v>309</v>
      </c>
      <c r="C22" s="46" t="s">
        <v>28</v>
      </c>
      <c r="D22" s="46">
        <v>35</v>
      </c>
      <c r="E22" s="46">
        <v>6</v>
      </c>
      <c r="F22" s="31">
        <f t="shared" si="1"/>
        <v>-29</v>
      </c>
      <c r="G22" s="35">
        <f t="shared" si="2"/>
        <v>0.17142857142857143</v>
      </c>
    </row>
    <row r="23" spans="1:7" x14ac:dyDescent="0.35">
      <c r="A23" s="31">
        <v>17</v>
      </c>
      <c r="B23" s="45" t="s">
        <v>310</v>
      </c>
      <c r="C23" s="46" t="s">
        <v>30</v>
      </c>
      <c r="D23" s="46">
        <v>25</v>
      </c>
      <c r="E23" s="46">
        <v>16</v>
      </c>
      <c r="F23" s="31">
        <f t="shared" si="1"/>
        <v>-9</v>
      </c>
      <c r="G23" s="35">
        <f t="shared" si="2"/>
        <v>0.64</v>
      </c>
    </row>
    <row r="24" spans="1:7" x14ac:dyDescent="0.35">
      <c r="A24" s="31">
        <v>18</v>
      </c>
      <c r="B24" s="45" t="s">
        <v>311</v>
      </c>
      <c r="C24" s="46" t="s">
        <v>30</v>
      </c>
      <c r="D24" s="46">
        <v>25</v>
      </c>
      <c r="E24" s="46">
        <v>19</v>
      </c>
      <c r="F24" s="31">
        <f t="shared" si="1"/>
        <v>-6</v>
      </c>
      <c r="G24" s="35">
        <f t="shared" si="2"/>
        <v>0.76</v>
      </c>
    </row>
    <row r="25" spans="1:7" x14ac:dyDescent="0.35">
      <c r="A25" s="31">
        <v>19</v>
      </c>
      <c r="B25" s="45" t="s">
        <v>312</v>
      </c>
      <c r="C25" s="46" t="s">
        <v>30</v>
      </c>
      <c r="D25" s="46">
        <v>25</v>
      </c>
      <c r="E25" s="46">
        <v>16</v>
      </c>
      <c r="F25" s="31">
        <f t="shared" si="1"/>
        <v>-9</v>
      </c>
      <c r="G25" s="35">
        <f t="shared" si="2"/>
        <v>0.64</v>
      </c>
    </row>
    <row r="26" spans="1:7" x14ac:dyDescent="0.35">
      <c r="A26" s="31">
        <v>20</v>
      </c>
      <c r="B26" s="45" t="s">
        <v>313</v>
      </c>
      <c r="C26" s="46" t="s">
        <v>30</v>
      </c>
      <c r="D26" s="46">
        <v>25</v>
      </c>
      <c r="E26" s="46">
        <v>10</v>
      </c>
      <c r="F26" s="31">
        <f t="shared" si="1"/>
        <v>-15</v>
      </c>
      <c r="G26" s="35">
        <f t="shared" si="2"/>
        <v>0.4</v>
      </c>
    </row>
    <row r="27" spans="1:7" x14ac:dyDescent="0.35">
      <c r="A27" s="31">
        <v>21</v>
      </c>
      <c r="B27" s="45" t="s">
        <v>314</v>
      </c>
      <c r="C27" s="46" t="s">
        <v>30</v>
      </c>
      <c r="D27" s="46">
        <v>25</v>
      </c>
      <c r="E27" s="46">
        <v>15</v>
      </c>
      <c r="F27" s="31">
        <f t="shared" si="1"/>
        <v>-10</v>
      </c>
      <c r="G27" s="35">
        <f t="shared" si="2"/>
        <v>0.6</v>
      </c>
    </row>
    <row r="28" spans="1:7" x14ac:dyDescent="0.35">
      <c r="A28" s="31">
        <v>22</v>
      </c>
      <c r="B28" s="45" t="s">
        <v>315</v>
      </c>
      <c r="C28" s="46" t="s">
        <v>30</v>
      </c>
      <c r="D28" s="46">
        <v>25</v>
      </c>
      <c r="E28" s="46">
        <v>3</v>
      </c>
      <c r="F28" s="31">
        <f t="shared" si="1"/>
        <v>-22</v>
      </c>
      <c r="G28" s="35">
        <f t="shared" si="2"/>
        <v>0.12</v>
      </c>
    </row>
    <row r="29" spans="1:7" x14ac:dyDescent="0.35">
      <c r="A29" s="31">
        <v>23</v>
      </c>
      <c r="B29" s="45" t="s">
        <v>316</v>
      </c>
      <c r="C29" s="46" t="s">
        <v>28</v>
      </c>
      <c r="D29" s="46">
        <v>35</v>
      </c>
      <c r="E29" s="46">
        <v>10</v>
      </c>
      <c r="F29" s="31">
        <f t="shared" si="1"/>
        <v>-25</v>
      </c>
      <c r="G29" s="35">
        <f t="shared" si="2"/>
        <v>0.2857142857142857</v>
      </c>
    </row>
    <row r="30" spans="1:7" x14ac:dyDescent="0.35">
      <c r="A30" s="31">
        <v>24</v>
      </c>
      <c r="B30" s="45" t="s">
        <v>317</v>
      </c>
      <c r="C30" s="46" t="s">
        <v>30</v>
      </c>
      <c r="D30" s="46">
        <v>25</v>
      </c>
      <c r="E30" s="46">
        <v>5</v>
      </c>
      <c r="F30" s="31">
        <f t="shared" si="1"/>
        <v>-20</v>
      </c>
      <c r="G30" s="35">
        <f t="shared" si="2"/>
        <v>0.2</v>
      </c>
    </row>
    <row r="31" spans="1:7" x14ac:dyDescent="0.35">
      <c r="A31" s="31">
        <v>25</v>
      </c>
      <c r="B31" s="45" t="s">
        <v>318</v>
      </c>
      <c r="C31" s="46" t="s">
        <v>30</v>
      </c>
      <c r="D31" s="46">
        <v>25</v>
      </c>
      <c r="E31" s="46">
        <v>21</v>
      </c>
      <c r="F31" s="31">
        <f t="shared" si="1"/>
        <v>-4</v>
      </c>
      <c r="G31" s="35">
        <f t="shared" si="2"/>
        <v>0.84</v>
      </c>
    </row>
    <row r="32" spans="1:7" x14ac:dyDescent="0.35">
      <c r="A32" s="31">
        <v>26</v>
      </c>
      <c r="B32" s="45" t="s">
        <v>319</v>
      </c>
      <c r="C32" s="46" t="s">
        <v>30</v>
      </c>
      <c r="D32" s="46">
        <v>25</v>
      </c>
      <c r="E32" s="46">
        <v>22</v>
      </c>
      <c r="F32" s="31">
        <f t="shared" si="1"/>
        <v>-3</v>
      </c>
      <c r="G32" s="35">
        <f t="shared" si="2"/>
        <v>0.88</v>
      </c>
    </row>
    <row r="33" spans="1:7" x14ac:dyDescent="0.35">
      <c r="A33" s="31">
        <v>27</v>
      </c>
      <c r="B33" s="45" t="s">
        <v>320</v>
      </c>
      <c r="C33" s="46" t="s">
        <v>30</v>
      </c>
      <c r="D33" s="46">
        <v>25</v>
      </c>
      <c r="E33" s="46">
        <v>8</v>
      </c>
      <c r="F33" s="31">
        <f t="shared" si="1"/>
        <v>-17</v>
      </c>
      <c r="G33" s="35">
        <f t="shared" si="2"/>
        <v>0.32</v>
      </c>
    </row>
    <row r="34" spans="1:7" x14ac:dyDescent="0.35">
      <c r="A34" s="31">
        <v>28</v>
      </c>
      <c r="B34" s="45" t="s">
        <v>321</v>
      </c>
      <c r="C34" s="46" t="s">
        <v>30</v>
      </c>
      <c r="D34" s="46">
        <v>25</v>
      </c>
      <c r="E34" s="46">
        <v>15</v>
      </c>
      <c r="F34" s="31">
        <f t="shared" si="1"/>
        <v>-10</v>
      </c>
      <c r="G34" s="35">
        <f t="shared" si="2"/>
        <v>0.6</v>
      </c>
    </row>
    <row r="35" spans="1:7" x14ac:dyDescent="0.35">
      <c r="A35" s="31"/>
      <c r="B35" s="31" t="s">
        <v>327</v>
      </c>
      <c r="C35" s="31"/>
      <c r="D35" s="31">
        <v>720</v>
      </c>
      <c r="E35" s="31">
        <f>SUM(E7:E34)</f>
        <v>350</v>
      </c>
      <c r="F35" s="31">
        <f t="shared" si="1"/>
        <v>-370</v>
      </c>
      <c r="G35" s="35">
        <f t="shared" si="2"/>
        <v>0.4861111111111111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B2B6-B7F2-408A-8756-1E8BC7BA2286}">
  <dimension ref="A1:N28"/>
  <sheetViews>
    <sheetView topLeftCell="B1" workbookViewId="0">
      <selection activeCell="C4" sqref="C4:G4"/>
    </sheetView>
  </sheetViews>
  <sheetFormatPr defaultRowHeight="14.5" x14ac:dyDescent="0.35"/>
  <cols>
    <col min="1" max="1" width="3.90625" customWidth="1"/>
    <col min="2" max="2" width="33.6328125" customWidth="1"/>
    <col min="7" max="7" width="8.7265625" style="6"/>
    <col min="9" max="9" width="4.54296875" customWidth="1"/>
    <col min="10" max="10" width="15" customWidth="1"/>
    <col min="11" max="11" width="7.7265625" customWidth="1"/>
  </cols>
  <sheetData>
    <row r="1" spans="1:14" x14ac:dyDescent="0.35">
      <c r="A1" s="4"/>
      <c r="B1" s="5" t="s">
        <v>16</v>
      </c>
    </row>
    <row r="2" spans="1:14" x14ac:dyDescent="0.35">
      <c r="A2" s="4"/>
      <c r="B2" s="5" t="s">
        <v>17</v>
      </c>
    </row>
    <row r="3" spans="1:14" x14ac:dyDescent="0.35">
      <c r="A3" s="4"/>
      <c r="B3" s="5" t="s">
        <v>292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7" t="s">
        <v>9</v>
      </c>
      <c r="K4" s="7" t="s">
        <v>10</v>
      </c>
      <c r="L4" s="7" t="s">
        <v>3</v>
      </c>
      <c r="M4" s="7" t="s">
        <v>4</v>
      </c>
      <c r="N4" s="64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325</v>
      </c>
      <c r="K5" s="21">
        <v>6</v>
      </c>
      <c r="L5" s="21">
        <v>190</v>
      </c>
      <c r="M5" s="21">
        <v>50</v>
      </c>
      <c r="N5" s="22">
        <f>M5/L5*100%</f>
        <v>0.26315789473684209</v>
      </c>
    </row>
    <row r="6" spans="1:14" x14ac:dyDescent="0.35">
      <c r="A6" s="168"/>
      <c r="B6" s="169"/>
      <c r="C6" s="170"/>
      <c r="D6" s="170"/>
      <c r="E6" s="170"/>
      <c r="F6" s="170"/>
      <c r="G6" s="171"/>
      <c r="I6" s="21">
        <v>2</v>
      </c>
      <c r="J6" s="21" t="s">
        <v>349</v>
      </c>
      <c r="K6" s="21">
        <v>5</v>
      </c>
      <c r="L6" s="21">
        <v>150</v>
      </c>
      <c r="M6" s="21">
        <v>119</v>
      </c>
      <c r="N6" s="22">
        <f t="shared" ref="N6:N7" si="0">M6/L6*100%</f>
        <v>0.79333333333333333</v>
      </c>
    </row>
    <row r="7" spans="1:14" x14ac:dyDescent="0.35">
      <c r="A7" s="31">
        <v>1</v>
      </c>
      <c r="B7" s="45" t="s">
        <v>328</v>
      </c>
      <c r="C7" s="46" t="s">
        <v>28</v>
      </c>
      <c r="D7" s="46">
        <v>35</v>
      </c>
      <c r="E7" s="46">
        <v>7</v>
      </c>
      <c r="F7" s="31">
        <f>E7-D7</f>
        <v>-28</v>
      </c>
      <c r="G7" s="35">
        <f>E7/D7*100%</f>
        <v>0.2</v>
      </c>
      <c r="I7" s="21"/>
      <c r="J7" s="21" t="s">
        <v>350</v>
      </c>
      <c r="K7" s="21">
        <v>7</v>
      </c>
      <c r="L7" s="21">
        <v>190</v>
      </c>
      <c r="M7" s="21">
        <v>55</v>
      </c>
      <c r="N7" s="22">
        <f t="shared" si="0"/>
        <v>0.28947368421052633</v>
      </c>
    </row>
    <row r="8" spans="1:14" x14ac:dyDescent="0.35">
      <c r="A8" s="31">
        <v>2</v>
      </c>
      <c r="B8" s="45" t="s">
        <v>329</v>
      </c>
      <c r="C8" s="46" t="s">
        <v>30</v>
      </c>
      <c r="D8" s="46">
        <v>25</v>
      </c>
      <c r="E8" s="46">
        <v>10</v>
      </c>
      <c r="F8" s="31">
        <f t="shared" ref="F8:F28" si="1">E8-D8</f>
        <v>-15</v>
      </c>
      <c r="G8" s="35">
        <f t="shared" ref="G8:G28" si="2">E8/D8*100%</f>
        <v>0.4</v>
      </c>
    </row>
    <row r="9" spans="1:14" x14ac:dyDescent="0.35">
      <c r="A9" s="31">
        <v>3</v>
      </c>
      <c r="B9" s="45" t="s">
        <v>330</v>
      </c>
      <c r="C9" s="46" t="s">
        <v>30</v>
      </c>
      <c r="D9" s="46">
        <v>25</v>
      </c>
      <c r="E9" s="46">
        <v>5</v>
      </c>
      <c r="F9" s="31">
        <f t="shared" si="1"/>
        <v>-20</v>
      </c>
      <c r="G9" s="35">
        <f t="shared" si="2"/>
        <v>0.2</v>
      </c>
    </row>
    <row r="10" spans="1:14" x14ac:dyDescent="0.35">
      <c r="A10" s="31">
        <v>4</v>
      </c>
      <c r="B10" s="45" t="s">
        <v>331</v>
      </c>
      <c r="C10" s="46" t="s">
        <v>30</v>
      </c>
      <c r="D10" s="46">
        <v>25</v>
      </c>
      <c r="E10" s="46">
        <v>8</v>
      </c>
      <c r="F10" s="31">
        <f t="shared" si="1"/>
        <v>-17</v>
      </c>
      <c r="G10" s="35">
        <f t="shared" si="2"/>
        <v>0.32</v>
      </c>
    </row>
    <row r="11" spans="1:14" x14ac:dyDescent="0.35">
      <c r="A11" s="31">
        <v>5</v>
      </c>
      <c r="B11" s="45" t="s">
        <v>332</v>
      </c>
      <c r="C11" s="46" t="s">
        <v>30</v>
      </c>
      <c r="D11" s="46">
        <v>25</v>
      </c>
      <c r="E11" s="46">
        <v>11</v>
      </c>
      <c r="F11" s="31">
        <f t="shared" si="1"/>
        <v>-14</v>
      </c>
      <c r="G11" s="35">
        <f t="shared" si="2"/>
        <v>0.44</v>
      </c>
    </row>
    <row r="12" spans="1:14" x14ac:dyDescent="0.35">
      <c r="A12" s="31">
        <v>6</v>
      </c>
      <c r="B12" s="45" t="s">
        <v>333</v>
      </c>
      <c r="C12" s="46" t="s">
        <v>30</v>
      </c>
      <c r="D12" s="46">
        <v>25</v>
      </c>
      <c r="E12" s="46">
        <v>5</v>
      </c>
      <c r="F12" s="31">
        <f t="shared" si="1"/>
        <v>-20</v>
      </c>
      <c r="G12" s="35">
        <f t="shared" si="2"/>
        <v>0.2</v>
      </c>
    </row>
    <row r="13" spans="1:14" x14ac:dyDescent="0.35">
      <c r="A13" s="31">
        <v>7</v>
      </c>
      <c r="B13" s="45" t="s">
        <v>334</v>
      </c>
      <c r="C13" s="46" t="s">
        <v>30</v>
      </c>
      <c r="D13" s="46">
        <v>25</v>
      </c>
      <c r="E13" s="46">
        <v>4</v>
      </c>
      <c r="F13" s="31">
        <f t="shared" si="1"/>
        <v>-21</v>
      </c>
      <c r="G13" s="35">
        <f t="shared" si="2"/>
        <v>0.16</v>
      </c>
    </row>
    <row r="14" spans="1:14" x14ac:dyDescent="0.35">
      <c r="A14" s="31">
        <v>8</v>
      </c>
      <c r="B14" s="45" t="s">
        <v>335</v>
      </c>
      <c r="C14" s="46" t="s">
        <v>28</v>
      </c>
      <c r="D14" s="46">
        <v>35</v>
      </c>
      <c r="E14" s="46">
        <v>5</v>
      </c>
      <c r="F14" s="31">
        <f t="shared" si="1"/>
        <v>-30</v>
      </c>
      <c r="G14" s="35">
        <f t="shared" si="2"/>
        <v>0.14285714285714285</v>
      </c>
    </row>
    <row r="15" spans="1:14" x14ac:dyDescent="0.35">
      <c r="A15" s="31">
        <v>9</v>
      </c>
      <c r="B15" s="45" t="s">
        <v>336</v>
      </c>
      <c r="C15" s="46" t="s">
        <v>30</v>
      </c>
      <c r="D15" s="46">
        <v>25</v>
      </c>
      <c r="E15" s="46">
        <v>23</v>
      </c>
      <c r="F15" s="31">
        <f t="shared" si="1"/>
        <v>-2</v>
      </c>
      <c r="G15" s="35">
        <f t="shared" si="2"/>
        <v>0.92</v>
      </c>
    </row>
    <row r="16" spans="1:14" x14ac:dyDescent="0.35">
      <c r="A16" s="31">
        <v>10</v>
      </c>
      <c r="B16" s="45" t="s">
        <v>337</v>
      </c>
      <c r="C16" s="46" t="s">
        <v>30</v>
      </c>
      <c r="D16" s="46">
        <v>25</v>
      </c>
      <c r="E16" s="46">
        <v>20</v>
      </c>
      <c r="F16" s="31">
        <f t="shared" si="1"/>
        <v>-5</v>
      </c>
      <c r="G16" s="35">
        <f t="shared" si="2"/>
        <v>0.8</v>
      </c>
    </row>
    <row r="17" spans="1:7" x14ac:dyDescent="0.35">
      <c r="A17" s="31">
        <v>11</v>
      </c>
      <c r="B17" s="45" t="s">
        <v>338</v>
      </c>
      <c r="C17" s="46" t="s">
        <v>30</v>
      </c>
      <c r="D17" s="46">
        <v>25</v>
      </c>
      <c r="E17" s="46">
        <v>20</v>
      </c>
      <c r="F17" s="31">
        <f t="shared" si="1"/>
        <v>-5</v>
      </c>
      <c r="G17" s="35">
        <f t="shared" si="2"/>
        <v>0.8</v>
      </c>
    </row>
    <row r="18" spans="1:7" x14ac:dyDescent="0.35">
      <c r="A18" s="31">
        <v>12</v>
      </c>
      <c r="B18" s="45" t="s">
        <v>339</v>
      </c>
      <c r="C18" s="46" t="s">
        <v>30</v>
      </c>
      <c r="D18" s="46">
        <v>25</v>
      </c>
      <c r="E18" s="46">
        <v>23</v>
      </c>
      <c r="F18" s="31">
        <f t="shared" si="1"/>
        <v>-2</v>
      </c>
      <c r="G18" s="35">
        <f t="shared" si="2"/>
        <v>0.92</v>
      </c>
    </row>
    <row r="19" spans="1:7" x14ac:dyDescent="0.35">
      <c r="A19" s="31">
        <v>13</v>
      </c>
      <c r="B19" s="45" t="s">
        <v>340</v>
      </c>
      <c r="C19" s="46" t="s">
        <v>30</v>
      </c>
      <c r="D19" s="46">
        <v>25</v>
      </c>
      <c r="E19" s="46">
        <v>28</v>
      </c>
      <c r="F19" s="31">
        <f t="shared" si="1"/>
        <v>3</v>
      </c>
      <c r="G19" s="35">
        <f t="shared" si="2"/>
        <v>1.1200000000000001</v>
      </c>
    </row>
    <row r="20" spans="1:7" x14ac:dyDescent="0.35">
      <c r="A20" s="31">
        <v>14</v>
      </c>
      <c r="B20" s="45" t="s">
        <v>341</v>
      </c>
      <c r="C20" s="46" t="s">
        <v>28</v>
      </c>
      <c r="D20" s="46">
        <v>35</v>
      </c>
      <c r="E20" s="46">
        <v>6</v>
      </c>
      <c r="F20" s="31">
        <f t="shared" si="1"/>
        <v>-29</v>
      </c>
      <c r="G20" s="35">
        <f t="shared" si="2"/>
        <v>0.17142857142857143</v>
      </c>
    </row>
    <row r="21" spans="1:7" x14ac:dyDescent="0.35">
      <c r="A21" s="31">
        <v>15</v>
      </c>
      <c r="B21" s="45" t="s">
        <v>342</v>
      </c>
      <c r="C21" s="46" t="s">
        <v>30</v>
      </c>
      <c r="D21" s="46">
        <v>25</v>
      </c>
      <c r="E21" s="46">
        <v>3</v>
      </c>
      <c r="F21" s="31">
        <f t="shared" si="1"/>
        <v>-22</v>
      </c>
      <c r="G21" s="35">
        <f t="shared" si="2"/>
        <v>0.12</v>
      </c>
    </row>
    <row r="22" spans="1:7" x14ac:dyDescent="0.35">
      <c r="A22" s="31">
        <v>16</v>
      </c>
      <c r="B22" s="45" t="s">
        <v>343</v>
      </c>
      <c r="C22" s="46" t="s">
        <v>30</v>
      </c>
      <c r="D22" s="46">
        <v>25</v>
      </c>
      <c r="E22" s="46">
        <v>23</v>
      </c>
      <c r="F22" s="31">
        <f t="shared" si="1"/>
        <v>-2</v>
      </c>
      <c r="G22" s="35">
        <f t="shared" si="2"/>
        <v>0.92</v>
      </c>
    </row>
    <row r="23" spans="1:7" x14ac:dyDescent="0.35">
      <c r="A23" s="31">
        <v>17</v>
      </c>
      <c r="B23" s="45" t="s">
        <v>344</v>
      </c>
      <c r="C23" s="46" t="s">
        <v>30</v>
      </c>
      <c r="D23" s="46">
        <v>25</v>
      </c>
      <c r="E23" s="46">
        <v>7</v>
      </c>
      <c r="F23" s="31">
        <f t="shared" si="1"/>
        <v>-18</v>
      </c>
      <c r="G23" s="35">
        <f t="shared" si="2"/>
        <v>0.28000000000000003</v>
      </c>
    </row>
    <row r="24" spans="1:7" x14ac:dyDescent="0.35">
      <c r="A24" s="31">
        <v>18</v>
      </c>
      <c r="B24" s="45" t="s">
        <v>345</v>
      </c>
      <c r="C24" s="46" t="s">
        <v>30</v>
      </c>
      <c r="D24" s="46">
        <v>25</v>
      </c>
      <c r="E24" s="46">
        <v>7</v>
      </c>
      <c r="F24" s="31">
        <f t="shared" si="1"/>
        <v>-18</v>
      </c>
      <c r="G24" s="35">
        <f t="shared" si="2"/>
        <v>0.28000000000000003</v>
      </c>
    </row>
    <row r="25" spans="1:7" x14ac:dyDescent="0.35">
      <c r="A25" s="31">
        <v>19</v>
      </c>
      <c r="B25" s="45" t="s">
        <v>346</v>
      </c>
      <c r="C25" s="46" t="s">
        <v>30</v>
      </c>
      <c r="D25" s="46">
        <v>25</v>
      </c>
      <c r="E25" s="46">
        <v>9</v>
      </c>
      <c r="F25" s="31">
        <f t="shared" si="1"/>
        <v>-16</v>
      </c>
      <c r="G25" s="35">
        <f t="shared" si="2"/>
        <v>0.36</v>
      </c>
    </row>
    <row r="26" spans="1:7" x14ac:dyDescent="0.35">
      <c r="A26" s="31">
        <v>20</v>
      </c>
      <c r="B26" s="45" t="s">
        <v>347</v>
      </c>
      <c r="C26" s="46" t="s">
        <v>30</v>
      </c>
      <c r="D26" s="46">
        <v>25</v>
      </c>
      <c r="E26" s="46">
        <v>0</v>
      </c>
      <c r="F26" s="31">
        <f t="shared" si="1"/>
        <v>-25</v>
      </c>
      <c r="G26" s="35">
        <f t="shared" si="2"/>
        <v>0</v>
      </c>
    </row>
    <row r="27" spans="1:7" x14ac:dyDescent="0.35">
      <c r="A27" s="31">
        <v>21</v>
      </c>
      <c r="B27" s="45" t="s">
        <v>348</v>
      </c>
      <c r="C27" s="46" t="s">
        <v>30</v>
      </c>
      <c r="D27" s="46">
        <v>25</v>
      </c>
      <c r="E27" s="46">
        <v>0</v>
      </c>
      <c r="F27" s="31">
        <f t="shared" si="1"/>
        <v>-25</v>
      </c>
      <c r="G27" s="35">
        <f t="shared" si="2"/>
        <v>0</v>
      </c>
    </row>
    <row r="28" spans="1:7" x14ac:dyDescent="0.35">
      <c r="A28" s="31"/>
      <c r="B28" s="31" t="s">
        <v>34</v>
      </c>
      <c r="C28" s="31"/>
      <c r="D28" s="31">
        <v>530</v>
      </c>
      <c r="E28" s="31">
        <f>SUM(E7:E27)</f>
        <v>224</v>
      </c>
      <c r="F28" s="31">
        <f t="shared" si="1"/>
        <v>-306</v>
      </c>
      <c r="G28" s="35">
        <f t="shared" si="2"/>
        <v>0.42264150943396228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94AD-B62C-45A1-973A-731714A1DA57}">
  <dimension ref="A1:G15"/>
  <sheetViews>
    <sheetView workbookViewId="0">
      <selection activeCell="C4" sqref="C4:G4"/>
    </sheetView>
  </sheetViews>
  <sheetFormatPr defaultRowHeight="14.5" x14ac:dyDescent="0.35"/>
  <cols>
    <col min="1" max="1" width="4.7265625" customWidth="1"/>
    <col min="2" max="2" width="33.08984375" customWidth="1"/>
    <col min="7" max="7" width="8.7265625" style="6"/>
  </cols>
  <sheetData>
    <row r="1" spans="1:7" x14ac:dyDescent="0.35">
      <c r="A1" s="4"/>
      <c r="B1" s="5" t="s">
        <v>16</v>
      </c>
    </row>
    <row r="2" spans="1:7" x14ac:dyDescent="0.35">
      <c r="A2" s="4"/>
      <c r="B2" s="5" t="s">
        <v>17</v>
      </c>
    </row>
    <row r="3" spans="1:7" x14ac:dyDescent="0.35">
      <c r="A3" s="4"/>
      <c r="B3" s="5" t="s">
        <v>292</v>
      </c>
    </row>
    <row r="4" spans="1:7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</row>
    <row r="5" spans="1:7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</row>
    <row r="6" spans="1:7" x14ac:dyDescent="0.35">
      <c r="A6" s="158"/>
      <c r="B6" s="159"/>
      <c r="C6" s="163"/>
      <c r="D6" s="163"/>
      <c r="E6" s="163"/>
      <c r="F6" s="163"/>
      <c r="G6" s="165"/>
    </row>
    <row r="7" spans="1:7" x14ac:dyDescent="0.35">
      <c r="A7" s="31">
        <v>1</v>
      </c>
      <c r="B7" s="31" t="s">
        <v>351</v>
      </c>
      <c r="C7" s="66" t="s">
        <v>28</v>
      </c>
      <c r="D7" s="66">
        <v>35</v>
      </c>
      <c r="E7" s="66">
        <v>0</v>
      </c>
      <c r="F7" s="31">
        <f>E7-D7</f>
        <v>-35</v>
      </c>
      <c r="G7" s="35">
        <f>E7/D7*100%</f>
        <v>0</v>
      </c>
    </row>
    <row r="8" spans="1:7" x14ac:dyDescent="0.35">
      <c r="A8" s="31">
        <v>2</v>
      </c>
      <c r="B8" s="31" t="s">
        <v>352</v>
      </c>
      <c r="C8" s="66" t="s">
        <v>30</v>
      </c>
      <c r="D8" s="66">
        <v>25</v>
      </c>
      <c r="E8" s="66">
        <v>27</v>
      </c>
      <c r="F8" s="31">
        <f t="shared" ref="F8:F15" si="0">E8-D8</f>
        <v>2</v>
      </c>
      <c r="G8" s="35">
        <f t="shared" ref="G8:G15" si="1">E8/D8*100%</f>
        <v>1.08</v>
      </c>
    </row>
    <row r="9" spans="1:7" x14ac:dyDescent="0.35">
      <c r="A9" s="31">
        <v>3</v>
      </c>
      <c r="B9" s="31" t="s">
        <v>353</v>
      </c>
      <c r="C9" s="66" t="s">
        <v>30</v>
      </c>
      <c r="D9" s="66">
        <v>25</v>
      </c>
      <c r="E9" s="66">
        <v>27</v>
      </c>
      <c r="F9" s="31">
        <f t="shared" si="0"/>
        <v>2</v>
      </c>
      <c r="G9" s="35">
        <f t="shared" si="1"/>
        <v>1.08</v>
      </c>
    </row>
    <row r="10" spans="1:7" x14ac:dyDescent="0.35">
      <c r="A10" s="31">
        <v>4</v>
      </c>
      <c r="B10" s="31" t="s">
        <v>354</v>
      </c>
      <c r="C10" s="66" t="s">
        <v>30</v>
      </c>
      <c r="D10" s="66">
        <v>25</v>
      </c>
      <c r="E10" s="66">
        <v>7</v>
      </c>
      <c r="F10" s="31">
        <f t="shared" si="0"/>
        <v>-18</v>
      </c>
      <c r="G10" s="35">
        <f t="shared" si="1"/>
        <v>0.28000000000000003</v>
      </c>
    </row>
    <row r="11" spans="1:7" x14ac:dyDescent="0.35">
      <c r="A11" s="31">
        <v>5</v>
      </c>
      <c r="B11" s="31" t="s">
        <v>355</v>
      </c>
      <c r="C11" s="66" t="s">
        <v>30</v>
      </c>
      <c r="D11" s="66">
        <v>25</v>
      </c>
      <c r="E11" s="66">
        <v>5</v>
      </c>
      <c r="F11" s="31">
        <f t="shared" si="0"/>
        <v>-20</v>
      </c>
      <c r="G11" s="35">
        <f t="shared" si="1"/>
        <v>0.2</v>
      </c>
    </row>
    <row r="12" spans="1:7" x14ac:dyDescent="0.35">
      <c r="A12" s="31">
        <v>6</v>
      </c>
      <c r="B12" s="31" t="s">
        <v>356</v>
      </c>
      <c r="C12" s="66" t="s">
        <v>30</v>
      </c>
      <c r="D12" s="66">
        <v>25</v>
      </c>
      <c r="E12" s="66">
        <v>2</v>
      </c>
      <c r="F12" s="31">
        <f t="shared" si="0"/>
        <v>-23</v>
      </c>
      <c r="G12" s="35">
        <f t="shared" si="1"/>
        <v>0.08</v>
      </c>
    </row>
    <row r="13" spans="1:7" x14ac:dyDescent="0.35">
      <c r="A13" s="31">
        <v>7</v>
      </c>
      <c r="B13" s="31" t="s">
        <v>357</v>
      </c>
      <c r="C13" s="66" t="s">
        <v>30</v>
      </c>
      <c r="D13" s="66">
        <v>25</v>
      </c>
      <c r="E13" s="66">
        <v>0</v>
      </c>
      <c r="F13" s="31">
        <f t="shared" si="0"/>
        <v>-25</v>
      </c>
      <c r="G13" s="35">
        <f t="shared" si="1"/>
        <v>0</v>
      </c>
    </row>
    <row r="14" spans="1:7" x14ac:dyDescent="0.35">
      <c r="A14" s="31">
        <v>8</v>
      </c>
      <c r="B14" s="31" t="s">
        <v>358</v>
      </c>
      <c r="C14" s="66" t="s">
        <v>30</v>
      </c>
      <c r="D14" s="66">
        <v>25</v>
      </c>
      <c r="E14" s="66">
        <v>1</v>
      </c>
      <c r="F14" s="31">
        <f t="shared" si="0"/>
        <v>-24</v>
      </c>
      <c r="G14" s="35">
        <f t="shared" si="1"/>
        <v>0.04</v>
      </c>
    </row>
    <row r="15" spans="1:7" x14ac:dyDescent="0.35">
      <c r="A15" s="31"/>
      <c r="B15" s="31" t="s">
        <v>34</v>
      </c>
      <c r="C15" s="31"/>
      <c r="D15" s="31">
        <v>190</v>
      </c>
      <c r="E15" s="31">
        <f>SUM(E7:E14)</f>
        <v>69</v>
      </c>
      <c r="F15" s="31">
        <f t="shared" si="0"/>
        <v>-121</v>
      </c>
      <c r="G15" s="35">
        <f t="shared" si="1"/>
        <v>0.36315789473684212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6CF8-7C1E-4734-9A74-E912B4302E03}">
  <dimension ref="A1:N30"/>
  <sheetViews>
    <sheetView workbookViewId="0">
      <selection activeCell="C4" sqref="C4:G4"/>
    </sheetView>
  </sheetViews>
  <sheetFormatPr defaultRowHeight="14.5" x14ac:dyDescent="0.35"/>
  <cols>
    <col min="1" max="1" width="3.36328125" customWidth="1"/>
    <col min="2" max="2" width="27.90625" customWidth="1"/>
    <col min="3" max="3" width="6.54296875" customWidth="1"/>
    <col min="4" max="4" width="6.453125" customWidth="1"/>
    <col min="5" max="5" width="5.90625" customWidth="1"/>
    <col min="6" max="6" width="7.1796875" customWidth="1"/>
    <col min="7" max="7" width="8.7265625" style="6"/>
    <col min="9" max="9" width="4.7265625" customWidth="1"/>
    <col min="10" max="11" width="13.453125" customWidth="1"/>
  </cols>
  <sheetData>
    <row r="1" spans="1:14" x14ac:dyDescent="0.35">
      <c r="B1" s="5" t="s">
        <v>16</v>
      </c>
    </row>
    <row r="2" spans="1:14" x14ac:dyDescent="0.35">
      <c r="B2" s="5" t="s">
        <v>83</v>
      </c>
    </row>
    <row r="3" spans="1:14" x14ac:dyDescent="0.35">
      <c r="B3" s="5" t="s">
        <v>751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775</v>
      </c>
      <c r="K5" s="21">
        <v>6</v>
      </c>
      <c r="L5" s="21">
        <v>190</v>
      </c>
      <c r="M5" s="21">
        <v>88</v>
      </c>
      <c r="N5" s="22">
        <f>M5/L5*100%</f>
        <v>0.4631578947368421</v>
      </c>
    </row>
    <row r="6" spans="1:14" x14ac:dyDescent="0.35">
      <c r="A6" s="158"/>
      <c r="B6" s="159"/>
      <c r="C6" s="163"/>
      <c r="D6" s="163"/>
      <c r="E6" s="163"/>
      <c r="F6" s="163"/>
      <c r="G6" s="165"/>
      <c r="I6" s="21">
        <v>2</v>
      </c>
      <c r="J6" s="21" t="s">
        <v>776</v>
      </c>
      <c r="K6" s="21">
        <v>7</v>
      </c>
      <c r="L6" s="21">
        <v>190</v>
      </c>
      <c r="M6" s="21">
        <v>120</v>
      </c>
      <c r="N6" s="22">
        <f t="shared" ref="N6:N7" si="0">M6/L6*100%</f>
        <v>0.63157894736842102</v>
      </c>
    </row>
    <row r="7" spans="1:14" x14ac:dyDescent="0.35">
      <c r="A7" s="31">
        <v>1</v>
      </c>
      <c r="B7" s="144" t="s">
        <v>752</v>
      </c>
      <c r="C7" s="145" t="s">
        <v>28</v>
      </c>
      <c r="D7" s="145">
        <v>35</v>
      </c>
      <c r="E7" s="145">
        <v>0</v>
      </c>
      <c r="F7" s="31">
        <f>E7-D7</f>
        <v>-35</v>
      </c>
      <c r="G7" s="35">
        <f>E7/D7*100%</f>
        <v>0</v>
      </c>
      <c r="I7" s="21">
        <v>3</v>
      </c>
      <c r="J7" s="21" t="s">
        <v>777</v>
      </c>
      <c r="K7" s="21">
        <v>7</v>
      </c>
      <c r="L7" s="21">
        <v>190</v>
      </c>
      <c r="M7" s="21">
        <v>154</v>
      </c>
      <c r="N7" s="22">
        <f t="shared" si="0"/>
        <v>0.81052631578947365</v>
      </c>
    </row>
    <row r="8" spans="1:14" x14ac:dyDescent="0.35">
      <c r="A8" s="31">
        <v>2</v>
      </c>
      <c r="B8" s="144" t="s">
        <v>753</v>
      </c>
      <c r="C8" s="145" t="s">
        <v>30</v>
      </c>
      <c r="D8" s="145">
        <v>25</v>
      </c>
      <c r="E8" s="145">
        <v>35</v>
      </c>
      <c r="F8" s="31">
        <f t="shared" ref="F8:F30" si="1">E8-D8</f>
        <v>10</v>
      </c>
      <c r="G8" s="35">
        <f t="shared" ref="G8:G30" si="2">E8/D8*100%</f>
        <v>1.4</v>
      </c>
    </row>
    <row r="9" spans="1:14" x14ac:dyDescent="0.35">
      <c r="A9" s="31">
        <v>3</v>
      </c>
      <c r="B9" s="144" t="s">
        <v>754</v>
      </c>
      <c r="C9" s="145" t="s">
        <v>30</v>
      </c>
      <c r="D9" s="145">
        <v>25</v>
      </c>
      <c r="E9" s="145">
        <v>29</v>
      </c>
      <c r="F9" s="31">
        <f t="shared" si="1"/>
        <v>4</v>
      </c>
      <c r="G9" s="35">
        <f t="shared" si="2"/>
        <v>1.1599999999999999</v>
      </c>
    </row>
    <row r="10" spans="1:14" x14ac:dyDescent="0.35">
      <c r="A10" s="31">
        <v>4</v>
      </c>
      <c r="B10" s="144" t="s">
        <v>755</v>
      </c>
      <c r="C10" s="145" t="s">
        <v>30</v>
      </c>
      <c r="D10" s="145">
        <v>25</v>
      </c>
      <c r="E10" s="145">
        <v>9</v>
      </c>
      <c r="F10" s="31">
        <f t="shared" si="1"/>
        <v>-16</v>
      </c>
      <c r="G10" s="35">
        <f t="shared" si="2"/>
        <v>0.36</v>
      </c>
    </row>
    <row r="11" spans="1:14" x14ac:dyDescent="0.35">
      <c r="A11" s="31">
        <v>5</v>
      </c>
      <c r="B11" s="144" t="s">
        <v>756</v>
      </c>
      <c r="C11" s="145" t="s">
        <v>30</v>
      </c>
      <c r="D11" s="145">
        <v>25</v>
      </c>
      <c r="E11" s="145">
        <v>10</v>
      </c>
      <c r="F11" s="31">
        <f t="shared" si="1"/>
        <v>-15</v>
      </c>
      <c r="G11" s="35">
        <f t="shared" si="2"/>
        <v>0.4</v>
      </c>
    </row>
    <row r="12" spans="1:14" x14ac:dyDescent="0.35">
      <c r="A12" s="31">
        <v>6</v>
      </c>
      <c r="B12" s="144" t="s">
        <v>757</v>
      </c>
      <c r="C12" s="145" t="s">
        <v>30</v>
      </c>
      <c r="D12" s="145">
        <v>25</v>
      </c>
      <c r="E12" s="145">
        <v>1</v>
      </c>
      <c r="F12" s="31">
        <f t="shared" si="1"/>
        <v>-24</v>
      </c>
      <c r="G12" s="35">
        <f t="shared" si="2"/>
        <v>0.04</v>
      </c>
    </row>
    <row r="13" spans="1:14" x14ac:dyDescent="0.35">
      <c r="A13" s="31">
        <v>7</v>
      </c>
      <c r="B13" s="144" t="s">
        <v>758</v>
      </c>
      <c r="C13" s="145" t="s">
        <v>30</v>
      </c>
      <c r="D13" s="145">
        <v>25</v>
      </c>
      <c r="E13" s="145">
        <v>4</v>
      </c>
      <c r="F13" s="31">
        <f t="shared" si="1"/>
        <v>-21</v>
      </c>
      <c r="G13" s="35">
        <f t="shared" si="2"/>
        <v>0.16</v>
      </c>
    </row>
    <row r="14" spans="1:14" x14ac:dyDescent="0.35">
      <c r="A14" s="31">
        <v>8</v>
      </c>
      <c r="B14" s="144" t="s">
        <v>759</v>
      </c>
      <c r="C14" s="145" t="s">
        <v>28</v>
      </c>
      <c r="D14" s="145">
        <v>35</v>
      </c>
      <c r="E14" s="145">
        <v>0</v>
      </c>
      <c r="F14" s="31">
        <f t="shared" si="1"/>
        <v>-35</v>
      </c>
      <c r="G14" s="35">
        <f t="shared" si="2"/>
        <v>0</v>
      </c>
    </row>
    <row r="15" spans="1:14" x14ac:dyDescent="0.35">
      <c r="A15" s="31">
        <v>9</v>
      </c>
      <c r="B15" s="144" t="s">
        <v>760</v>
      </c>
      <c r="C15" s="145" t="s">
        <v>30</v>
      </c>
      <c r="D15" s="145">
        <v>25</v>
      </c>
      <c r="E15" s="145">
        <v>17</v>
      </c>
      <c r="F15" s="31">
        <f t="shared" si="1"/>
        <v>-8</v>
      </c>
      <c r="G15" s="35">
        <f t="shared" si="2"/>
        <v>0.68</v>
      </c>
    </row>
    <row r="16" spans="1:14" x14ac:dyDescent="0.35">
      <c r="A16" s="31">
        <v>10</v>
      </c>
      <c r="B16" s="144" t="s">
        <v>761</v>
      </c>
      <c r="C16" s="145" t="s">
        <v>30</v>
      </c>
      <c r="D16" s="145">
        <v>25</v>
      </c>
      <c r="E16" s="145">
        <v>18</v>
      </c>
      <c r="F16" s="31">
        <f t="shared" si="1"/>
        <v>-7</v>
      </c>
      <c r="G16" s="35">
        <f t="shared" si="2"/>
        <v>0.72</v>
      </c>
    </row>
    <row r="17" spans="1:7" x14ac:dyDescent="0.35">
      <c r="A17" s="31">
        <v>11</v>
      </c>
      <c r="B17" s="144" t="s">
        <v>762</v>
      </c>
      <c r="C17" s="145" t="s">
        <v>30</v>
      </c>
      <c r="D17" s="145">
        <v>25</v>
      </c>
      <c r="E17" s="145">
        <v>43</v>
      </c>
      <c r="F17" s="31">
        <f t="shared" si="1"/>
        <v>18</v>
      </c>
      <c r="G17" s="35">
        <f t="shared" si="2"/>
        <v>1.72</v>
      </c>
    </row>
    <row r="18" spans="1:7" x14ac:dyDescent="0.35">
      <c r="A18" s="31">
        <v>12</v>
      </c>
      <c r="B18" s="144" t="s">
        <v>763</v>
      </c>
      <c r="C18" s="145" t="s">
        <v>30</v>
      </c>
      <c r="D18" s="145">
        <v>25</v>
      </c>
      <c r="E18" s="145">
        <v>4</v>
      </c>
      <c r="F18" s="31">
        <f t="shared" si="1"/>
        <v>-21</v>
      </c>
      <c r="G18" s="35">
        <f t="shared" si="2"/>
        <v>0.16</v>
      </c>
    </row>
    <row r="19" spans="1:7" x14ac:dyDescent="0.35">
      <c r="A19" s="31">
        <v>13</v>
      </c>
      <c r="B19" s="144" t="s">
        <v>764</v>
      </c>
      <c r="C19" s="145" t="s">
        <v>30</v>
      </c>
      <c r="D19" s="145">
        <v>25</v>
      </c>
      <c r="E19" s="145">
        <v>25</v>
      </c>
      <c r="F19" s="31">
        <f t="shared" si="1"/>
        <v>0</v>
      </c>
      <c r="G19" s="35">
        <f t="shared" si="2"/>
        <v>1</v>
      </c>
    </row>
    <row r="20" spans="1:7" x14ac:dyDescent="0.35">
      <c r="A20" s="31">
        <v>14</v>
      </c>
      <c r="B20" s="144" t="s">
        <v>765</v>
      </c>
      <c r="C20" s="145" t="s">
        <v>30</v>
      </c>
      <c r="D20" s="145">
        <v>25</v>
      </c>
      <c r="E20" s="145">
        <v>10</v>
      </c>
      <c r="F20" s="31">
        <f t="shared" si="1"/>
        <v>-15</v>
      </c>
      <c r="G20" s="35">
        <f t="shared" si="2"/>
        <v>0.4</v>
      </c>
    </row>
    <row r="21" spans="1:7" x14ac:dyDescent="0.35">
      <c r="A21" s="31">
        <v>15</v>
      </c>
      <c r="B21" s="144" t="s">
        <v>766</v>
      </c>
      <c r="C21" s="145" t="s">
        <v>30</v>
      </c>
      <c r="D21" s="145">
        <v>25</v>
      </c>
      <c r="E21" s="145">
        <v>3</v>
      </c>
      <c r="F21" s="31">
        <f t="shared" si="1"/>
        <v>-22</v>
      </c>
      <c r="G21" s="35">
        <f t="shared" si="2"/>
        <v>0.12</v>
      </c>
    </row>
    <row r="22" spans="1:7" x14ac:dyDescent="0.35">
      <c r="A22" s="31">
        <v>16</v>
      </c>
      <c r="B22" s="144" t="s">
        <v>767</v>
      </c>
      <c r="C22" s="145" t="s">
        <v>28</v>
      </c>
      <c r="D22" s="145">
        <v>35</v>
      </c>
      <c r="E22" s="145">
        <v>0</v>
      </c>
      <c r="F22" s="31">
        <f t="shared" si="1"/>
        <v>-35</v>
      </c>
      <c r="G22" s="35">
        <f t="shared" si="2"/>
        <v>0</v>
      </c>
    </row>
    <row r="23" spans="1:7" x14ac:dyDescent="0.35">
      <c r="A23" s="31">
        <v>17</v>
      </c>
      <c r="B23" s="144" t="s">
        <v>768</v>
      </c>
      <c r="C23" s="145" t="s">
        <v>30</v>
      </c>
      <c r="D23" s="145">
        <v>25</v>
      </c>
      <c r="E23" s="145">
        <v>35</v>
      </c>
      <c r="F23" s="31">
        <f t="shared" si="1"/>
        <v>10</v>
      </c>
      <c r="G23" s="35">
        <f t="shared" si="2"/>
        <v>1.4</v>
      </c>
    </row>
    <row r="24" spans="1:7" x14ac:dyDescent="0.35">
      <c r="A24" s="31">
        <v>18</v>
      </c>
      <c r="B24" s="144" t="s">
        <v>769</v>
      </c>
      <c r="C24" s="145" t="s">
        <v>30</v>
      </c>
      <c r="D24" s="145">
        <v>25</v>
      </c>
      <c r="E24" s="145">
        <v>45</v>
      </c>
      <c r="F24" s="31">
        <f t="shared" si="1"/>
        <v>20</v>
      </c>
      <c r="G24" s="35">
        <f t="shared" si="2"/>
        <v>1.8</v>
      </c>
    </row>
    <row r="25" spans="1:7" x14ac:dyDescent="0.35">
      <c r="A25" s="31">
        <v>19</v>
      </c>
      <c r="B25" s="144" t="s">
        <v>770</v>
      </c>
      <c r="C25" s="145" t="s">
        <v>30</v>
      </c>
      <c r="D25" s="145">
        <v>25</v>
      </c>
      <c r="E25" s="145">
        <v>19</v>
      </c>
      <c r="F25" s="31">
        <f t="shared" si="1"/>
        <v>-6</v>
      </c>
      <c r="G25" s="35">
        <f t="shared" si="2"/>
        <v>0.76</v>
      </c>
    </row>
    <row r="26" spans="1:7" x14ac:dyDescent="0.35">
      <c r="A26" s="31">
        <v>20</v>
      </c>
      <c r="B26" s="144" t="s">
        <v>771</v>
      </c>
      <c r="C26" s="145" t="s">
        <v>30</v>
      </c>
      <c r="D26" s="145">
        <v>25</v>
      </c>
      <c r="E26" s="145">
        <v>15</v>
      </c>
      <c r="F26" s="31">
        <f t="shared" si="1"/>
        <v>-10</v>
      </c>
      <c r="G26" s="35">
        <f t="shared" si="2"/>
        <v>0.6</v>
      </c>
    </row>
    <row r="27" spans="1:7" x14ac:dyDescent="0.35">
      <c r="A27" s="31">
        <v>21</v>
      </c>
      <c r="B27" s="144" t="s">
        <v>772</v>
      </c>
      <c r="C27" s="145" t="s">
        <v>30</v>
      </c>
      <c r="D27" s="145">
        <v>25</v>
      </c>
      <c r="E27" s="145">
        <v>13</v>
      </c>
      <c r="F27" s="31">
        <f t="shared" si="1"/>
        <v>-12</v>
      </c>
      <c r="G27" s="35">
        <f t="shared" si="2"/>
        <v>0.52</v>
      </c>
    </row>
    <row r="28" spans="1:7" x14ac:dyDescent="0.35">
      <c r="A28" s="31">
        <v>22</v>
      </c>
      <c r="B28" s="144" t="s">
        <v>773</v>
      </c>
      <c r="C28" s="145" t="s">
        <v>30</v>
      </c>
      <c r="D28" s="145">
        <v>25</v>
      </c>
      <c r="E28" s="145">
        <v>24</v>
      </c>
      <c r="F28" s="31">
        <f t="shared" si="1"/>
        <v>-1</v>
      </c>
      <c r="G28" s="35">
        <f t="shared" si="2"/>
        <v>0.96</v>
      </c>
    </row>
    <row r="29" spans="1:7" x14ac:dyDescent="0.35">
      <c r="A29" s="31">
        <v>23</v>
      </c>
      <c r="B29" s="144" t="s">
        <v>774</v>
      </c>
      <c r="C29" s="145" t="s">
        <v>30</v>
      </c>
      <c r="D29" s="145">
        <v>25</v>
      </c>
      <c r="E29" s="145">
        <v>3</v>
      </c>
      <c r="F29" s="31">
        <f t="shared" si="1"/>
        <v>-22</v>
      </c>
      <c r="G29" s="35">
        <f t="shared" si="2"/>
        <v>0.12</v>
      </c>
    </row>
    <row r="30" spans="1:7" x14ac:dyDescent="0.35">
      <c r="A30" s="31"/>
      <c r="B30" s="31" t="s">
        <v>34</v>
      </c>
      <c r="C30" s="31"/>
      <c r="D30" s="31">
        <v>570</v>
      </c>
      <c r="E30" s="31">
        <f>SUM(E7:E29)</f>
        <v>362</v>
      </c>
      <c r="F30" s="31">
        <f t="shared" si="1"/>
        <v>-208</v>
      </c>
      <c r="G30" s="35">
        <f t="shared" si="2"/>
        <v>0.63508771929824559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3664-6FD6-4F92-85AA-E0C33AC4EC03}">
  <dimension ref="A1:N19"/>
  <sheetViews>
    <sheetView workbookViewId="0">
      <selection activeCell="C4" sqref="C4:G4"/>
    </sheetView>
  </sheetViews>
  <sheetFormatPr defaultRowHeight="14.5" x14ac:dyDescent="0.35"/>
  <cols>
    <col min="1" max="1" width="3.81640625" customWidth="1"/>
    <col min="2" max="2" width="36.81640625" customWidth="1"/>
    <col min="7" max="7" width="8.7265625" style="6"/>
    <col min="9" max="9" width="6.1796875" customWidth="1"/>
    <col min="10" max="10" width="14.1796875" customWidth="1"/>
  </cols>
  <sheetData>
    <row r="1" spans="1:14" x14ac:dyDescent="0.35">
      <c r="B1" s="5" t="s">
        <v>16</v>
      </c>
    </row>
    <row r="2" spans="1:14" x14ac:dyDescent="0.35">
      <c r="B2" s="5" t="s">
        <v>83</v>
      </c>
    </row>
    <row r="3" spans="1:14" x14ac:dyDescent="0.35">
      <c r="B3" s="5" t="s">
        <v>751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778</v>
      </c>
      <c r="K5" s="21">
        <v>5</v>
      </c>
      <c r="L5" s="21">
        <v>150</v>
      </c>
      <c r="M5" s="21">
        <v>152</v>
      </c>
      <c r="N5" s="22">
        <f>M5/L5*100%</f>
        <v>1.0133333333333334</v>
      </c>
    </row>
    <row r="6" spans="1:14" x14ac:dyDescent="0.35">
      <c r="A6" s="158"/>
      <c r="B6" s="159"/>
      <c r="C6" s="163"/>
      <c r="D6" s="163"/>
      <c r="E6" s="163"/>
      <c r="F6" s="163"/>
      <c r="G6" s="165"/>
      <c r="I6" s="21">
        <v>2</v>
      </c>
      <c r="J6" s="21" t="s">
        <v>779</v>
      </c>
      <c r="K6" s="21">
        <v>5</v>
      </c>
      <c r="L6" s="21">
        <v>150</v>
      </c>
      <c r="M6" s="21">
        <v>101</v>
      </c>
      <c r="N6" s="22">
        <f t="shared" ref="N6" si="0">M6/L6*100%</f>
        <v>0.67333333333333334</v>
      </c>
    </row>
    <row r="7" spans="1:14" x14ac:dyDescent="0.35">
      <c r="A7" s="31">
        <v>1</v>
      </c>
      <c r="B7" s="144" t="s">
        <v>780</v>
      </c>
      <c r="C7" s="145" t="s">
        <v>28</v>
      </c>
      <c r="D7" s="145">
        <v>35</v>
      </c>
      <c r="E7" s="145">
        <v>1</v>
      </c>
      <c r="F7" s="31">
        <f>E7-D7</f>
        <v>-34</v>
      </c>
      <c r="G7" s="35">
        <f>E7/D7*100%</f>
        <v>2.8571428571428571E-2</v>
      </c>
    </row>
    <row r="8" spans="1:14" x14ac:dyDescent="0.35">
      <c r="A8" s="31">
        <v>2</v>
      </c>
      <c r="B8" s="144" t="s">
        <v>781</v>
      </c>
      <c r="C8" s="145" t="s">
        <v>30</v>
      </c>
      <c r="D8" s="145">
        <v>25</v>
      </c>
      <c r="E8" s="145">
        <v>19</v>
      </c>
      <c r="F8" s="31">
        <f t="shared" ref="F8:F19" si="1">E8-D8</f>
        <v>-6</v>
      </c>
      <c r="G8" s="35">
        <f t="shared" ref="G8:G19" si="2">E8/D8*100%</f>
        <v>0.76</v>
      </c>
    </row>
    <row r="9" spans="1:14" x14ac:dyDescent="0.35">
      <c r="A9" s="31">
        <v>3</v>
      </c>
      <c r="B9" s="144" t="s">
        <v>782</v>
      </c>
      <c r="C9" s="145" t="s">
        <v>30</v>
      </c>
      <c r="D9" s="145">
        <v>25</v>
      </c>
      <c r="E9" s="145">
        <v>42</v>
      </c>
      <c r="F9" s="31">
        <f t="shared" si="1"/>
        <v>17</v>
      </c>
      <c r="G9" s="35">
        <f t="shared" si="2"/>
        <v>1.68</v>
      </c>
    </row>
    <row r="10" spans="1:14" x14ac:dyDescent="0.35">
      <c r="A10" s="31">
        <v>4</v>
      </c>
      <c r="B10" s="144" t="s">
        <v>783</v>
      </c>
      <c r="C10" s="145" t="s">
        <v>30</v>
      </c>
      <c r="D10" s="145">
        <v>25</v>
      </c>
      <c r="E10" s="145">
        <v>35</v>
      </c>
      <c r="F10" s="31">
        <f t="shared" si="1"/>
        <v>10</v>
      </c>
      <c r="G10" s="35">
        <f t="shared" si="2"/>
        <v>1.4</v>
      </c>
    </row>
    <row r="11" spans="1:14" x14ac:dyDescent="0.35">
      <c r="A11" s="31">
        <v>5</v>
      </c>
      <c r="B11" s="144" t="s">
        <v>784</v>
      </c>
      <c r="C11" s="145" t="s">
        <v>30</v>
      </c>
      <c r="D11" s="145">
        <v>25</v>
      </c>
      <c r="E11" s="145">
        <v>40</v>
      </c>
      <c r="F11" s="31">
        <f t="shared" si="1"/>
        <v>15</v>
      </c>
      <c r="G11" s="35">
        <f t="shared" si="2"/>
        <v>1.6</v>
      </c>
    </row>
    <row r="12" spans="1:14" x14ac:dyDescent="0.35">
      <c r="A12" s="31">
        <v>6</v>
      </c>
      <c r="B12" s="144" t="s">
        <v>785</v>
      </c>
      <c r="C12" s="145" t="s">
        <v>30</v>
      </c>
      <c r="D12" s="145">
        <v>25</v>
      </c>
      <c r="E12" s="145">
        <v>15</v>
      </c>
      <c r="F12" s="31">
        <f t="shared" si="1"/>
        <v>-10</v>
      </c>
      <c r="G12" s="35">
        <f t="shared" si="2"/>
        <v>0.6</v>
      </c>
    </row>
    <row r="13" spans="1:14" x14ac:dyDescent="0.35">
      <c r="A13" s="31">
        <v>7</v>
      </c>
      <c r="B13" s="144" t="s">
        <v>786</v>
      </c>
      <c r="C13" s="145" t="s">
        <v>28</v>
      </c>
      <c r="D13" s="145">
        <v>35</v>
      </c>
      <c r="E13" s="145">
        <v>0</v>
      </c>
      <c r="F13" s="31">
        <f t="shared" si="1"/>
        <v>-35</v>
      </c>
      <c r="G13" s="35">
        <f t="shared" si="2"/>
        <v>0</v>
      </c>
    </row>
    <row r="14" spans="1:14" x14ac:dyDescent="0.35">
      <c r="A14" s="31">
        <v>8</v>
      </c>
      <c r="B14" s="144" t="s">
        <v>787</v>
      </c>
      <c r="C14" s="145" t="s">
        <v>30</v>
      </c>
      <c r="D14" s="145">
        <v>25</v>
      </c>
      <c r="E14" s="145">
        <v>26</v>
      </c>
      <c r="F14" s="31">
        <f t="shared" si="1"/>
        <v>1</v>
      </c>
      <c r="G14" s="35">
        <f t="shared" si="2"/>
        <v>1.04</v>
      </c>
    </row>
    <row r="15" spans="1:14" x14ac:dyDescent="0.35">
      <c r="A15" s="31">
        <v>9</v>
      </c>
      <c r="B15" s="144" t="s">
        <v>788</v>
      </c>
      <c r="C15" s="145" t="s">
        <v>30</v>
      </c>
      <c r="D15" s="145">
        <v>25</v>
      </c>
      <c r="E15" s="145">
        <v>29</v>
      </c>
      <c r="F15" s="31">
        <f t="shared" si="1"/>
        <v>4</v>
      </c>
      <c r="G15" s="35">
        <f t="shared" si="2"/>
        <v>1.1599999999999999</v>
      </c>
    </row>
    <row r="16" spans="1:14" x14ac:dyDescent="0.35">
      <c r="A16" s="31">
        <v>10</v>
      </c>
      <c r="B16" s="144" t="s">
        <v>789</v>
      </c>
      <c r="C16" s="145" t="s">
        <v>30</v>
      </c>
      <c r="D16" s="145">
        <v>25</v>
      </c>
      <c r="E16" s="145">
        <v>30</v>
      </c>
      <c r="F16" s="31">
        <f t="shared" si="1"/>
        <v>5</v>
      </c>
      <c r="G16" s="35">
        <f t="shared" si="2"/>
        <v>1.2</v>
      </c>
    </row>
    <row r="17" spans="1:7" x14ac:dyDescent="0.35">
      <c r="A17" s="31">
        <v>11</v>
      </c>
      <c r="B17" s="144" t="s">
        <v>790</v>
      </c>
      <c r="C17" s="145" t="s">
        <v>30</v>
      </c>
      <c r="D17" s="145">
        <v>25</v>
      </c>
      <c r="E17" s="145">
        <v>13</v>
      </c>
      <c r="F17" s="31">
        <f t="shared" si="1"/>
        <v>-12</v>
      </c>
      <c r="G17" s="35">
        <f t="shared" si="2"/>
        <v>0.52</v>
      </c>
    </row>
    <row r="18" spans="1:7" x14ac:dyDescent="0.35">
      <c r="A18" s="31">
        <v>12</v>
      </c>
      <c r="B18" s="144" t="s">
        <v>791</v>
      </c>
      <c r="C18" s="145" t="s">
        <v>30</v>
      </c>
      <c r="D18" s="145">
        <v>25</v>
      </c>
      <c r="E18" s="145">
        <v>3</v>
      </c>
      <c r="F18" s="31">
        <f t="shared" si="1"/>
        <v>-22</v>
      </c>
      <c r="G18" s="35">
        <f t="shared" si="2"/>
        <v>0.12</v>
      </c>
    </row>
    <row r="19" spans="1:7" x14ac:dyDescent="0.35">
      <c r="A19" s="31"/>
      <c r="B19" s="31" t="s">
        <v>34</v>
      </c>
      <c r="C19" s="31"/>
      <c r="D19" s="31">
        <v>300</v>
      </c>
      <c r="E19" s="31">
        <f>SUM(E7:E18)</f>
        <v>253</v>
      </c>
      <c r="F19" s="31">
        <f t="shared" si="1"/>
        <v>-47</v>
      </c>
      <c r="G19" s="35">
        <f t="shared" si="2"/>
        <v>0.84333333333333338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6F98-8017-4BC6-819A-5AF9B5ED6DD7}">
  <dimension ref="A1:N29"/>
  <sheetViews>
    <sheetView workbookViewId="0">
      <selection activeCell="C4" sqref="C4:G4"/>
    </sheetView>
  </sheetViews>
  <sheetFormatPr defaultRowHeight="14.5" x14ac:dyDescent="0.35"/>
  <cols>
    <col min="1" max="1" width="4.6328125" customWidth="1"/>
    <col min="2" max="2" width="30.08984375" customWidth="1"/>
    <col min="7" max="7" width="8.7265625" style="6"/>
    <col min="9" max="9" width="4.7265625" customWidth="1"/>
    <col min="10" max="10" width="17.08984375" customWidth="1"/>
    <col min="11" max="11" width="8.7265625" style="181"/>
  </cols>
  <sheetData>
    <row r="1" spans="1:14" x14ac:dyDescent="0.35">
      <c r="B1" s="5" t="s">
        <v>16</v>
      </c>
    </row>
    <row r="2" spans="1:14" x14ac:dyDescent="0.35">
      <c r="B2" s="5" t="s">
        <v>859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85" t="s">
        <v>6</v>
      </c>
      <c r="I5" s="47">
        <v>1</v>
      </c>
      <c r="J5" s="47" t="s">
        <v>882</v>
      </c>
      <c r="K5" s="47">
        <v>5</v>
      </c>
      <c r="L5" s="47">
        <v>150</v>
      </c>
      <c r="M5" s="47">
        <v>55</v>
      </c>
      <c r="N5" s="48">
        <f>M5/L5*100%</f>
        <v>0.36666666666666664</v>
      </c>
    </row>
    <row r="6" spans="1:14" x14ac:dyDescent="0.35">
      <c r="A6" s="168"/>
      <c r="B6" s="169"/>
      <c r="C6" s="170"/>
      <c r="D6" s="170"/>
      <c r="E6" s="170"/>
      <c r="F6" s="170"/>
      <c r="G6" s="186"/>
      <c r="I6" s="47">
        <v>2</v>
      </c>
      <c r="J6" s="47" t="s">
        <v>883</v>
      </c>
      <c r="K6" s="47">
        <v>7</v>
      </c>
      <c r="L6" s="47">
        <v>190</v>
      </c>
      <c r="M6" s="47">
        <v>149</v>
      </c>
      <c r="N6" s="48">
        <f t="shared" ref="N6:N7" si="0">M6/L6*100%</f>
        <v>0.78421052631578947</v>
      </c>
    </row>
    <row r="7" spans="1:14" x14ac:dyDescent="0.35">
      <c r="A7" s="182">
        <v>1</v>
      </c>
      <c r="B7" s="183" t="s">
        <v>860</v>
      </c>
      <c r="C7" s="184" t="s">
        <v>28</v>
      </c>
      <c r="D7" s="184">
        <v>35</v>
      </c>
      <c r="E7" s="184">
        <v>0</v>
      </c>
      <c r="F7" s="182">
        <f>E7-D7</f>
        <v>-35</v>
      </c>
      <c r="G7" s="187">
        <f>E7/D7*100%</f>
        <v>0</v>
      </c>
      <c r="I7" s="47">
        <v>3</v>
      </c>
      <c r="J7" s="47" t="s">
        <v>884</v>
      </c>
      <c r="K7" s="47">
        <v>7</v>
      </c>
      <c r="L7" s="47">
        <v>190</v>
      </c>
      <c r="M7" s="47">
        <v>121</v>
      </c>
      <c r="N7" s="48">
        <f t="shared" si="0"/>
        <v>0.63684210526315788</v>
      </c>
    </row>
    <row r="8" spans="1:14" x14ac:dyDescent="0.35">
      <c r="A8" s="182">
        <v>2</v>
      </c>
      <c r="B8" s="183" t="s">
        <v>861</v>
      </c>
      <c r="C8" s="184" t="s">
        <v>30</v>
      </c>
      <c r="D8" s="184">
        <v>25</v>
      </c>
      <c r="E8" s="184">
        <v>24</v>
      </c>
      <c r="F8" s="182">
        <f t="shared" ref="F8:F29" si="1">E8-D8</f>
        <v>-1</v>
      </c>
      <c r="G8" s="187">
        <f t="shared" ref="G8:G29" si="2">E8/D8*100%</f>
        <v>0.96</v>
      </c>
    </row>
    <row r="9" spans="1:14" x14ac:dyDescent="0.35">
      <c r="A9" s="182">
        <v>3</v>
      </c>
      <c r="B9" s="183" t="s">
        <v>862</v>
      </c>
      <c r="C9" s="184" t="s">
        <v>30</v>
      </c>
      <c r="D9" s="184">
        <v>25</v>
      </c>
      <c r="E9" s="184">
        <v>16</v>
      </c>
      <c r="F9" s="182">
        <f t="shared" si="1"/>
        <v>-9</v>
      </c>
      <c r="G9" s="187">
        <f t="shared" si="2"/>
        <v>0.64</v>
      </c>
    </row>
    <row r="10" spans="1:14" x14ac:dyDescent="0.35">
      <c r="A10" s="182">
        <v>4</v>
      </c>
      <c r="B10" s="183" t="s">
        <v>863</v>
      </c>
      <c r="C10" s="184" t="s">
        <v>30</v>
      </c>
      <c r="D10" s="184">
        <v>25</v>
      </c>
      <c r="E10" s="184">
        <v>11</v>
      </c>
      <c r="F10" s="182">
        <f t="shared" si="1"/>
        <v>-14</v>
      </c>
      <c r="G10" s="187">
        <f t="shared" si="2"/>
        <v>0.44</v>
      </c>
    </row>
    <row r="11" spans="1:14" x14ac:dyDescent="0.35">
      <c r="A11" s="182">
        <v>5</v>
      </c>
      <c r="B11" s="183" t="s">
        <v>864</v>
      </c>
      <c r="C11" s="184" t="s">
        <v>30</v>
      </c>
      <c r="D11" s="184">
        <v>25</v>
      </c>
      <c r="E11" s="184">
        <v>1</v>
      </c>
      <c r="F11" s="182">
        <f t="shared" si="1"/>
        <v>-24</v>
      </c>
      <c r="G11" s="187">
        <f t="shared" si="2"/>
        <v>0.04</v>
      </c>
    </row>
    <row r="12" spans="1:14" x14ac:dyDescent="0.35">
      <c r="A12" s="182">
        <v>6</v>
      </c>
      <c r="B12" s="183" t="s">
        <v>865</v>
      </c>
      <c r="C12" s="184" t="s">
        <v>30</v>
      </c>
      <c r="D12" s="184">
        <v>25</v>
      </c>
      <c r="E12" s="184">
        <v>3</v>
      </c>
      <c r="F12" s="182">
        <f t="shared" si="1"/>
        <v>-22</v>
      </c>
      <c r="G12" s="187">
        <f t="shared" si="2"/>
        <v>0.12</v>
      </c>
    </row>
    <row r="13" spans="1:14" x14ac:dyDescent="0.35">
      <c r="A13" s="182">
        <v>7</v>
      </c>
      <c r="B13" s="183" t="s">
        <v>866</v>
      </c>
      <c r="C13" s="184" t="s">
        <v>28</v>
      </c>
      <c r="D13" s="184">
        <v>35</v>
      </c>
      <c r="E13" s="184">
        <v>0</v>
      </c>
      <c r="F13" s="182">
        <f t="shared" si="1"/>
        <v>-35</v>
      </c>
      <c r="G13" s="187">
        <f t="shared" si="2"/>
        <v>0</v>
      </c>
    </row>
    <row r="14" spans="1:14" x14ac:dyDescent="0.35">
      <c r="A14" s="182">
        <v>8</v>
      </c>
      <c r="B14" s="183" t="s">
        <v>867</v>
      </c>
      <c r="C14" s="184" t="s">
        <v>30</v>
      </c>
      <c r="D14" s="184">
        <v>25</v>
      </c>
      <c r="E14" s="184">
        <v>30</v>
      </c>
      <c r="F14" s="182">
        <f t="shared" si="1"/>
        <v>5</v>
      </c>
      <c r="G14" s="187">
        <f t="shared" si="2"/>
        <v>1.2</v>
      </c>
    </row>
    <row r="15" spans="1:14" x14ac:dyDescent="0.35">
      <c r="A15" s="182">
        <v>9</v>
      </c>
      <c r="B15" s="183" t="s">
        <v>868</v>
      </c>
      <c r="C15" s="184" t="s">
        <v>30</v>
      </c>
      <c r="D15" s="184">
        <v>25</v>
      </c>
      <c r="E15" s="184">
        <v>28</v>
      </c>
      <c r="F15" s="182">
        <f t="shared" si="1"/>
        <v>3</v>
      </c>
      <c r="G15" s="187">
        <f t="shared" si="2"/>
        <v>1.1200000000000001</v>
      </c>
    </row>
    <row r="16" spans="1:14" x14ac:dyDescent="0.35">
      <c r="A16" s="182">
        <v>10</v>
      </c>
      <c r="B16" s="183" t="s">
        <v>869</v>
      </c>
      <c r="C16" s="184" t="s">
        <v>30</v>
      </c>
      <c r="D16" s="184">
        <v>25</v>
      </c>
      <c r="E16" s="184">
        <v>22</v>
      </c>
      <c r="F16" s="182">
        <f t="shared" si="1"/>
        <v>-3</v>
      </c>
      <c r="G16" s="187">
        <f t="shared" si="2"/>
        <v>0.88</v>
      </c>
    </row>
    <row r="17" spans="1:7" x14ac:dyDescent="0.35">
      <c r="A17" s="182">
        <v>11</v>
      </c>
      <c r="B17" s="183" t="s">
        <v>870</v>
      </c>
      <c r="C17" s="184" t="s">
        <v>30</v>
      </c>
      <c r="D17" s="184">
        <v>25</v>
      </c>
      <c r="E17" s="184">
        <v>21</v>
      </c>
      <c r="F17" s="182">
        <f t="shared" si="1"/>
        <v>-4</v>
      </c>
      <c r="G17" s="187">
        <f t="shared" si="2"/>
        <v>0.84</v>
      </c>
    </row>
    <row r="18" spans="1:7" x14ac:dyDescent="0.35">
      <c r="A18" s="182">
        <v>12</v>
      </c>
      <c r="B18" s="183" t="s">
        <v>871</v>
      </c>
      <c r="C18" s="184" t="s">
        <v>30</v>
      </c>
      <c r="D18" s="184">
        <v>25</v>
      </c>
      <c r="E18" s="184">
        <v>8</v>
      </c>
      <c r="F18" s="182">
        <f t="shared" si="1"/>
        <v>-17</v>
      </c>
      <c r="G18" s="187">
        <f t="shared" si="2"/>
        <v>0.32</v>
      </c>
    </row>
    <row r="19" spans="1:7" x14ac:dyDescent="0.35">
      <c r="A19" s="182">
        <v>13</v>
      </c>
      <c r="B19" s="183" t="s">
        <v>872</v>
      </c>
      <c r="C19" s="184" t="s">
        <v>30</v>
      </c>
      <c r="D19" s="184">
        <v>25</v>
      </c>
      <c r="E19" s="184">
        <v>12</v>
      </c>
      <c r="F19" s="182">
        <f t="shared" si="1"/>
        <v>-13</v>
      </c>
      <c r="G19" s="187">
        <f t="shared" si="2"/>
        <v>0.48</v>
      </c>
    </row>
    <row r="20" spans="1:7" x14ac:dyDescent="0.35">
      <c r="A20" s="182">
        <v>14</v>
      </c>
      <c r="B20" s="183" t="s">
        <v>873</v>
      </c>
      <c r="C20" s="184" t="s">
        <v>30</v>
      </c>
      <c r="D20" s="184">
        <v>25</v>
      </c>
      <c r="E20" s="184">
        <v>28</v>
      </c>
      <c r="F20" s="182">
        <f t="shared" si="1"/>
        <v>3</v>
      </c>
      <c r="G20" s="187">
        <f t="shared" si="2"/>
        <v>1.1200000000000001</v>
      </c>
    </row>
    <row r="21" spans="1:7" x14ac:dyDescent="0.35">
      <c r="A21" s="182">
        <v>15</v>
      </c>
      <c r="B21" s="183" t="s">
        <v>874</v>
      </c>
      <c r="C21" s="184" t="s">
        <v>28</v>
      </c>
      <c r="D21" s="184">
        <v>35</v>
      </c>
      <c r="E21" s="184">
        <v>0</v>
      </c>
      <c r="F21" s="182">
        <f t="shared" si="1"/>
        <v>-35</v>
      </c>
      <c r="G21" s="187">
        <f t="shared" si="2"/>
        <v>0</v>
      </c>
    </row>
    <row r="22" spans="1:7" x14ac:dyDescent="0.35">
      <c r="A22" s="182">
        <v>16</v>
      </c>
      <c r="B22" s="183" t="s">
        <v>875</v>
      </c>
      <c r="C22" s="184" t="s">
        <v>30</v>
      </c>
      <c r="D22" s="184">
        <v>25</v>
      </c>
      <c r="E22" s="184">
        <v>19</v>
      </c>
      <c r="F22" s="182">
        <f t="shared" si="1"/>
        <v>-6</v>
      </c>
      <c r="G22" s="187">
        <f t="shared" si="2"/>
        <v>0.76</v>
      </c>
    </row>
    <row r="23" spans="1:7" x14ac:dyDescent="0.35">
      <c r="A23" s="182">
        <v>17</v>
      </c>
      <c r="B23" s="183" t="s">
        <v>876</v>
      </c>
      <c r="C23" s="184" t="s">
        <v>30</v>
      </c>
      <c r="D23" s="184">
        <v>25</v>
      </c>
      <c r="E23" s="184">
        <v>23</v>
      </c>
      <c r="F23" s="182">
        <f t="shared" si="1"/>
        <v>-2</v>
      </c>
      <c r="G23" s="187">
        <f t="shared" si="2"/>
        <v>0.92</v>
      </c>
    </row>
    <row r="24" spans="1:7" x14ac:dyDescent="0.35">
      <c r="A24" s="182">
        <v>18</v>
      </c>
      <c r="B24" s="183" t="s">
        <v>877</v>
      </c>
      <c r="C24" s="184" t="s">
        <v>30</v>
      </c>
      <c r="D24" s="184">
        <v>25</v>
      </c>
      <c r="E24" s="184">
        <v>15</v>
      </c>
      <c r="F24" s="182">
        <f t="shared" si="1"/>
        <v>-10</v>
      </c>
      <c r="G24" s="187">
        <f t="shared" si="2"/>
        <v>0.6</v>
      </c>
    </row>
    <row r="25" spans="1:7" x14ac:dyDescent="0.35">
      <c r="A25" s="182">
        <v>19</v>
      </c>
      <c r="B25" s="183" t="s">
        <v>878</v>
      </c>
      <c r="C25" s="184" t="s">
        <v>30</v>
      </c>
      <c r="D25" s="184">
        <v>25</v>
      </c>
      <c r="E25" s="184">
        <v>3</v>
      </c>
      <c r="F25" s="182">
        <f t="shared" si="1"/>
        <v>-22</v>
      </c>
      <c r="G25" s="187">
        <f t="shared" si="2"/>
        <v>0.12</v>
      </c>
    </row>
    <row r="26" spans="1:7" x14ac:dyDescent="0.35">
      <c r="A26" s="182">
        <v>20</v>
      </c>
      <c r="B26" s="183" t="s">
        <v>879</v>
      </c>
      <c r="C26" s="184" t="s">
        <v>30</v>
      </c>
      <c r="D26" s="184">
        <v>25</v>
      </c>
      <c r="E26" s="184">
        <v>27</v>
      </c>
      <c r="F26" s="182">
        <f t="shared" si="1"/>
        <v>2</v>
      </c>
      <c r="G26" s="187">
        <f t="shared" si="2"/>
        <v>1.08</v>
      </c>
    </row>
    <row r="27" spans="1:7" x14ac:dyDescent="0.35">
      <c r="A27" s="182">
        <v>21</v>
      </c>
      <c r="B27" s="183" t="s">
        <v>880</v>
      </c>
      <c r="C27" s="184" t="s">
        <v>30</v>
      </c>
      <c r="D27" s="184">
        <v>25</v>
      </c>
      <c r="E27" s="184">
        <v>21</v>
      </c>
      <c r="F27" s="182">
        <f t="shared" si="1"/>
        <v>-4</v>
      </c>
      <c r="G27" s="187">
        <f t="shared" si="2"/>
        <v>0.84</v>
      </c>
    </row>
    <row r="28" spans="1:7" x14ac:dyDescent="0.35">
      <c r="A28" s="182">
        <v>22</v>
      </c>
      <c r="B28" s="183" t="s">
        <v>881</v>
      </c>
      <c r="C28" s="184" t="s">
        <v>30</v>
      </c>
      <c r="D28" s="184">
        <v>25</v>
      </c>
      <c r="E28" s="184">
        <v>13</v>
      </c>
      <c r="F28" s="182">
        <f t="shared" si="1"/>
        <v>-12</v>
      </c>
      <c r="G28" s="187">
        <f t="shared" si="2"/>
        <v>0.52</v>
      </c>
    </row>
    <row r="29" spans="1:7" x14ac:dyDescent="0.35">
      <c r="A29" s="182"/>
      <c r="B29" s="182" t="s">
        <v>34</v>
      </c>
      <c r="C29" s="182"/>
      <c r="D29" s="182">
        <v>530</v>
      </c>
      <c r="E29" s="182">
        <f>SUM(E7:E28)</f>
        <v>325</v>
      </c>
      <c r="F29" s="182">
        <f t="shared" si="1"/>
        <v>-205</v>
      </c>
      <c r="G29" s="187">
        <f t="shared" si="2"/>
        <v>0.6132075471698113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7264-54A7-4F07-B8C1-F9851C81E4DF}">
  <dimension ref="A1:N28"/>
  <sheetViews>
    <sheetView workbookViewId="0">
      <selection activeCell="C4" sqref="C4:G4"/>
    </sheetView>
  </sheetViews>
  <sheetFormatPr defaultRowHeight="14.5" x14ac:dyDescent="0.35"/>
  <cols>
    <col min="1" max="1" width="5.54296875" customWidth="1"/>
    <col min="2" max="2" width="34" customWidth="1"/>
    <col min="7" max="7" width="8.7265625" style="6"/>
    <col min="9" max="9" width="3.54296875" customWidth="1"/>
    <col min="10" max="10" width="13.81640625" customWidth="1"/>
    <col min="11" max="11" width="10.26953125" style="188" customWidth="1"/>
  </cols>
  <sheetData>
    <row r="1" spans="1:14" x14ac:dyDescent="0.35">
      <c r="A1" s="181"/>
      <c r="B1" s="5" t="s">
        <v>16</v>
      </c>
      <c r="C1" s="181"/>
      <c r="D1" s="181"/>
      <c r="E1" s="181"/>
      <c r="F1" s="181"/>
    </row>
    <row r="2" spans="1:14" x14ac:dyDescent="0.35">
      <c r="A2" s="181"/>
      <c r="B2" s="5" t="s">
        <v>859</v>
      </c>
      <c r="C2" s="181"/>
      <c r="D2" s="181"/>
      <c r="E2" s="181"/>
      <c r="F2" s="181"/>
    </row>
    <row r="3" spans="1:14" x14ac:dyDescent="0.35">
      <c r="A3" s="181"/>
      <c r="B3" s="181"/>
      <c r="C3" s="181"/>
      <c r="D3" s="181"/>
      <c r="E3" s="181"/>
      <c r="F3" s="181"/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85" t="s">
        <v>6</v>
      </c>
      <c r="I5" s="21">
        <v>1</v>
      </c>
      <c r="J5" s="21" t="s">
        <v>906</v>
      </c>
      <c r="K5" s="21">
        <v>7</v>
      </c>
      <c r="L5" s="21">
        <v>190</v>
      </c>
      <c r="M5" s="21">
        <v>147</v>
      </c>
      <c r="N5" s="22">
        <f>M5/L5*100%</f>
        <v>0.77368421052631575</v>
      </c>
    </row>
    <row r="6" spans="1:14" x14ac:dyDescent="0.35">
      <c r="A6" s="168"/>
      <c r="B6" s="169"/>
      <c r="C6" s="170"/>
      <c r="D6" s="170"/>
      <c r="E6" s="170"/>
      <c r="F6" s="170"/>
      <c r="G6" s="186"/>
      <c r="I6" s="21">
        <v>2</v>
      </c>
      <c r="J6" s="21" t="s">
        <v>907</v>
      </c>
      <c r="K6" s="21">
        <v>6</v>
      </c>
      <c r="L6" s="21">
        <v>190</v>
      </c>
      <c r="M6" s="21">
        <v>132</v>
      </c>
      <c r="N6" s="22">
        <f>M6/L6*100%</f>
        <v>0.69473684210526321</v>
      </c>
    </row>
    <row r="7" spans="1:14" x14ac:dyDescent="0.35">
      <c r="A7" s="182">
        <v>1</v>
      </c>
      <c r="B7" s="189" t="s">
        <v>885</v>
      </c>
      <c r="C7" s="184" t="s">
        <v>28</v>
      </c>
      <c r="D7" s="184">
        <v>35</v>
      </c>
      <c r="E7" s="184">
        <v>0</v>
      </c>
      <c r="F7" s="182">
        <f>E7-D7</f>
        <v>-35</v>
      </c>
      <c r="G7" s="187">
        <f>E7/D7*100%</f>
        <v>0</v>
      </c>
      <c r="I7" s="21">
        <v>3</v>
      </c>
      <c r="J7" s="21" t="s">
        <v>908</v>
      </c>
      <c r="K7" s="21">
        <v>5</v>
      </c>
      <c r="L7" s="21">
        <v>150</v>
      </c>
      <c r="M7" s="21">
        <v>63</v>
      </c>
      <c r="N7" s="22">
        <f>M7/L7*100%</f>
        <v>0.42</v>
      </c>
    </row>
    <row r="8" spans="1:14" x14ac:dyDescent="0.35">
      <c r="A8" s="182">
        <v>2</v>
      </c>
      <c r="B8" s="190" t="s">
        <v>886</v>
      </c>
      <c r="C8" s="184" t="s">
        <v>30</v>
      </c>
      <c r="D8" s="184">
        <v>25</v>
      </c>
      <c r="E8" s="191">
        <v>23</v>
      </c>
      <c r="F8" s="182">
        <f t="shared" ref="F8:F28" si="0">E8-D8</f>
        <v>-2</v>
      </c>
      <c r="G8" s="187">
        <f t="shared" ref="G8:G28" si="1">E8/D8*100%</f>
        <v>0.92</v>
      </c>
    </row>
    <row r="9" spans="1:14" x14ac:dyDescent="0.35">
      <c r="A9" s="182">
        <v>3</v>
      </c>
      <c r="B9" s="189" t="s">
        <v>887</v>
      </c>
      <c r="C9" s="184" t="s">
        <v>30</v>
      </c>
      <c r="D9" s="184">
        <v>25</v>
      </c>
      <c r="E9" s="191">
        <v>30</v>
      </c>
      <c r="F9" s="182">
        <f t="shared" si="0"/>
        <v>5</v>
      </c>
      <c r="G9" s="187">
        <f t="shared" si="1"/>
        <v>1.2</v>
      </c>
    </row>
    <row r="10" spans="1:14" x14ac:dyDescent="0.35">
      <c r="A10" s="182">
        <v>4</v>
      </c>
      <c r="B10" s="189" t="s">
        <v>888</v>
      </c>
      <c r="C10" s="184" t="s">
        <v>30</v>
      </c>
      <c r="D10" s="184">
        <v>25</v>
      </c>
      <c r="E10" s="191">
        <v>40</v>
      </c>
      <c r="F10" s="182">
        <f t="shared" si="0"/>
        <v>15</v>
      </c>
      <c r="G10" s="187">
        <f t="shared" si="1"/>
        <v>1.6</v>
      </c>
    </row>
    <row r="11" spans="1:14" x14ac:dyDescent="0.35">
      <c r="A11" s="182">
        <v>5</v>
      </c>
      <c r="B11" s="189" t="s">
        <v>889</v>
      </c>
      <c r="C11" s="184" t="s">
        <v>30</v>
      </c>
      <c r="D11" s="184">
        <v>25</v>
      </c>
      <c r="E11" s="191">
        <v>5</v>
      </c>
      <c r="F11" s="182">
        <f t="shared" si="0"/>
        <v>-20</v>
      </c>
      <c r="G11" s="187">
        <f t="shared" si="1"/>
        <v>0.2</v>
      </c>
    </row>
    <row r="12" spans="1:14" x14ac:dyDescent="0.35">
      <c r="A12" s="182">
        <v>6</v>
      </c>
      <c r="B12" s="189" t="s">
        <v>890</v>
      </c>
      <c r="C12" s="184" t="s">
        <v>30</v>
      </c>
      <c r="D12" s="184">
        <v>25</v>
      </c>
      <c r="E12" s="191">
        <v>9</v>
      </c>
      <c r="F12" s="182">
        <f t="shared" si="0"/>
        <v>-16</v>
      </c>
      <c r="G12" s="187">
        <f t="shared" si="1"/>
        <v>0.36</v>
      </c>
    </row>
    <row r="13" spans="1:14" x14ac:dyDescent="0.35">
      <c r="A13" s="182">
        <v>7</v>
      </c>
      <c r="B13" s="189" t="s">
        <v>891</v>
      </c>
      <c r="C13" s="184" t="s">
        <v>30</v>
      </c>
      <c r="D13" s="184">
        <v>25</v>
      </c>
      <c r="E13" s="191">
        <v>35</v>
      </c>
      <c r="F13" s="182">
        <f t="shared" si="0"/>
        <v>10</v>
      </c>
      <c r="G13" s="187">
        <f t="shared" si="1"/>
        <v>1.4</v>
      </c>
    </row>
    <row r="14" spans="1:14" x14ac:dyDescent="0.35">
      <c r="A14" s="182">
        <v>8</v>
      </c>
      <c r="B14" s="189" t="s">
        <v>892</v>
      </c>
      <c r="C14" s="184" t="s">
        <v>30</v>
      </c>
      <c r="D14" s="184">
        <v>25</v>
      </c>
      <c r="E14" s="191">
        <v>5</v>
      </c>
      <c r="F14" s="182">
        <f t="shared" si="0"/>
        <v>-20</v>
      </c>
      <c r="G14" s="187">
        <f t="shared" si="1"/>
        <v>0.2</v>
      </c>
    </row>
    <row r="15" spans="1:14" x14ac:dyDescent="0.35">
      <c r="A15" s="182">
        <v>9</v>
      </c>
      <c r="B15" s="189" t="s">
        <v>893</v>
      </c>
      <c r="C15" s="184" t="s">
        <v>28</v>
      </c>
      <c r="D15" s="184">
        <v>35</v>
      </c>
      <c r="E15" s="184">
        <v>0</v>
      </c>
      <c r="F15" s="182">
        <f t="shared" si="0"/>
        <v>-35</v>
      </c>
      <c r="G15" s="187">
        <f t="shared" si="1"/>
        <v>0</v>
      </c>
    </row>
    <row r="16" spans="1:14" x14ac:dyDescent="0.35">
      <c r="A16" s="182">
        <v>10</v>
      </c>
      <c r="B16" s="189" t="s">
        <v>894</v>
      </c>
      <c r="C16" s="184" t="s">
        <v>30</v>
      </c>
      <c r="D16" s="184">
        <v>25</v>
      </c>
      <c r="E16" s="191">
        <v>13</v>
      </c>
      <c r="F16" s="182">
        <f t="shared" si="0"/>
        <v>-12</v>
      </c>
      <c r="G16" s="187">
        <f t="shared" si="1"/>
        <v>0.52</v>
      </c>
    </row>
    <row r="17" spans="1:7" x14ac:dyDescent="0.35">
      <c r="A17" s="182">
        <v>11</v>
      </c>
      <c r="B17" s="189" t="s">
        <v>895</v>
      </c>
      <c r="C17" s="184" t="s">
        <v>30</v>
      </c>
      <c r="D17" s="184">
        <v>25</v>
      </c>
      <c r="E17" s="191">
        <v>31</v>
      </c>
      <c r="F17" s="182">
        <f t="shared" si="0"/>
        <v>6</v>
      </c>
      <c r="G17" s="187">
        <f t="shared" si="1"/>
        <v>1.24</v>
      </c>
    </row>
    <row r="18" spans="1:7" x14ac:dyDescent="0.35">
      <c r="A18" s="182">
        <v>12</v>
      </c>
      <c r="B18" s="189" t="s">
        <v>896</v>
      </c>
      <c r="C18" s="184" t="s">
        <v>30</v>
      </c>
      <c r="D18" s="184">
        <v>25</v>
      </c>
      <c r="E18" s="191">
        <v>22</v>
      </c>
      <c r="F18" s="182">
        <f t="shared" si="0"/>
        <v>-3</v>
      </c>
      <c r="G18" s="187">
        <f t="shared" si="1"/>
        <v>0.88</v>
      </c>
    </row>
    <row r="19" spans="1:7" x14ac:dyDescent="0.35">
      <c r="A19" s="182">
        <v>13</v>
      </c>
      <c r="B19" s="189" t="s">
        <v>897</v>
      </c>
      <c r="C19" s="184" t="s">
        <v>30</v>
      </c>
      <c r="D19" s="184">
        <v>25</v>
      </c>
      <c r="E19" s="191">
        <v>19</v>
      </c>
      <c r="F19" s="182">
        <f t="shared" si="0"/>
        <v>-6</v>
      </c>
      <c r="G19" s="187">
        <f t="shared" si="1"/>
        <v>0.76</v>
      </c>
    </row>
    <row r="20" spans="1:7" x14ac:dyDescent="0.35">
      <c r="A20" s="182">
        <v>14</v>
      </c>
      <c r="B20" s="189" t="s">
        <v>898</v>
      </c>
      <c r="C20" s="184" t="s">
        <v>30</v>
      </c>
      <c r="D20" s="184">
        <v>25</v>
      </c>
      <c r="E20" s="191">
        <v>21</v>
      </c>
      <c r="F20" s="182">
        <f t="shared" si="0"/>
        <v>-4</v>
      </c>
      <c r="G20" s="187">
        <f t="shared" si="1"/>
        <v>0.84</v>
      </c>
    </row>
    <row r="21" spans="1:7" x14ac:dyDescent="0.35">
      <c r="A21" s="182">
        <v>15</v>
      </c>
      <c r="B21" s="189" t="s">
        <v>899</v>
      </c>
      <c r="C21" s="184" t="s">
        <v>30</v>
      </c>
      <c r="D21" s="184">
        <v>25</v>
      </c>
      <c r="E21" s="191">
        <v>26</v>
      </c>
      <c r="F21" s="182">
        <f t="shared" si="0"/>
        <v>1</v>
      </c>
      <c r="G21" s="187">
        <f t="shared" si="1"/>
        <v>1.04</v>
      </c>
    </row>
    <row r="22" spans="1:7" x14ac:dyDescent="0.35">
      <c r="A22" s="182">
        <v>16</v>
      </c>
      <c r="B22" s="189" t="s">
        <v>900</v>
      </c>
      <c r="C22" s="184" t="s">
        <v>28</v>
      </c>
      <c r="D22" s="184">
        <v>35</v>
      </c>
      <c r="E22" s="184">
        <v>0</v>
      </c>
      <c r="F22" s="182">
        <f t="shared" si="0"/>
        <v>-35</v>
      </c>
      <c r="G22" s="187">
        <f t="shared" si="1"/>
        <v>0</v>
      </c>
    </row>
    <row r="23" spans="1:7" x14ac:dyDescent="0.35">
      <c r="A23" s="182">
        <v>17</v>
      </c>
      <c r="B23" s="189" t="s">
        <v>901</v>
      </c>
      <c r="C23" s="184" t="s">
        <v>30</v>
      </c>
      <c r="D23" s="184">
        <v>25</v>
      </c>
      <c r="E23" s="191">
        <v>24</v>
      </c>
      <c r="F23" s="182">
        <f t="shared" si="0"/>
        <v>-1</v>
      </c>
      <c r="G23" s="187">
        <f t="shared" si="1"/>
        <v>0.96</v>
      </c>
    </row>
    <row r="24" spans="1:7" x14ac:dyDescent="0.35">
      <c r="A24" s="182">
        <v>18</v>
      </c>
      <c r="B24" s="189" t="s">
        <v>902</v>
      </c>
      <c r="C24" s="184" t="s">
        <v>30</v>
      </c>
      <c r="D24" s="184">
        <v>25</v>
      </c>
      <c r="E24" s="191">
        <v>11</v>
      </c>
      <c r="F24" s="182">
        <f t="shared" si="0"/>
        <v>-14</v>
      </c>
      <c r="G24" s="187">
        <f t="shared" si="1"/>
        <v>0.44</v>
      </c>
    </row>
    <row r="25" spans="1:7" x14ac:dyDescent="0.35">
      <c r="A25" s="182">
        <v>19</v>
      </c>
      <c r="B25" s="189" t="s">
        <v>903</v>
      </c>
      <c r="C25" s="184" t="s">
        <v>30</v>
      </c>
      <c r="D25" s="184">
        <v>25</v>
      </c>
      <c r="E25" s="191">
        <v>3</v>
      </c>
      <c r="F25" s="182">
        <f t="shared" si="0"/>
        <v>-22</v>
      </c>
      <c r="G25" s="187">
        <f t="shared" si="1"/>
        <v>0.12</v>
      </c>
    </row>
    <row r="26" spans="1:7" x14ac:dyDescent="0.35">
      <c r="A26" s="182">
        <v>20</v>
      </c>
      <c r="B26" s="189" t="s">
        <v>904</v>
      </c>
      <c r="C26" s="184" t="s">
        <v>30</v>
      </c>
      <c r="D26" s="184">
        <v>25</v>
      </c>
      <c r="E26" s="191">
        <v>11</v>
      </c>
      <c r="F26" s="182">
        <f t="shared" si="0"/>
        <v>-14</v>
      </c>
      <c r="G26" s="187">
        <f t="shared" si="1"/>
        <v>0.44</v>
      </c>
    </row>
    <row r="27" spans="1:7" x14ac:dyDescent="0.35">
      <c r="A27" s="182">
        <v>21</v>
      </c>
      <c r="B27" s="189" t="s">
        <v>905</v>
      </c>
      <c r="C27" s="184" t="s">
        <v>30</v>
      </c>
      <c r="D27" s="184">
        <v>25</v>
      </c>
      <c r="E27" s="191">
        <v>14</v>
      </c>
      <c r="F27" s="182">
        <f t="shared" si="0"/>
        <v>-11</v>
      </c>
      <c r="G27" s="187">
        <f t="shared" si="1"/>
        <v>0.56000000000000005</v>
      </c>
    </row>
    <row r="28" spans="1:7" x14ac:dyDescent="0.35">
      <c r="A28" s="182"/>
      <c r="B28" s="182" t="s">
        <v>34</v>
      </c>
      <c r="C28" s="182"/>
      <c r="D28" s="182">
        <v>530</v>
      </c>
      <c r="E28" s="182">
        <f>SUM(E7:E27)</f>
        <v>342</v>
      </c>
      <c r="F28" s="182">
        <f t="shared" si="0"/>
        <v>-188</v>
      </c>
      <c r="G28" s="187">
        <f t="shared" si="1"/>
        <v>0.6452830188679245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F67E-6404-42D6-BAAE-A476983322BE}">
  <dimension ref="A1:G11"/>
  <sheetViews>
    <sheetView workbookViewId="0">
      <selection activeCell="C4" sqref="C4:G4"/>
    </sheetView>
  </sheetViews>
  <sheetFormatPr defaultRowHeight="14.5" x14ac:dyDescent="0.35"/>
  <cols>
    <col min="1" max="1" width="4.1796875" customWidth="1"/>
    <col min="2" max="2" width="33.7265625" customWidth="1"/>
    <col min="7" max="7" width="8.7265625" style="6"/>
  </cols>
  <sheetData>
    <row r="1" spans="1:7" x14ac:dyDescent="0.35">
      <c r="A1" s="188"/>
      <c r="B1" s="5" t="s">
        <v>16</v>
      </c>
      <c r="C1" s="188"/>
      <c r="D1" s="188"/>
      <c r="E1" s="188"/>
      <c r="F1" s="188"/>
    </row>
    <row r="2" spans="1:7" x14ac:dyDescent="0.35">
      <c r="A2" s="188"/>
      <c r="B2" s="5" t="s">
        <v>859</v>
      </c>
      <c r="C2" s="188"/>
      <c r="D2" s="188"/>
      <c r="E2" s="188"/>
      <c r="F2" s="188"/>
    </row>
    <row r="3" spans="1:7" x14ac:dyDescent="0.35">
      <c r="A3" s="188"/>
      <c r="B3" s="188"/>
      <c r="C3" s="188"/>
      <c r="D3" s="188"/>
      <c r="E3" s="188"/>
      <c r="F3" s="188"/>
    </row>
    <row r="4" spans="1:7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</row>
    <row r="5" spans="1:7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85" t="s">
        <v>6</v>
      </c>
    </row>
    <row r="6" spans="1:7" x14ac:dyDescent="0.35">
      <c r="A6" s="168"/>
      <c r="B6" s="169"/>
      <c r="C6" s="170"/>
      <c r="D6" s="170"/>
      <c r="E6" s="170"/>
      <c r="F6" s="170"/>
      <c r="G6" s="186"/>
    </row>
    <row r="7" spans="1:7" x14ac:dyDescent="0.35">
      <c r="A7" s="182">
        <v>1</v>
      </c>
      <c r="B7" s="193" t="s">
        <v>909</v>
      </c>
      <c r="C7" s="184" t="s">
        <v>28</v>
      </c>
      <c r="D7" s="184">
        <v>35</v>
      </c>
      <c r="E7" s="194">
        <v>0</v>
      </c>
      <c r="F7" s="182">
        <f>E7-D7</f>
        <v>-35</v>
      </c>
      <c r="G7" s="187">
        <f>E7/D7*100%</f>
        <v>0</v>
      </c>
    </row>
    <row r="8" spans="1:7" x14ac:dyDescent="0.35">
      <c r="A8" s="182">
        <v>2</v>
      </c>
      <c r="B8" s="195" t="s">
        <v>910</v>
      </c>
      <c r="C8" s="184" t="s">
        <v>30</v>
      </c>
      <c r="D8" s="184">
        <v>25</v>
      </c>
      <c r="E8" s="194">
        <v>44</v>
      </c>
      <c r="F8" s="182">
        <f t="shared" ref="F8:F11" si="0">E8-D8</f>
        <v>19</v>
      </c>
      <c r="G8" s="187">
        <f t="shared" ref="G8:G11" si="1">E8/D8*100%</f>
        <v>1.76</v>
      </c>
    </row>
    <row r="9" spans="1:7" x14ac:dyDescent="0.35">
      <c r="A9" s="182">
        <v>3</v>
      </c>
      <c r="B9" s="195" t="s">
        <v>911</v>
      </c>
      <c r="C9" s="184" t="s">
        <v>30</v>
      </c>
      <c r="D9" s="184">
        <v>25</v>
      </c>
      <c r="E9" s="194">
        <v>32</v>
      </c>
      <c r="F9" s="182">
        <f t="shared" si="0"/>
        <v>7</v>
      </c>
      <c r="G9" s="187">
        <f t="shared" si="1"/>
        <v>1.28</v>
      </c>
    </row>
    <row r="10" spans="1:7" x14ac:dyDescent="0.35">
      <c r="A10" s="182">
        <v>4</v>
      </c>
      <c r="B10" s="195" t="s">
        <v>912</v>
      </c>
      <c r="C10" s="184" t="s">
        <v>30</v>
      </c>
      <c r="D10" s="184">
        <v>25</v>
      </c>
      <c r="E10" s="194">
        <v>6</v>
      </c>
      <c r="F10" s="182">
        <f t="shared" si="0"/>
        <v>-19</v>
      </c>
      <c r="G10" s="187">
        <f t="shared" si="1"/>
        <v>0.24</v>
      </c>
    </row>
    <row r="11" spans="1:7" x14ac:dyDescent="0.35">
      <c r="A11" s="182"/>
      <c r="B11" s="182" t="s">
        <v>34</v>
      </c>
      <c r="C11" s="182"/>
      <c r="D11" s="182">
        <v>150</v>
      </c>
      <c r="E11" s="182">
        <f>SUM(E7:E10)</f>
        <v>82</v>
      </c>
      <c r="F11" s="182">
        <f t="shared" si="0"/>
        <v>-68</v>
      </c>
      <c r="G11" s="187">
        <f t="shared" si="1"/>
        <v>0.54666666666666663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6874-E918-4663-AE72-5CF8A6525461}">
  <dimension ref="A1:G12"/>
  <sheetViews>
    <sheetView workbookViewId="0">
      <selection activeCell="C4" sqref="C4:G4"/>
    </sheetView>
  </sheetViews>
  <sheetFormatPr defaultRowHeight="14.5" x14ac:dyDescent="0.35"/>
  <cols>
    <col min="1" max="1" width="6.36328125" customWidth="1"/>
    <col min="2" max="2" width="35" customWidth="1"/>
    <col min="7" max="7" width="8.7265625" style="6"/>
  </cols>
  <sheetData>
    <row r="1" spans="1:7" x14ac:dyDescent="0.35">
      <c r="A1" s="192"/>
      <c r="B1" s="5" t="s">
        <v>16</v>
      </c>
      <c r="C1" s="192"/>
      <c r="D1" s="192"/>
      <c r="E1" s="192"/>
      <c r="F1" s="192"/>
    </row>
    <row r="2" spans="1:7" x14ac:dyDescent="0.35">
      <c r="A2" s="192"/>
      <c r="B2" s="5" t="s">
        <v>859</v>
      </c>
      <c r="C2" s="192"/>
      <c r="D2" s="192"/>
      <c r="E2" s="192"/>
      <c r="F2" s="192"/>
    </row>
    <row r="3" spans="1:7" x14ac:dyDescent="0.35">
      <c r="A3" s="192"/>
      <c r="B3" s="192"/>
      <c r="C3" s="192"/>
      <c r="D3" s="192"/>
      <c r="E3" s="192"/>
      <c r="F3" s="192"/>
    </row>
    <row r="4" spans="1:7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</row>
    <row r="5" spans="1:7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85" t="s">
        <v>6</v>
      </c>
    </row>
    <row r="6" spans="1:7" x14ac:dyDescent="0.35">
      <c r="A6" s="168"/>
      <c r="B6" s="169"/>
      <c r="C6" s="170"/>
      <c r="D6" s="170"/>
      <c r="E6" s="170"/>
      <c r="F6" s="170"/>
      <c r="G6" s="186"/>
    </row>
    <row r="7" spans="1:7" x14ac:dyDescent="0.35">
      <c r="A7" s="182">
        <v>1</v>
      </c>
      <c r="B7" s="197" t="s">
        <v>913</v>
      </c>
      <c r="C7" s="184" t="s">
        <v>30</v>
      </c>
      <c r="D7" s="184">
        <v>25</v>
      </c>
      <c r="E7" s="198">
        <v>4</v>
      </c>
      <c r="F7" s="182">
        <f>E7-D7</f>
        <v>-21</v>
      </c>
      <c r="G7" s="187">
        <f>E7/D7*100%</f>
        <v>0.16</v>
      </c>
    </row>
    <row r="8" spans="1:7" x14ac:dyDescent="0.35">
      <c r="A8" s="182">
        <v>2</v>
      </c>
      <c r="B8" s="199" t="s">
        <v>914</v>
      </c>
      <c r="C8" s="184" t="s">
        <v>30</v>
      </c>
      <c r="D8" s="184">
        <v>25</v>
      </c>
      <c r="E8" s="198">
        <v>1</v>
      </c>
      <c r="F8" s="182">
        <f t="shared" ref="F8:F12" si="0">E8-D8</f>
        <v>-24</v>
      </c>
      <c r="G8" s="187">
        <f t="shared" ref="G8:G12" si="1">E8/D8*100%</f>
        <v>0.04</v>
      </c>
    </row>
    <row r="9" spans="1:7" x14ac:dyDescent="0.35">
      <c r="A9" s="182">
        <v>3</v>
      </c>
      <c r="B9" s="197" t="s">
        <v>915</v>
      </c>
      <c r="C9" s="184" t="s">
        <v>30</v>
      </c>
      <c r="D9" s="184">
        <v>25</v>
      </c>
      <c r="E9" s="198">
        <v>3</v>
      </c>
      <c r="F9" s="182">
        <f t="shared" si="0"/>
        <v>-22</v>
      </c>
      <c r="G9" s="187">
        <f t="shared" si="1"/>
        <v>0.12</v>
      </c>
    </row>
    <row r="10" spans="1:7" x14ac:dyDescent="0.35">
      <c r="A10" s="182">
        <v>4</v>
      </c>
      <c r="B10" s="197" t="s">
        <v>916</v>
      </c>
      <c r="C10" s="184" t="s">
        <v>30</v>
      </c>
      <c r="D10" s="184">
        <v>25</v>
      </c>
      <c r="E10" s="198">
        <v>6</v>
      </c>
      <c r="F10" s="182">
        <f t="shared" si="0"/>
        <v>-19</v>
      </c>
      <c r="G10" s="187">
        <f t="shared" si="1"/>
        <v>0.24</v>
      </c>
    </row>
    <row r="11" spans="1:7" x14ac:dyDescent="0.35">
      <c r="A11" s="182">
        <v>5</v>
      </c>
      <c r="B11" s="197" t="s">
        <v>917</v>
      </c>
      <c r="C11" s="184" t="s">
        <v>30</v>
      </c>
      <c r="D11" s="184">
        <v>25</v>
      </c>
      <c r="E11" s="198">
        <v>2</v>
      </c>
      <c r="F11" s="182">
        <f t="shared" si="0"/>
        <v>-23</v>
      </c>
      <c r="G11" s="187">
        <f t="shared" si="1"/>
        <v>0.08</v>
      </c>
    </row>
    <row r="12" spans="1:7" x14ac:dyDescent="0.35">
      <c r="A12" s="182"/>
      <c r="B12" s="182" t="s">
        <v>34</v>
      </c>
      <c r="C12" s="182"/>
      <c r="D12" s="182">
        <v>125</v>
      </c>
      <c r="E12" s="182">
        <f>SUM(E7:E11)</f>
        <v>16</v>
      </c>
      <c r="F12" s="182">
        <f t="shared" si="0"/>
        <v>-109</v>
      </c>
      <c r="G12" s="187">
        <f t="shared" si="1"/>
        <v>0.128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E0E2-416C-4090-9A47-49CBA2714ABD}">
  <dimension ref="A1:N31"/>
  <sheetViews>
    <sheetView workbookViewId="0">
      <selection activeCell="C4" sqref="C4:G4"/>
    </sheetView>
  </sheetViews>
  <sheetFormatPr defaultRowHeight="14.5" x14ac:dyDescent="0.35"/>
  <cols>
    <col min="1" max="1" width="4.36328125" customWidth="1"/>
    <col min="2" max="2" width="38.1796875" customWidth="1"/>
    <col min="7" max="7" width="8.7265625" style="6"/>
    <col min="9" max="9" width="5.54296875" customWidth="1"/>
    <col min="10" max="10" width="16.453125" customWidth="1"/>
  </cols>
  <sheetData>
    <row r="1" spans="1:14" x14ac:dyDescent="0.35">
      <c r="B1" s="5" t="s">
        <v>16</v>
      </c>
    </row>
    <row r="2" spans="1:14" x14ac:dyDescent="0.35">
      <c r="B2" s="5" t="s">
        <v>83</v>
      </c>
    </row>
    <row r="3" spans="1:14" x14ac:dyDescent="0.35">
      <c r="B3" s="5" t="s">
        <v>683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47">
        <v>1</v>
      </c>
      <c r="J5" s="47" t="s">
        <v>708</v>
      </c>
      <c r="K5" s="47">
        <v>7</v>
      </c>
      <c r="L5" s="47">
        <v>190</v>
      </c>
      <c r="M5" s="47">
        <v>128</v>
      </c>
      <c r="N5" s="48">
        <f>M5/L5*100%</f>
        <v>0.67368421052631577</v>
      </c>
    </row>
    <row r="6" spans="1:14" x14ac:dyDescent="0.35">
      <c r="A6" s="158"/>
      <c r="B6" s="159"/>
      <c r="C6" s="163"/>
      <c r="D6" s="163"/>
      <c r="E6" s="163"/>
      <c r="F6" s="163"/>
      <c r="G6" s="165"/>
      <c r="I6" s="47">
        <v>2</v>
      </c>
      <c r="J6" s="47" t="s">
        <v>709</v>
      </c>
      <c r="K6" s="47">
        <v>7</v>
      </c>
      <c r="L6" s="47">
        <v>190</v>
      </c>
      <c r="M6" s="47">
        <v>175</v>
      </c>
      <c r="N6" s="48">
        <f t="shared" ref="N6:N7" si="0">M6/L6*100%</f>
        <v>0.92105263157894735</v>
      </c>
    </row>
    <row r="7" spans="1:14" x14ac:dyDescent="0.35">
      <c r="A7" s="31">
        <v>1</v>
      </c>
      <c r="B7" s="142" t="s">
        <v>684</v>
      </c>
      <c r="C7" s="143" t="s">
        <v>28</v>
      </c>
      <c r="D7" s="143">
        <v>35</v>
      </c>
      <c r="E7" s="143">
        <v>0</v>
      </c>
      <c r="F7" s="31">
        <f>E7-D7</f>
        <v>-35</v>
      </c>
      <c r="G7" s="35">
        <f>E7/D7*100%</f>
        <v>0</v>
      </c>
      <c r="I7" s="47">
        <v>3</v>
      </c>
      <c r="J7" s="47" t="s">
        <v>710</v>
      </c>
      <c r="K7" s="47">
        <v>7</v>
      </c>
      <c r="L7" s="47">
        <v>190</v>
      </c>
      <c r="M7" s="47">
        <v>132</v>
      </c>
      <c r="N7" s="48">
        <f t="shared" si="0"/>
        <v>0.69473684210526321</v>
      </c>
    </row>
    <row r="8" spans="1:14" x14ac:dyDescent="0.35">
      <c r="A8" s="31">
        <v>2</v>
      </c>
      <c r="B8" s="142" t="s">
        <v>685</v>
      </c>
      <c r="C8" s="143" t="s">
        <v>30</v>
      </c>
      <c r="D8" s="143">
        <v>25</v>
      </c>
      <c r="E8" s="143">
        <v>17</v>
      </c>
      <c r="F8" s="31">
        <f t="shared" ref="F8:F31" si="1">E8-D8</f>
        <v>-8</v>
      </c>
      <c r="G8" s="35">
        <f t="shared" ref="G8:G31" si="2">E8/D8*100%</f>
        <v>0.68</v>
      </c>
    </row>
    <row r="9" spans="1:14" x14ac:dyDescent="0.35">
      <c r="A9" s="31">
        <v>3</v>
      </c>
      <c r="B9" s="142" t="s">
        <v>686</v>
      </c>
      <c r="C9" s="143" t="s">
        <v>30</v>
      </c>
      <c r="D9" s="143">
        <v>25</v>
      </c>
      <c r="E9" s="143">
        <v>14</v>
      </c>
      <c r="F9" s="31">
        <f t="shared" si="1"/>
        <v>-11</v>
      </c>
      <c r="G9" s="35">
        <f t="shared" si="2"/>
        <v>0.56000000000000005</v>
      </c>
    </row>
    <row r="10" spans="1:14" x14ac:dyDescent="0.35">
      <c r="A10" s="31">
        <v>4</v>
      </c>
      <c r="B10" s="142" t="s">
        <v>687</v>
      </c>
      <c r="C10" s="143" t="s">
        <v>30</v>
      </c>
      <c r="D10" s="143">
        <v>25</v>
      </c>
      <c r="E10" s="143">
        <v>5</v>
      </c>
      <c r="F10" s="31">
        <f t="shared" si="1"/>
        <v>-20</v>
      </c>
      <c r="G10" s="35">
        <f t="shared" si="2"/>
        <v>0.2</v>
      </c>
    </row>
    <row r="11" spans="1:14" x14ac:dyDescent="0.35">
      <c r="A11" s="31">
        <v>5</v>
      </c>
      <c r="B11" s="142" t="s">
        <v>688</v>
      </c>
      <c r="C11" s="143" t="s">
        <v>30</v>
      </c>
      <c r="D11" s="143">
        <v>25</v>
      </c>
      <c r="E11" s="143">
        <v>28</v>
      </c>
      <c r="F11" s="31">
        <f t="shared" si="1"/>
        <v>3</v>
      </c>
      <c r="G11" s="35">
        <f t="shared" si="2"/>
        <v>1.1200000000000001</v>
      </c>
    </row>
    <row r="12" spans="1:14" x14ac:dyDescent="0.35">
      <c r="A12" s="31">
        <v>6</v>
      </c>
      <c r="B12" s="142" t="s">
        <v>689</v>
      </c>
      <c r="C12" s="143" t="s">
        <v>30</v>
      </c>
      <c r="D12" s="143">
        <v>25</v>
      </c>
      <c r="E12" s="143">
        <v>32</v>
      </c>
      <c r="F12" s="31">
        <f t="shared" si="1"/>
        <v>7</v>
      </c>
      <c r="G12" s="35">
        <f t="shared" si="2"/>
        <v>1.28</v>
      </c>
    </row>
    <row r="13" spans="1:14" x14ac:dyDescent="0.35">
      <c r="A13" s="31">
        <v>7</v>
      </c>
      <c r="B13" s="142" t="s">
        <v>690</v>
      </c>
      <c r="C13" s="143" t="s">
        <v>30</v>
      </c>
      <c r="D13" s="143">
        <v>25</v>
      </c>
      <c r="E13" s="143">
        <v>21</v>
      </c>
      <c r="F13" s="31">
        <f t="shared" si="1"/>
        <v>-4</v>
      </c>
      <c r="G13" s="35">
        <f t="shared" si="2"/>
        <v>0.84</v>
      </c>
    </row>
    <row r="14" spans="1:14" x14ac:dyDescent="0.35">
      <c r="A14" s="31">
        <v>8</v>
      </c>
      <c r="B14" s="142" t="s">
        <v>691</v>
      </c>
      <c r="C14" s="143" t="s">
        <v>30</v>
      </c>
      <c r="D14" s="143">
        <v>25</v>
      </c>
      <c r="E14" s="143">
        <v>11</v>
      </c>
      <c r="F14" s="31">
        <f t="shared" si="1"/>
        <v>-14</v>
      </c>
      <c r="G14" s="35">
        <f t="shared" si="2"/>
        <v>0.44</v>
      </c>
    </row>
    <row r="15" spans="1:14" x14ac:dyDescent="0.35">
      <c r="A15" s="31">
        <v>9</v>
      </c>
      <c r="B15" s="142" t="s">
        <v>692</v>
      </c>
      <c r="C15" s="143" t="s">
        <v>28</v>
      </c>
      <c r="D15" s="143">
        <v>35</v>
      </c>
      <c r="E15" s="143">
        <v>0</v>
      </c>
      <c r="F15" s="31">
        <f t="shared" si="1"/>
        <v>-35</v>
      </c>
      <c r="G15" s="35">
        <f t="shared" si="2"/>
        <v>0</v>
      </c>
    </row>
    <row r="16" spans="1:14" x14ac:dyDescent="0.35">
      <c r="A16" s="31">
        <v>10</v>
      </c>
      <c r="B16" s="142" t="s">
        <v>693</v>
      </c>
      <c r="C16" s="143" t="s">
        <v>30</v>
      </c>
      <c r="D16" s="143">
        <v>25</v>
      </c>
      <c r="E16" s="143">
        <v>16</v>
      </c>
      <c r="F16" s="31">
        <f t="shared" si="1"/>
        <v>-9</v>
      </c>
      <c r="G16" s="35">
        <f t="shared" si="2"/>
        <v>0.64</v>
      </c>
    </row>
    <row r="17" spans="1:7" x14ac:dyDescent="0.35">
      <c r="A17" s="31">
        <v>11</v>
      </c>
      <c r="B17" s="142" t="s">
        <v>694</v>
      </c>
      <c r="C17" s="143" t="s">
        <v>30</v>
      </c>
      <c r="D17" s="143">
        <v>25</v>
      </c>
      <c r="E17" s="143">
        <v>10</v>
      </c>
      <c r="F17" s="31">
        <f t="shared" si="1"/>
        <v>-15</v>
      </c>
      <c r="G17" s="35">
        <f t="shared" si="2"/>
        <v>0.4</v>
      </c>
    </row>
    <row r="18" spans="1:7" x14ac:dyDescent="0.35">
      <c r="A18" s="31">
        <v>12</v>
      </c>
      <c r="B18" s="142" t="s">
        <v>695</v>
      </c>
      <c r="C18" s="143" t="s">
        <v>30</v>
      </c>
      <c r="D18" s="143">
        <v>25</v>
      </c>
      <c r="E18" s="143">
        <v>21</v>
      </c>
      <c r="F18" s="31">
        <f t="shared" si="1"/>
        <v>-4</v>
      </c>
      <c r="G18" s="35">
        <f t="shared" si="2"/>
        <v>0.84</v>
      </c>
    </row>
    <row r="19" spans="1:7" x14ac:dyDescent="0.35">
      <c r="A19" s="31">
        <v>13</v>
      </c>
      <c r="B19" s="142" t="s">
        <v>696</v>
      </c>
      <c r="C19" s="143" t="s">
        <v>30</v>
      </c>
      <c r="D19" s="143">
        <v>25</v>
      </c>
      <c r="E19" s="143">
        <v>26</v>
      </c>
      <c r="F19" s="31">
        <f t="shared" si="1"/>
        <v>1</v>
      </c>
      <c r="G19" s="35">
        <f t="shared" si="2"/>
        <v>1.04</v>
      </c>
    </row>
    <row r="20" spans="1:7" x14ac:dyDescent="0.35">
      <c r="A20" s="31">
        <v>14</v>
      </c>
      <c r="B20" s="142" t="s">
        <v>697</v>
      </c>
      <c r="C20" s="143" t="s">
        <v>30</v>
      </c>
      <c r="D20" s="143">
        <v>25</v>
      </c>
      <c r="E20" s="143">
        <v>18</v>
      </c>
      <c r="F20" s="31">
        <f t="shared" si="1"/>
        <v>-7</v>
      </c>
      <c r="G20" s="35">
        <f t="shared" si="2"/>
        <v>0.72</v>
      </c>
    </row>
    <row r="21" spans="1:7" x14ac:dyDescent="0.35">
      <c r="A21" s="31">
        <v>15</v>
      </c>
      <c r="B21" s="142" t="s">
        <v>698</v>
      </c>
      <c r="C21" s="143" t="s">
        <v>30</v>
      </c>
      <c r="D21" s="143">
        <v>25</v>
      </c>
      <c r="E21" s="143">
        <v>58</v>
      </c>
      <c r="F21" s="31">
        <f t="shared" si="1"/>
        <v>33</v>
      </c>
      <c r="G21" s="35">
        <f t="shared" si="2"/>
        <v>2.3199999999999998</v>
      </c>
    </row>
    <row r="22" spans="1:7" x14ac:dyDescent="0.35">
      <c r="A22" s="31">
        <v>16</v>
      </c>
      <c r="B22" s="142" t="s">
        <v>699</v>
      </c>
      <c r="C22" s="143" t="s">
        <v>30</v>
      </c>
      <c r="D22" s="143">
        <v>25</v>
      </c>
      <c r="E22" s="143">
        <v>26</v>
      </c>
      <c r="F22" s="31">
        <f t="shared" si="1"/>
        <v>1</v>
      </c>
      <c r="G22" s="35">
        <f t="shared" si="2"/>
        <v>1.04</v>
      </c>
    </row>
    <row r="23" spans="1:7" x14ac:dyDescent="0.35">
      <c r="A23" s="31">
        <v>17</v>
      </c>
      <c r="B23" s="142" t="s">
        <v>700</v>
      </c>
      <c r="C23" s="143" t="s">
        <v>28</v>
      </c>
      <c r="D23" s="143">
        <v>35</v>
      </c>
      <c r="E23" s="143">
        <v>0</v>
      </c>
      <c r="F23" s="31">
        <f t="shared" si="1"/>
        <v>-35</v>
      </c>
      <c r="G23" s="35">
        <f t="shared" si="2"/>
        <v>0</v>
      </c>
    </row>
    <row r="24" spans="1:7" x14ac:dyDescent="0.35">
      <c r="A24" s="31">
        <v>18</v>
      </c>
      <c r="B24" s="142" t="s">
        <v>701</v>
      </c>
      <c r="C24" s="143" t="s">
        <v>30</v>
      </c>
      <c r="D24" s="143">
        <v>25</v>
      </c>
      <c r="E24" s="143">
        <v>25</v>
      </c>
      <c r="F24" s="31">
        <f t="shared" si="1"/>
        <v>0</v>
      </c>
      <c r="G24" s="35">
        <f t="shared" si="2"/>
        <v>1</v>
      </c>
    </row>
    <row r="25" spans="1:7" x14ac:dyDescent="0.35">
      <c r="A25" s="31">
        <v>19</v>
      </c>
      <c r="B25" s="142" t="s">
        <v>702</v>
      </c>
      <c r="C25" s="143" t="s">
        <v>30</v>
      </c>
      <c r="D25" s="143">
        <v>25</v>
      </c>
      <c r="E25" s="143">
        <v>25</v>
      </c>
      <c r="F25" s="31">
        <f t="shared" si="1"/>
        <v>0</v>
      </c>
      <c r="G25" s="35">
        <f t="shared" si="2"/>
        <v>1</v>
      </c>
    </row>
    <row r="26" spans="1:7" x14ac:dyDescent="0.35">
      <c r="A26" s="31">
        <v>20</v>
      </c>
      <c r="B26" s="142" t="s">
        <v>703</v>
      </c>
      <c r="C26" s="143" t="s">
        <v>30</v>
      </c>
      <c r="D26" s="143">
        <v>25</v>
      </c>
      <c r="E26" s="143">
        <v>26</v>
      </c>
      <c r="F26" s="31">
        <f t="shared" si="1"/>
        <v>1</v>
      </c>
      <c r="G26" s="35">
        <f t="shared" si="2"/>
        <v>1.04</v>
      </c>
    </row>
    <row r="27" spans="1:7" x14ac:dyDescent="0.35">
      <c r="A27" s="31">
        <v>21</v>
      </c>
      <c r="B27" s="142" t="s">
        <v>704</v>
      </c>
      <c r="C27" s="143" t="s">
        <v>30</v>
      </c>
      <c r="D27" s="143">
        <v>25</v>
      </c>
      <c r="E27" s="143">
        <v>5</v>
      </c>
      <c r="F27" s="31">
        <f t="shared" si="1"/>
        <v>-20</v>
      </c>
      <c r="G27" s="35">
        <f t="shared" si="2"/>
        <v>0.2</v>
      </c>
    </row>
    <row r="28" spans="1:7" x14ac:dyDescent="0.35">
      <c r="A28" s="31">
        <v>22</v>
      </c>
      <c r="B28" s="142" t="s">
        <v>705</v>
      </c>
      <c r="C28" s="143" t="s">
        <v>30</v>
      </c>
      <c r="D28" s="143">
        <v>25</v>
      </c>
      <c r="E28" s="143">
        <v>17</v>
      </c>
      <c r="F28" s="31">
        <f t="shared" si="1"/>
        <v>-8</v>
      </c>
      <c r="G28" s="35">
        <f t="shared" si="2"/>
        <v>0.68</v>
      </c>
    </row>
    <row r="29" spans="1:7" x14ac:dyDescent="0.35">
      <c r="A29" s="31">
        <v>23</v>
      </c>
      <c r="B29" s="142" t="s">
        <v>706</v>
      </c>
      <c r="C29" s="143" t="s">
        <v>30</v>
      </c>
      <c r="D29" s="143">
        <v>25</v>
      </c>
      <c r="E29" s="143">
        <v>9</v>
      </c>
      <c r="F29" s="31">
        <f t="shared" si="1"/>
        <v>-16</v>
      </c>
      <c r="G29" s="35">
        <f t="shared" si="2"/>
        <v>0.36</v>
      </c>
    </row>
    <row r="30" spans="1:7" x14ac:dyDescent="0.35">
      <c r="A30" s="31">
        <v>24</v>
      </c>
      <c r="B30" s="142" t="s">
        <v>707</v>
      </c>
      <c r="C30" s="143" t="s">
        <v>30</v>
      </c>
      <c r="D30" s="143">
        <v>25</v>
      </c>
      <c r="E30" s="143">
        <v>25</v>
      </c>
      <c r="F30" s="31">
        <f t="shared" si="1"/>
        <v>0</v>
      </c>
      <c r="G30" s="35">
        <f t="shared" si="2"/>
        <v>1</v>
      </c>
    </row>
    <row r="31" spans="1:7" x14ac:dyDescent="0.35">
      <c r="A31" s="31"/>
      <c r="B31" s="31" t="s">
        <v>34</v>
      </c>
      <c r="C31" s="31"/>
      <c r="D31" s="31">
        <v>570</v>
      </c>
      <c r="E31" s="31">
        <f>SUM(E7:E30)</f>
        <v>435</v>
      </c>
      <c r="F31" s="31">
        <f t="shared" si="1"/>
        <v>-135</v>
      </c>
      <c r="G31" s="35">
        <f t="shared" si="2"/>
        <v>0.76315789473684215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BD1F-834C-4A34-B9A5-EF630FE00D11}">
  <dimension ref="A1:N18"/>
  <sheetViews>
    <sheetView workbookViewId="0">
      <selection activeCell="C4" sqref="C4:G4"/>
    </sheetView>
  </sheetViews>
  <sheetFormatPr defaultRowHeight="14.5" x14ac:dyDescent="0.35"/>
  <cols>
    <col min="1" max="1" width="3.7265625" customWidth="1"/>
    <col min="2" max="2" width="34.453125" customWidth="1"/>
    <col min="7" max="7" width="8.7265625" style="6"/>
    <col min="9" max="9" width="4.7265625" customWidth="1"/>
    <col min="10" max="11" width="12.7265625" customWidth="1"/>
  </cols>
  <sheetData>
    <row r="1" spans="1:14" x14ac:dyDescent="0.35">
      <c r="B1" s="5" t="s">
        <v>16</v>
      </c>
    </row>
    <row r="2" spans="1:14" x14ac:dyDescent="0.35">
      <c r="B2" s="5" t="s">
        <v>83</v>
      </c>
    </row>
    <row r="3" spans="1:14" x14ac:dyDescent="0.35">
      <c r="B3" s="5" t="s">
        <v>683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9">
        <v>1</v>
      </c>
      <c r="J5" s="9" t="s">
        <v>722</v>
      </c>
      <c r="K5" s="9">
        <v>5</v>
      </c>
      <c r="L5" s="9">
        <v>150</v>
      </c>
      <c r="M5" s="9">
        <v>72</v>
      </c>
      <c r="N5" s="11">
        <f>M5/L5*100%</f>
        <v>0.48</v>
      </c>
    </row>
    <row r="6" spans="1:14" x14ac:dyDescent="0.35">
      <c r="A6" s="158"/>
      <c r="B6" s="159"/>
      <c r="C6" s="163"/>
      <c r="D6" s="163"/>
      <c r="E6" s="163"/>
      <c r="F6" s="163"/>
      <c r="G6" s="165"/>
      <c r="I6" s="9">
        <v>2</v>
      </c>
      <c r="J6" s="9" t="s">
        <v>723</v>
      </c>
      <c r="K6" s="9">
        <v>5</v>
      </c>
      <c r="L6" s="9">
        <v>150</v>
      </c>
      <c r="M6" s="9">
        <v>66</v>
      </c>
      <c r="N6" s="11">
        <f>M6/L6*100%</f>
        <v>0.44</v>
      </c>
    </row>
    <row r="7" spans="1:14" x14ac:dyDescent="0.35">
      <c r="A7" s="65">
        <v>1</v>
      </c>
      <c r="B7" s="141" t="s">
        <v>711</v>
      </c>
      <c r="C7" s="140" t="s">
        <v>28</v>
      </c>
      <c r="D7" s="140">
        <v>35</v>
      </c>
      <c r="E7" s="140">
        <v>0</v>
      </c>
      <c r="F7" s="65">
        <f>E7-D7</f>
        <v>-35</v>
      </c>
      <c r="G7" s="114">
        <f>E7/D7*100%</f>
        <v>0</v>
      </c>
    </row>
    <row r="8" spans="1:14" x14ac:dyDescent="0.35">
      <c r="A8" s="65">
        <v>2</v>
      </c>
      <c r="B8" s="141" t="s">
        <v>712</v>
      </c>
      <c r="C8" s="140" t="s">
        <v>30</v>
      </c>
      <c r="D8" s="140">
        <v>25</v>
      </c>
      <c r="E8" s="140">
        <v>31</v>
      </c>
      <c r="F8" s="65">
        <f t="shared" ref="F8:F18" si="0">E8-D8</f>
        <v>6</v>
      </c>
      <c r="G8" s="114">
        <f t="shared" ref="G8:G18" si="1">E8/D8*100%</f>
        <v>1.24</v>
      </c>
    </row>
    <row r="9" spans="1:14" x14ac:dyDescent="0.35">
      <c r="A9" s="65">
        <v>3</v>
      </c>
      <c r="B9" s="141" t="s">
        <v>713</v>
      </c>
      <c r="C9" s="140" t="s">
        <v>30</v>
      </c>
      <c r="D9" s="140">
        <v>25</v>
      </c>
      <c r="E9" s="140">
        <v>23</v>
      </c>
      <c r="F9" s="65">
        <f t="shared" si="0"/>
        <v>-2</v>
      </c>
      <c r="G9" s="114">
        <f t="shared" si="1"/>
        <v>0.92</v>
      </c>
    </row>
    <row r="10" spans="1:14" x14ac:dyDescent="0.35">
      <c r="A10" s="65">
        <v>4</v>
      </c>
      <c r="B10" s="141" t="s">
        <v>714</v>
      </c>
      <c r="C10" s="140" t="s">
        <v>30</v>
      </c>
      <c r="D10" s="140">
        <v>25</v>
      </c>
      <c r="E10" s="140">
        <v>4</v>
      </c>
      <c r="F10" s="65">
        <f t="shared" si="0"/>
        <v>-21</v>
      </c>
      <c r="G10" s="114">
        <f t="shared" si="1"/>
        <v>0.16</v>
      </c>
    </row>
    <row r="11" spans="1:14" x14ac:dyDescent="0.35">
      <c r="A11" s="65">
        <v>5</v>
      </c>
      <c r="B11" s="141" t="s">
        <v>715</v>
      </c>
      <c r="C11" s="140" t="s">
        <v>30</v>
      </c>
      <c r="D11" s="140">
        <v>25</v>
      </c>
      <c r="E11" s="140">
        <v>9</v>
      </c>
      <c r="F11" s="65">
        <f t="shared" si="0"/>
        <v>-16</v>
      </c>
      <c r="G11" s="114">
        <f t="shared" si="1"/>
        <v>0.36</v>
      </c>
    </row>
    <row r="12" spans="1:14" x14ac:dyDescent="0.35">
      <c r="A12" s="65">
        <v>6</v>
      </c>
      <c r="B12" s="141" t="s">
        <v>716</v>
      </c>
      <c r="C12" s="140" t="s">
        <v>30</v>
      </c>
      <c r="D12" s="140">
        <v>25</v>
      </c>
      <c r="E12" s="140">
        <v>5</v>
      </c>
      <c r="F12" s="65">
        <f t="shared" si="0"/>
        <v>-20</v>
      </c>
      <c r="G12" s="114">
        <f t="shared" si="1"/>
        <v>0.2</v>
      </c>
    </row>
    <row r="13" spans="1:14" x14ac:dyDescent="0.35">
      <c r="A13" s="65">
        <v>7</v>
      </c>
      <c r="B13" s="141" t="s">
        <v>717</v>
      </c>
      <c r="C13" s="140" t="s">
        <v>28</v>
      </c>
      <c r="D13" s="140">
        <v>35</v>
      </c>
      <c r="E13" s="140">
        <v>2</v>
      </c>
      <c r="F13" s="65">
        <f t="shared" si="0"/>
        <v>-33</v>
      </c>
      <c r="G13" s="114">
        <f t="shared" si="1"/>
        <v>5.7142857142857141E-2</v>
      </c>
    </row>
    <row r="14" spans="1:14" x14ac:dyDescent="0.35">
      <c r="A14" s="65">
        <v>8</v>
      </c>
      <c r="B14" s="141" t="s">
        <v>718</v>
      </c>
      <c r="C14" s="140" t="s">
        <v>30</v>
      </c>
      <c r="D14" s="140">
        <v>25</v>
      </c>
      <c r="E14" s="140">
        <v>18</v>
      </c>
      <c r="F14" s="65">
        <f t="shared" si="0"/>
        <v>-7</v>
      </c>
      <c r="G14" s="114">
        <f t="shared" si="1"/>
        <v>0.72</v>
      </c>
    </row>
    <row r="15" spans="1:14" x14ac:dyDescent="0.35">
      <c r="A15" s="65">
        <v>9</v>
      </c>
      <c r="B15" s="141" t="s">
        <v>719</v>
      </c>
      <c r="C15" s="140" t="s">
        <v>30</v>
      </c>
      <c r="D15" s="140">
        <v>25</v>
      </c>
      <c r="E15" s="140">
        <v>23</v>
      </c>
      <c r="F15" s="65">
        <f t="shared" si="0"/>
        <v>-2</v>
      </c>
      <c r="G15" s="114">
        <f t="shared" si="1"/>
        <v>0.92</v>
      </c>
    </row>
    <row r="16" spans="1:14" x14ac:dyDescent="0.35">
      <c r="A16" s="65">
        <v>10</v>
      </c>
      <c r="B16" s="141" t="s">
        <v>720</v>
      </c>
      <c r="C16" s="140" t="s">
        <v>30</v>
      </c>
      <c r="D16" s="140">
        <v>25</v>
      </c>
      <c r="E16" s="140">
        <v>0</v>
      </c>
      <c r="F16" s="65">
        <f t="shared" si="0"/>
        <v>-25</v>
      </c>
      <c r="G16" s="114">
        <f t="shared" si="1"/>
        <v>0</v>
      </c>
    </row>
    <row r="17" spans="1:7" x14ac:dyDescent="0.35">
      <c r="A17" s="65">
        <v>11</v>
      </c>
      <c r="B17" s="141" t="s">
        <v>721</v>
      </c>
      <c r="C17" s="140" t="s">
        <v>30</v>
      </c>
      <c r="D17" s="140">
        <v>25</v>
      </c>
      <c r="E17" s="140">
        <v>23</v>
      </c>
      <c r="F17" s="65">
        <f t="shared" si="0"/>
        <v>-2</v>
      </c>
      <c r="G17" s="114">
        <f t="shared" si="1"/>
        <v>0.92</v>
      </c>
    </row>
    <row r="18" spans="1:7" x14ac:dyDescent="0.35">
      <c r="A18" s="65"/>
      <c r="B18" s="65" t="s">
        <v>34</v>
      </c>
      <c r="C18" s="65"/>
      <c r="D18" s="65">
        <v>300</v>
      </c>
      <c r="E18" s="65">
        <f>SUM(E7:E17)</f>
        <v>138</v>
      </c>
      <c r="F18" s="65">
        <f t="shared" si="0"/>
        <v>-162</v>
      </c>
      <c r="G18" s="114">
        <f t="shared" si="1"/>
        <v>0.46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432F-BB5D-4078-865E-B108A938D89B}">
  <dimension ref="A1:N31"/>
  <sheetViews>
    <sheetView workbookViewId="0">
      <selection activeCell="C4" sqref="C4:G4"/>
    </sheetView>
  </sheetViews>
  <sheetFormatPr defaultRowHeight="14.5" x14ac:dyDescent="0.35"/>
  <cols>
    <col min="1" max="1" width="4.90625" customWidth="1"/>
    <col min="2" max="2" width="33.7265625" customWidth="1"/>
    <col min="7" max="7" width="8.7265625" style="6"/>
    <col min="9" max="9" width="4.7265625" customWidth="1"/>
    <col min="10" max="10" width="20.36328125" customWidth="1"/>
    <col min="11" max="11" width="11.7265625" customWidth="1"/>
  </cols>
  <sheetData>
    <row r="1" spans="1:14" x14ac:dyDescent="0.35">
      <c r="B1" s="5" t="s">
        <v>16</v>
      </c>
    </row>
    <row r="2" spans="1:14" x14ac:dyDescent="0.35">
      <c r="B2" s="5" t="s">
        <v>83</v>
      </c>
    </row>
    <row r="3" spans="1:14" x14ac:dyDescent="0.35">
      <c r="B3" s="5" t="s">
        <v>683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748</v>
      </c>
      <c r="K5" s="21">
        <v>7</v>
      </c>
      <c r="L5" s="21">
        <v>190</v>
      </c>
      <c r="M5" s="21">
        <v>102</v>
      </c>
      <c r="N5" s="22">
        <f>M5/L5*100%</f>
        <v>0.5368421052631579</v>
      </c>
    </row>
    <row r="6" spans="1:14" x14ac:dyDescent="0.35">
      <c r="A6" s="158"/>
      <c r="B6" s="159"/>
      <c r="C6" s="163"/>
      <c r="D6" s="163"/>
      <c r="E6" s="163"/>
      <c r="F6" s="163"/>
      <c r="G6" s="165"/>
      <c r="I6" s="21">
        <v>2</v>
      </c>
      <c r="J6" s="21" t="s">
        <v>749</v>
      </c>
      <c r="K6" s="21">
        <v>7</v>
      </c>
      <c r="L6" s="21">
        <v>190</v>
      </c>
      <c r="M6" s="21">
        <v>125</v>
      </c>
      <c r="N6" s="22">
        <f t="shared" ref="N6:N7" si="0">M6/L6*100%</f>
        <v>0.65789473684210531</v>
      </c>
    </row>
    <row r="7" spans="1:14" x14ac:dyDescent="0.35">
      <c r="A7" s="31">
        <v>1</v>
      </c>
      <c r="B7" s="142" t="s">
        <v>724</v>
      </c>
      <c r="C7" s="143" t="s">
        <v>28</v>
      </c>
      <c r="D7" s="143">
        <v>35</v>
      </c>
      <c r="E7" s="143">
        <v>0</v>
      </c>
      <c r="F7" s="31">
        <f>E7-D7</f>
        <v>-35</v>
      </c>
      <c r="G7" s="35">
        <f>E7/D7*100%</f>
        <v>0</v>
      </c>
      <c r="I7" s="21">
        <v>3</v>
      </c>
      <c r="J7" s="21" t="s">
        <v>750</v>
      </c>
      <c r="K7" s="21">
        <v>7</v>
      </c>
      <c r="L7" s="21">
        <v>190</v>
      </c>
      <c r="M7" s="21">
        <v>109</v>
      </c>
      <c r="N7" s="22">
        <f t="shared" si="0"/>
        <v>0.5736842105263158</v>
      </c>
    </row>
    <row r="8" spans="1:14" x14ac:dyDescent="0.35">
      <c r="A8" s="31">
        <v>2</v>
      </c>
      <c r="B8" s="142" t="s">
        <v>725</v>
      </c>
      <c r="C8" s="143" t="s">
        <v>30</v>
      </c>
      <c r="D8" s="143">
        <v>25</v>
      </c>
      <c r="E8" s="143">
        <v>15</v>
      </c>
      <c r="F8" s="31">
        <f t="shared" ref="F8:F31" si="1">E8-D8</f>
        <v>-10</v>
      </c>
      <c r="G8" s="35">
        <f t="shared" ref="G8:G31" si="2">E8/D8*100%</f>
        <v>0.6</v>
      </c>
    </row>
    <row r="9" spans="1:14" x14ac:dyDescent="0.35">
      <c r="A9" s="31">
        <v>3</v>
      </c>
      <c r="B9" s="142" t="s">
        <v>726</v>
      </c>
      <c r="C9" s="143" t="s">
        <v>30</v>
      </c>
      <c r="D9" s="143">
        <v>25</v>
      </c>
      <c r="E9" s="143">
        <v>11</v>
      </c>
      <c r="F9" s="31">
        <f t="shared" si="1"/>
        <v>-14</v>
      </c>
      <c r="G9" s="35">
        <f t="shared" si="2"/>
        <v>0.44</v>
      </c>
    </row>
    <row r="10" spans="1:14" x14ac:dyDescent="0.35">
      <c r="A10" s="31">
        <v>4</v>
      </c>
      <c r="B10" s="142" t="s">
        <v>727</v>
      </c>
      <c r="C10" s="143" t="s">
        <v>30</v>
      </c>
      <c r="D10" s="143">
        <v>25</v>
      </c>
      <c r="E10" s="143">
        <v>14</v>
      </c>
      <c r="F10" s="31">
        <f t="shared" si="1"/>
        <v>-11</v>
      </c>
      <c r="G10" s="35">
        <f t="shared" si="2"/>
        <v>0.56000000000000005</v>
      </c>
    </row>
    <row r="11" spans="1:14" x14ac:dyDescent="0.35">
      <c r="A11" s="31">
        <v>5</v>
      </c>
      <c r="B11" s="142" t="s">
        <v>728</v>
      </c>
      <c r="C11" s="143" t="s">
        <v>30</v>
      </c>
      <c r="D11" s="143">
        <v>25</v>
      </c>
      <c r="E11" s="143">
        <v>14</v>
      </c>
      <c r="F11" s="31">
        <f t="shared" si="1"/>
        <v>-11</v>
      </c>
      <c r="G11" s="35">
        <f t="shared" si="2"/>
        <v>0.56000000000000005</v>
      </c>
    </row>
    <row r="12" spans="1:14" x14ac:dyDescent="0.35">
      <c r="A12" s="31">
        <v>6</v>
      </c>
      <c r="B12" s="142" t="s">
        <v>729</v>
      </c>
      <c r="C12" s="143" t="s">
        <v>30</v>
      </c>
      <c r="D12" s="143">
        <v>25</v>
      </c>
      <c r="E12" s="143">
        <v>20</v>
      </c>
      <c r="F12" s="31">
        <f t="shared" si="1"/>
        <v>-5</v>
      </c>
      <c r="G12" s="35">
        <f t="shared" si="2"/>
        <v>0.8</v>
      </c>
    </row>
    <row r="13" spans="1:14" x14ac:dyDescent="0.35">
      <c r="A13" s="31">
        <v>7</v>
      </c>
      <c r="B13" s="142" t="s">
        <v>730</v>
      </c>
      <c r="C13" s="143" t="s">
        <v>30</v>
      </c>
      <c r="D13" s="143">
        <v>25</v>
      </c>
      <c r="E13" s="143">
        <v>9</v>
      </c>
      <c r="F13" s="31">
        <f t="shared" si="1"/>
        <v>-16</v>
      </c>
      <c r="G13" s="35">
        <f t="shared" si="2"/>
        <v>0.36</v>
      </c>
    </row>
    <row r="14" spans="1:14" x14ac:dyDescent="0.35">
      <c r="A14" s="31">
        <v>8</v>
      </c>
      <c r="B14" s="142" t="s">
        <v>731</v>
      </c>
      <c r="C14" s="143" t="s">
        <v>30</v>
      </c>
      <c r="D14" s="143">
        <v>25</v>
      </c>
      <c r="E14" s="143">
        <v>19</v>
      </c>
      <c r="F14" s="31">
        <f t="shared" si="1"/>
        <v>-6</v>
      </c>
      <c r="G14" s="35">
        <f t="shared" si="2"/>
        <v>0.76</v>
      </c>
    </row>
    <row r="15" spans="1:14" x14ac:dyDescent="0.35">
      <c r="A15" s="31">
        <v>9</v>
      </c>
      <c r="B15" s="142" t="s">
        <v>732</v>
      </c>
      <c r="C15" s="143" t="s">
        <v>28</v>
      </c>
      <c r="D15" s="143">
        <v>35</v>
      </c>
      <c r="E15" s="143">
        <v>0</v>
      </c>
      <c r="F15" s="31">
        <f t="shared" si="1"/>
        <v>-35</v>
      </c>
      <c r="G15" s="35">
        <f t="shared" si="2"/>
        <v>0</v>
      </c>
    </row>
    <row r="16" spans="1:14" x14ac:dyDescent="0.35">
      <c r="A16" s="31">
        <v>10</v>
      </c>
      <c r="B16" s="142" t="s">
        <v>733</v>
      </c>
      <c r="C16" s="143" t="s">
        <v>30</v>
      </c>
      <c r="D16" s="143">
        <v>25</v>
      </c>
      <c r="E16" s="143">
        <v>18</v>
      </c>
      <c r="F16" s="31">
        <f t="shared" si="1"/>
        <v>-7</v>
      </c>
      <c r="G16" s="35">
        <f t="shared" si="2"/>
        <v>0.72</v>
      </c>
    </row>
    <row r="17" spans="1:7" x14ac:dyDescent="0.35">
      <c r="A17" s="31">
        <v>11</v>
      </c>
      <c r="B17" s="142" t="s">
        <v>734</v>
      </c>
      <c r="C17" s="143" t="s">
        <v>30</v>
      </c>
      <c r="D17" s="143">
        <v>25</v>
      </c>
      <c r="E17" s="143">
        <v>26</v>
      </c>
      <c r="F17" s="31">
        <f t="shared" si="1"/>
        <v>1</v>
      </c>
      <c r="G17" s="35">
        <f t="shared" si="2"/>
        <v>1.04</v>
      </c>
    </row>
    <row r="18" spans="1:7" x14ac:dyDescent="0.35">
      <c r="A18" s="31">
        <v>12</v>
      </c>
      <c r="B18" s="142" t="s">
        <v>735</v>
      </c>
      <c r="C18" s="143" t="s">
        <v>30</v>
      </c>
      <c r="D18" s="143">
        <v>25</v>
      </c>
      <c r="E18" s="143">
        <v>31</v>
      </c>
      <c r="F18" s="31">
        <f t="shared" si="1"/>
        <v>6</v>
      </c>
      <c r="G18" s="35">
        <f t="shared" si="2"/>
        <v>1.24</v>
      </c>
    </row>
    <row r="19" spans="1:7" x14ac:dyDescent="0.35">
      <c r="A19" s="31">
        <v>13</v>
      </c>
      <c r="B19" s="142" t="s">
        <v>736</v>
      </c>
      <c r="C19" s="143" t="s">
        <v>30</v>
      </c>
      <c r="D19" s="143">
        <v>25</v>
      </c>
      <c r="E19" s="143">
        <v>25</v>
      </c>
      <c r="F19" s="31">
        <f t="shared" si="1"/>
        <v>0</v>
      </c>
      <c r="G19" s="35">
        <f t="shared" si="2"/>
        <v>1</v>
      </c>
    </row>
    <row r="20" spans="1:7" x14ac:dyDescent="0.35">
      <c r="A20" s="31">
        <v>14</v>
      </c>
      <c r="B20" s="142" t="s">
        <v>737</v>
      </c>
      <c r="C20" s="143" t="s">
        <v>30</v>
      </c>
      <c r="D20" s="143">
        <v>25</v>
      </c>
      <c r="E20" s="143">
        <v>16</v>
      </c>
      <c r="F20" s="31">
        <f t="shared" si="1"/>
        <v>-9</v>
      </c>
      <c r="G20" s="35">
        <f t="shared" si="2"/>
        <v>0.64</v>
      </c>
    </row>
    <row r="21" spans="1:7" x14ac:dyDescent="0.35">
      <c r="A21" s="31">
        <v>15</v>
      </c>
      <c r="B21" s="142" t="s">
        <v>738</v>
      </c>
      <c r="C21" s="143" t="s">
        <v>30</v>
      </c>
      <c r="D21" s="143">
        <v>25</v>
      </c>
      <c r="E21" s="143">
        <v>1</v>
      </c>
      <c r="F21" s="31">
        <f t="shared" si="1"/>
        <v>-24</v>
      </c>
      <c r="G21" s="35">
        <f t="shared" si="2"/>
        <v>0.04</v>
      </c>
    </row>
    <row r="22" spans="1:7" x14ac:dyDescent="0.35">
      <c r="A22" s="31">
        <v>16</v>
      </c>
      <c r="B22" s="142" t="s">
        <v>739</v>
      </c>
      <c r="C22" s="143" t="s">
        <v>30</v>
      </c>
      <c r="D22" s="143">
        <v>25</v>
      </c>
      <c r="E22" s="143">
        <v>8</v>
      </c>
      <c r="F22" s="31">
        <f t="shared" si="1"/>
        <v>-17</v>
      </c>
      <c r="G22" s="35">
        <f t="shared" si="2"/>
        <v>0.32</v>
      </c>
    </row>
    <row r="23" spans="1:7" x14ac:dyDescent="0.35">
      <c r="A23" s="31">
        <v>17</v>
      </c>
      <c r="B23" s="142" t="s">
        <v>740</v>
      </c>
      <c r="C23" s="143" t="s">
        <v>28</v>
      </c>
      <c r="D23" s="143">
        <v>35</v>
      </c>
      <c r="E23" s="143">
        <v>0</v>
      </c>
      <c r="F23" s="31">
        <f t="shared" si="1"/>
        <v>-35</v>
      </c>
      <c r="G23" s="35">
        <f t="shared" si="2"/>
        <v>0</v>
      </c>
    </row>
    <row r="24" spans="1:7" x14ac:dyDescent="0.35">
      <c r="A24" s="31">
        <v>18</v>
      </c>
      <c r="B24" s="142" t="s">
        <v>741</v>
      </c>
      <c r="C24" s="143" t="s">
        <v>30</v>
      </c>
      <c r="D24" s="143">
        <v>25</v>
      </c>
      <c r="E24" s="143">
        <v>20</v>
      </c>
      <c r="F24" s="31">
        <f t="shared" si="1"/>
        <v>-5</v>
      </c>
      <c r="G24" s="35">
        <f t="shared" si="2"/>
        <v>0.8</v>
      </c>
    </row>
    <row r="25" spans="1:7" x14ac:dyDescent="0.35">
      <c r="A25" s="31">
        <v>19</v>
      </c>
      <c r="B25" s="142" t="s">
        <v>742</v>
      </c>
      <c r="C25" s="143" t="s">
        <v>30</v>
      </c>
      <c r="D25" s="143">
        <v>25</v>
      </c>
      <c r="E25" s="143">
        <v>26</v>
      </c>
      <c r="F25" s="31">
        <f t="shared" si="1"/>
        <v>1</v>
      </c>
      <c r="G25" s="35">
        <f t="shared" si="2"/>
        <v>1.04</v>
      </c>
    </row>
    <row r="26" spans="1:7" x14ac:dyDescent="0.35">
      <c r="A26" s="31">
        <v>20</v>
      </c>
      <c r="B26" s="142" t="s">
        <v>743</v>
      </c>
      <c r="C26" s="143" t="s">
        <v>30</v>
      </c>
      <c r="D26" s="143">
        <v>25</v>
      </c>
      <c r="E26" s="143">
        <v>14</v>
      </c>
      <c r="F26" s="31">
        <f t="shared" si="1"/>
        <v>-11</v>
      </c>
      <c r="G26" s="35">
        <f t="shared" si="2"/>
        <v>0.56000000000000005</v>
      </c>
    </row>
    <row r="27" spans="1:7" x14ac:dyDescent="0.35">
      <c r="A27" s="31">
        <v>21</v>
      </c>
      <c r="B27" s="142" t="s">
        <v>744</v>
      </c>
      <c r="C27" s="143" t="s">
        <v>30</v>
      </c>
      <c r="D27" s="143">
        <v>25</v>
      </c>
      <c r="E27" s="143">
        <v>23</v>
      </c>
      <c r="F27" s="31">
        <f t="shared" si="1"/>
        <v>-2</v>
      </c>
      <c r="G27" s="35">
        <f t="shared" si="2"/>
        <v>0.92</v>
      </c>
    </row>
    <row r="28" spans="1:7" x14ac:dyDescent="0.35">
      <c r="A28" s="31">
        <v>22</v>
      </c>
      <c r="B28" s="142" t="s">
        <v>745</v>
      </c>
      <c r="C28" s="143" t="s">
        <v>30</v>
      </c>
      <c r="D28" s="143">
        <v>25</v>
      </c>
      <c r="E28" s="143">
        <v>14</v>
      </c>
      <c r="F28" s="31">
        <f t="shared" si="1"/>
        <v>-11</v>
      </c>
      <c r="G28" s="35">
        <f t="shared" si="2"/>
        <v>0.56000000000000005</v>
      </c>
    </row>
    <row r="29" spans="1:7" x14ac:dyDescent="0.35">
      <c r="A29" s="31">
        <v>23</v>
      </c>
      <c r="B29" s="142" t="s">
        <v>746</v>
      </c>
      <c r="C29" s="143" t="s">
        <v>30</v>
      </c>
      <c r="D29" s="143">
        <v>25</v>
      </c>
      <c r="E29" s="143">
        <v>5</v>
      </c>
      <c r="F29" s="31">
        <f t="shared" si="1"/>
        <v>-20</v>
      </c>
      <c r="G29" s="35">
        <f t="shared" si="2"/>
        <v>0.2</v>
      </c>
    </row>
    <row r="30" spans="1:7" x14ac:dyDescent="0.35">
      <c r="A30" s="31">
        <v>24</v>
      </c>
      <c r="B30" s="142" t="s">
        <v>747</v>
      </c>
      <c r="C30" s="143" t="s">
        <v>30</v>
      </c>
      <c r="D30" s="143">
        <v>25</v>
      </c>
      <c r="E30" s="143">
        <v>7</v>
      </c>
      <c r="F30" s="31">
        <f t="shared" si="1"/>
        <v>-18</v>
      </c>
      <c r="G30" s="35">
        <f t="shared" si="2"/>
        <v>0.28000000000000003</v>
      </c>
    </row>
    <row r="31" spans="1:7" x14ac:dyDescent="0.35">
      <c r="A31" s="31"/>
      <c r="B31" s="31" t="s">
        <v>34</v>
      </c>
      <c r="C31" s="31"/>
      <c r="D31" s="31">
        <v>570</v>
      </c>
      <c r="E31" s="31">
        <f>SUM(E7:E30)</f>
        <v>336</v>
      </c>
      <c r="F31" s="31">
        <f t="shared" si="1"/>
        <v>-234</v>
      </c>
      <c r="G31" s="35">
        <f t="shared" si="2"/>
        <v>0.58947368421052626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1D15-06D8-43A7-92FC-C78EAD767F02}">
  <dimension ref="A1:N25"/>
  <sheetViews>
    <sheetView workbookViewId="0">
      <selection activeCell="C4" sqref="C4:G4"/>
    </sheetView>
  </sheetViews>
  <sheetFormatPr defaultRowHeight="14.5" x14ac:dyDescent="0.35"/>
  <cols>
    <col min="1" max="1" width="5.1796875" customWidth="1"/>
    <col min="2" max="2" width="32.453125" customWidth="1"/>
    <col min="7" max="7" width="8.7265625" style="6"/>
    <col min="9" max="9" width="5.453125" customWidth="1"/>
    <col min="10" max="10" width="20.6328125" customWidth="1"/>
    <col min="11" max="11" width="8.7265625" customWidth="1"/>
    <col min="14" max="14" width="8.7265625" style="6"/>
  </cols>
  <sheetData>
    <row r="1" spans="1:14" x14ac:dyDescent="0.35">
      <c r="B1" s="5" t="s">
        <v>16</v>
      </c>
    </row>
    <row r="2" spans="1:14" x14ac:dyDescent="0.35">
      <c r="B2" s="5" t="s">
        <v>83</v>
      </c>
    </row>
    <row r="3" spans="1:14" x14ac:dyDescent="0.35">
      <c r="B3" s="5" t="s">
        <v>84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105</v>
      </c>
      <c r="K5" s="21">
        <v>5</v>
      </c>
      <c r="L5" s="9">
        <v>150</v>
      </c>
      <c r="M5" s="9">
        <v>87</v>
      </c>
      <c r="N5" s="11">
        <f>M5/L5*100%</f>
        <v>0.57999999999999996</v>
      </c>
    </row>
    <row r="6" spans="1:14" x14ac:dyDescent="0.35">
      <c r="A6" s="158"/>
      <c r="B6" s="159"/>
      <c r="C6" s="163"/>
      <c r="D6" s="163"/>
      <c r="E6" s="163"/>
      <c r="F6" s="163"/>
      <c r="G6" s="165"/>
      <c r="I6" s="21">
        <v>2</v>
      </c>
      <c r="J6" s="21" t="s">
        <v>103</v>
      </c>
      <c r="K6" s="21">
        <v>5</v>
      </c>
      <c r="L6" s="9">
        <v>150</v>
      </c>
      <c r="M6" s="9">
        <v>107</v>
      </c>
      <c r="N6" s="11">
        <f t="shared" ref="N6:N7" si="0">M6/L6*100%</f>
        <v>0.71333333333333337</v>
      </c>
    </row>
    <row r="7" spans="1:14" x14ac:dyDescent="0.35">
      <c r="A7" s="31">
        <v>1</v>
      </c>
      <c r="B7" s="45" t="s">
        <v>85</v>
      </c>
      <c r="C7" s="46" t="s">
        <v>28</v>
      </c>
      <c r="D7" s="46">
        <v>35</v>
      </c>
      <c r="E7" s="46">
        <v>1</v>
      </c>
      <c r="F7" s="31">
        <f>E7-D7</f>
        <v>-34</v>
      </c>
      <c r="G7" s="35">
        <f>E7/D7*100%</f>
        <v>2.8571428571428571E-2</v>
      </c>
      <c r="I7" s="21">
        <v>3</v>
      </c>
      <c r="J7" s="21" t="s">
        <v>104</v>
      </c>
      <c r="K7" s="21">
        <v>5</v>
      </c>
      <c r="L7" s="9">
        <v>150</v>
      </c>
      <c r="M7" s="9">
        <v>117</v>
      </c>
      <c r="N7" s="11">
        <f t="shared" si="0"/>
        <v>0.78</v>
      </c>
    </row>
    <row r="8" spans="1:14" x14ac:dyDescent="0.35">
      <c r="A8" s="31">
        <v>2</v>
      </c>
      <c r="B8" s="45" t="s">
        <v>86</v>
      </c>
      <c r="C8" s="46" t="s">
        <v>30</v>
      </c>
      <c r="D8" s="46">
        <v>25</v>
      </c>
      <c r="E8" s="46">
        <v>35</v>
      </c>
      <c r="F8" s="31">
        <f t="shared" ref="F8:F25" si="1">E8-D8</f>
        <v>10</v>
      </c>
      <c r="G8" s="35">
        <f t="shared" ref="G8:G25" si="2">E8/D8*100%</f>
        <v>1.4</v>
      </c>
    </row>
    <row r="9" spans="1:14" x14ac:dyDescent="0.35">
      <c r="A9" s="31">
        <v>3</v>
      </c>
      <c r="B9" s="45" t="s">
        <v>87</v>
      </c>
      <c r="C9" s="46" t="s">
        <v>30</v>
      </c>
      <c r="D9" s="46">
        <v>25</v>
      </c>
      <c r="E9" s="46">
        <v>22</v>
      </c>
      <c r="F9" s="31">
        <f t="shared" si="1"/>
        <v>-3</v>
      </c>
      <c r="G9" s="35">
        <f t="shared" si="2"/>
        <v>0.88</v>
      </c>
    </row>
    <row r="10" spans="1:14" x14ac:dyDescent="0.35">
      <c r="A10" s="31">
        <v>4</v>
      </c>
      <c r="B10" s="45" t="s">
        <v>88</v>
      </c>
      <c r="C10" s="46" t="s">
        <v>30</v>
      </c>
      <c r="D10" s="46">
        <v>25</v>
      </c>
      <c r="E10" s="46">
        <v>4</v>
      </c>
      <c r="F10" s="31">
        <f t="shared" si="1"/>
        <v>-21</v>
      </c>
      <c r="G10" s="35">
        <f t="shared" si="2"/>
        <v>0.16</v>
      </c>
    </row>
    <row r="11" spans="1:14" x14ac:dyDescent="0.35">
      <c r="A11" s="31">
        <v>5</v>
      </c>
      <c r="B11" s="45" t="s">
        <v>89</v>
      </c>
      <c r="C11" s="46" t="s">
        <v>30</v>
      </c>
      <c r="D11" s="46">
        <v>25</v>
      </c>
      <c r="E11" s="46">
        <v>23</v>
      </c>
      <c r="F11" s="31">
        <f t="shared" si="1"/>
        <v>-2</v>
      </c>
      <c r="G11" s="35">
        <f t="shared" si="2"/>
        <v>0.92</v>
      </c>
    </row>
    <row r="12" spans="1:14" x14ac:dyDescent="0.35">
      <c r="A12" s="31">
        <v>6</v>
      </c>
      <c r="B12" s="45" t="s">
        <v>90</v>
      </c>
      <c r="C12" s="46" t="s">
        <v>30</v>
      </c>
      <c r="D12" s="46">
        <v>25</v>
      </c>
      <c r="E12" s="46">
        <v>2</v>
      </c>
      <c r="F12" s="31">
        <f t="shared" si="1"/>
        <v>-23</v>
      </c>
      <c r="G12" s="35">
        <f t="shared" si="2"/>
        <v>0.08</v>
      </c>
    </row>
    <row r="13" spans="1:14" x14ac:dyDescent="0.35">
      <c r="A13" s="31">
        <v>7</v>
      </c>
      <c r="B13" s="45" t="s">
        <v>91</v>
      </c>
      <c r="C13" s="46" t="s">
        <v>28</v>
      </c>
      <c r="D13" s="46">
        <v>35</v>
      </c>
      <c r="E13" s="46">
        <v>0</v>
      </c>
      <c r="F13" s="31">
        <f t="shared" si="1"/>
        <v>-35</v>
      </c>
      <c r="G13" s="35">
        <f t="shared" si="2"/>
        <v>0</v>
      </c>
    </row>
    <row r="14" spans="1:14" x14ac:dyDescent="0.35">
      <c r="A14" s="31">
        <v>8</v>
      </c>
      <c r="B14" s="45" t="s">
        <v>92</v>
      </c>
      <c r="C14" s="46" t="s">
        <v>30</v>
      </c>
      <c r="D14" s="46">
        <v>25</v>
      </c>
      <c r="E14" s="46">
        <v>26</v>
      </c>
      <c r="F14" s="31">
        <f t="shared" si="1"/>
        <v>1</v>
      </c>
      <c r="G14" s="35">
        <f t="shared" si="2"/>
        <v>1.04</v>
      </c>
    </row>
    <row r="15" spans="1:14" x14ac:dyDescent="0.35">
      <c r="A15" s="31">
        <v>9</v>
      </c>
      <c r="B15" s="45" t="s">
        <v>93</v>
      </c>
      <c r="C15" s="46" t="s">
        <v>30</v>
      </c>
      <c r="D15" s="46">
        <v>25</v>
      </c>
      <c r="E15" s="46">
        <v>25</v>
      </c>
      <c r="F15" s="31">
        <f t="shared" si="1"/>
        <v>0</v>
      </c>
      <c r="G15" s="35">
        <f t="shared" si="2"/>
        <v>1</v>
      </c>
    </row>
    <row r="16" spans="1:14" x14ac:dyDescent="0.35">
      <c r="A16" s="31">
        <v>10</v>
      </c>
      <c r="B16" s="45" t="s">
        <v>94</v>
      </c>
      <c r="C16" s="46" t="s">
        <v>30</v>
      </c>
      <c r="D16" s="46">
        <v>25</v>
      </c>
      <c r="E16" s="46">
        <v>10</v>
      </c>
      <c r="F16" s="31">
        <f t="shared" si="1"/>
        <v>-15</v>
      </c>
      <c r="G16" s="35">
        <f t="shared" si="2"/>
        <v>0.4</v>
      </c>
    </row>
    <row r="17" spans="1:7" x14ac:dyDescent="0.35">
      <c r="A17" s="31">
        <v>11</v>
      </c>
      <c r="B17" s="45" t="s">
        <v>95</v>
      </c>
      <c r="C17" s="46" t="s">
        <v>30</v>
      </c>
      <c r="D17" s="46">
        <v>25</v>
      </c>
      <c r="E17" s="46">
        <v>20</v>
      </c>
      <c r="F17" s="31">
        <f t="shared" si="1"/>
        <v>-5</v>
      </c>
      <c r="G17" s="35">
        <f t="shared" si="2"/>
        <v>0.8</v>
      </c>
    </row>
    <row r="18" spans="1:7" x14ac:dyDescent="0.35">
      <c r="A18" s="31">
        <v>12</v>
      </c>
      <c r="B18" s="45" t="s">
        <v>96</v>
      </c>
      <c r="C18" s="46" t="s">
        <v>30</v>
      </c>
      <c r="D18" s="46">
        <v>25</v>
      </c>
      <c r="E18" s="46">
        <v>26</v>
      </c>
      <c r="F18" s="31">
        <f t="shared" si="1"/>
        <v>1</v>
      </c>
      <c r="G18" s="35">
        <f t="shared" si="2"/>
        <v>1.04</v>
      </c>
    </row>
    <row r="19" spans="1:7" x14ac:dyDescent="0.35">
      <c r="A19" s="31">
        <v>13</v>
      </c>
      <c r="B19" s="45" t="s">
        <v>97</v>
      </c>
      <c r="C19" s="46" t="s">
        <v>28</v>
      </c>
      <c r="D19" s="46">
        <v>35</v>
      </c>
      <c r="E19" s="46">
        <v>0</v>
      </c>
      <c r="F19" s="31">
        <f t="shared" si="1"/>
        <v>-35</v>
      </c>
      <c r="G19" s="35">
        <f t="shared" si="2"/>
        <v>0</v>
      </c>
    </row>
    <row r="20" spans="1:7" x14ac:dyDescent="0.35">
      <c r="A20" s="31">
        <v>14</v>
      </c>
      <c r="B20" s="45" t="s">
        <v>98</v>
      </c>
      <c r="C20" s="46" t="s">
        <v>30</v>
      </c>
      <c r="D20" s="46">
        <v>25</v>
      </c>
      <c r="E20" s="46">
        <v>22</v>
      </c>
      <c r="F20" s="31">
        <f t="shared" si="1"/>
        <v>-3</v>
      </c>
      <c r="G20" s="35">
        <f t="shared" si="2"/>
        <v>0.88</v>
      </c>
    </row>
    <row r="21" spans="1:7" x14ac:dyDescent="0.35">
      <c r="A21" s="31">
        <v>15</v>
      </c>
      <c r="B21" s="45" t="s">
        <v>99</v>
      </c>
      <c r="C21" s="46" t="s">
        <v>30</v>
      </c>
      <c r="D21" s="46">
        <v>25</v>
      </c>
      <c r="E21" s="46">
        <v>33</v>
      </c>
      <c r="F21" s="31">
        <f t="shared" si="1"/>
        <v>8</v>
      </c>
      <c r="G21" s="35">
        <f t="shared" si="2"/>
        <v>1.32</v>
      </c>
    </row>
    <row r="22" spans="1:7" x14ac:dyDescent="0.35">
      <c r="A22" s="31">
        <v>16</v>
      </c>
      <c r="B22" s="45" t="s">
        <v>100</v>
      </c>
      <c r="C22" s="46" t="s">
        <v>30</v>
      </c>
      <c r="D22" s="46">
        <v>25</v>
      </c>
      <c r="E22" s="46">
        <v>21</v>
      </c>
      <c r="F22" s="31">
        <f t="shared" si="1"/>
        <v>-4</v>
      </c>
      <c r="G22" s="35">
        <f t="shared" si="2"/>
        <v>0.84</v>
      </c>
    </row>
    <row r="23" spans="1:7" x14ac:dyDescent="0.35">
      <c r="A23" s="31">
        <v>17</v>
      </c>
      <c r="B23" s="45" t="s">
        <v>101</v>
      </c>
      <c r="C23" s="46" t="s">
        <v>30</v>
      </c>
      <c r="D23" s="46">
        <v>25</v>
      </c>
      <c r="E23" s="46">
        <v>20</v>
      </c>
      <c r="F23" s="31">
        <f t="shared" si="1"/>
        <v>-5</v>
      </c>
      <c r="G23" s="35">
        <f t="shared" si="2"/>
        <v>0.8</v>
      </c>
    </row>
    <row r="24" spans="1:7" x14ac:dyDescent="0.35">
      <c r="A24" s="31">
        <v>18</v>
      </c>
      <c r="B24" s="45" t="s">
        <v>102</v>
      </c>
      <c r="C24" s="46" t="s">
        <v>30</v>
      </c>
      <c r="D24" s="46">
        <v>25</v>
      </c>
      <c r="E24" s="46">
        <v>21</v>
      </c>
      <c r="F24" s="31">
        <f t="shared" si="1"/>
        <v>-4</v>
      </c>
      <c r="G24" s="35">
        <f t="shared" si="2"/>
        <v>0.84</v>
      </c>
    </row>
    <row r="25" spans="1:7" x14ac:dyDescent="0.35">
      <c r="A25" s="31"/>
      <c r="B25" s="31" t="s">
        <v>34</v>
      </c>
      <c r="C25" s="31"/>
      <c r="D25" s="31">
        <v>450</v>
      </c>
      <c r="E25" s="31">
        <f>SUM(E7:E24)</f>
        <v>311</v>
      </c>
      <c r="F25" s="31">
        <f t="shared" si="1"/>
        <v>-139</v>
      </c>
      <c r="G25" s="35">
        <f t="shared" si="2"/>
        <v>0.69111111111111112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455A-336C-42AE-B3CC-DB1BCADBB97A}">
  <dimension ref="A1:N23"/>
  <sheetViews>
    <sheetView workbookViewId="0">
      <selection activeCell="C4" sqref="C4:G4"/>
    </sheetView>
  </sheetViews>
  <sheetFormatPr defaultRowHeight="14.5" x14ac:dyDescent="0.35"/>
  <cols>
    <col min="1" max="1" width="4.7265625" customWidth="1"/>
    <col min="2" max="2" width="32.6328125" customWidth="1"/>
    <col min="7" max="7" width="8.7265625" style="6"/>
    <col min="9" max="9" width="5.90625" customWidth="1"/>
    <col min="10" max="10" width="18.453125" customWidth="1"/>
    <col min="11" max="11" width="15.08984375" customWidth="1"/>
  </cols>
  <sheetData>
    <row r="1" spans="1:14" x14ac:dyDescent="0.35">
      <c r="B1" s="5" t="s">
        <v>16</v>
      </c>
    </row>
    <row r="2" spans="1:14" x14ac:dyDescent="0.35">
      <c r="B2" s="5" t="s">
        <v>83</v>
      </c>
    </row>
    <row r="3" spans="1:14" x14ac:dyDescent="0.35">
      <c r="B3" s="5" t="s">
        <v>84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122</v>
      </c>
      <c r="K5" s="21">
        <v>7</v>
      </c>
      <c r="L5" s="21">
        <v>190</v>
      </c>
      <c r="M5" s="21">
        <v>108</v>
      </c>
      <c r="N5" s="22">
        <f>M5/L5*100%</f>
        <v>0.56842105263157894</v>
      </c>
    </row>
    <row r="6" spans="1:14" x14ac:dyDescent="0.35">
      <c r="A6" s="158"/>
      <c r="B6" s="159"/>
      <c r="C6" s="163"/>
      <c r="D6" s="163"/>
      <c r="E6" s="163"/>
      <c r="F6" s="163"/>
      <c r="G6" s="165"/>
      <c r="I6" s="21">
        <v>2</v>
      </c>
      <c r="J6" s="21" t="s">
        <v>123</v>
      </c>
      <c r="K6" s="21">
        <v>7</v>
      </c>
      <c r="L6" s="21">
        <v>190</v>
      </c>
      <c r="M6" s="21">
        <v>104</v>
      </c>
      <c r="N6" s="22">
        <f t="shared" ref="N6" si="0">M6/L6*100%</f>
        <v>0.54736842105263162</v>
      </c>
    </row>
    <row r="7" spans="1:14" x14ac:dyDescent="0.35">
      <c r="A7" s="31">
        <v>1</v>
      </c>
      <c r="B7" s="45" t="s">
        <v>106</v>
      </c>
      <c r="C7" s="46" t="s">
        <v>28</v>
      </c>
      <c r="D7" s="46">
        <v>35</v>
      </c>
      <c r="E7" s="46">
        <v>1</v>
      </c>
      <c r="F7" s="31">
        <f>E7-D7</f>
        <v>-34</v>
      </c>
      <c r="G7" s="35">
        <f>E7/D7*100%</f>
        <v>2.8571428571428571E-2</v>
      </c>
      <c r="I7" s="21"/>
      <c r="J7" s="21"/>
      <c r="K7" s="21"/>
      <c r="L7" s="21"/>
      <c r="M7" s="21"/>
      <c r="N7" s="22"/>
    </row>
    <row r="8" spans="1:14" x14ac:dyDescent="0.35">
      <c r="A8" s="31">
        <v>2</v>
      </c>
      <c r="B8" s="45" t="s">
        <v>107</v>
      </c>
      <c r="C8" s="46" t="s">
        <v>30</v>
      </c>
      <c r="D8" s="46">
        <v>25</v>
      </c>
      <c r="E8" s="46">
        <v>13</v>
      </c>
      <c r="F8" s="31">
        <f t="shared" ref="F8:F23" si="1">E8-D8</f>
        <v>-12</v>
      </c>
      <c r="G8" s="35">
        <f t="shared" ref="G8:G23" si="2">E8/D8*100%</f>
        <v>0.52</v>
      </c>
    </row>
    <row r="9" spans="1:14" x14ac:dyDescent="0.35">
      <c r="A9" s="31">
        <v>3</v>
      </c>
      <c r="B9" s="45" t="s">
        <v>108</v>
      </c>
      <c r="C9" s="46" t="s">
        <v>30</v>
      </c>
      <c r="D9" s="46">
        <v>25</v>
      </c>
      <c r="E9" s="46">
        <v>28</v>
      </c>
      <c r="F9" s="31">
        <f t="shared" si="1"/>
        <v>3</v>
      </c>
      <c r="G9" s="35">
        <f t="shared" si="2"/>
        <v>1.1200000000000001</v>
      </c>
    </row>
    <row r="10" spans="1:14" x14ac:dyDescent="0.35">
      <c r="A10" s="31">
        <v>4</v>
      </c>
      <c r="B10" s="45" t="s">
        <v>109</v>
      </c>
      <c r="C10" s="46" t="s">
        <v>30</v>
      </c>
      <c r="D10" s="46">
        <v>25</v>
      </c>
      <c r="E10" s="46">
        <v>14</v>
      </c>
      <c r="F10" s="31">
        <f t="shared" si="1"/>
        <v>-11</v>
      </c>
      <c r="G10" s="35">
        <f t="shared" si="2"/>
        <v>0.56000000000000005</v>
      </c>
    </row>
    <row r="11" spans="1:14" x14ac:dyDescent="0.35">
      <c r="A11" s="31">
        <v>5</v>
      </c>
      <c r="B11" s="45" t="s">
        <v>110</v>
      </c>
      <c r="C11" s="46" t="s">
        <v>30</v>
      </c>
      <c r="D11" s="46">
        <v>25</v>
      </c>
      <c r="E11" s="46">
        <v>13</v>
      </c>
      <c r="F11" s="31">
        <f t="shared" si="1"/>
        <v>-12</v>
      </c>
      <c r="G11" s="35">
        <f t="shared" si="2"/>
        <v>0.52</v>
      </c>
    </row>
    <row r="12" spans="1:14" x14ac:dyDescent="0.35">
      <c r="A12" s="31">
        <v>6</v>
      </c>
      <c r="B12" s="45" t="s">
        <v>111</v>
      </c>
      <c r="C12" s="46" t="s">
        <v>30</v>
      </c>
      <c r="D12" s="46">
        <v>25</v>
      </c>
      <c r="E12" s="46">
        <v>24</v>
      </c>
      <c r="F12" s="31">
        <f t="shared" si="1"/>
        <v>-1</v>
      </c>
      <c r="G12" s="35">
        <f t="shared" si="2"/>
        <v>0.96</v>
      </c>
    </row>
    <row r="13" spans="1:14" x14ac:dyDescent="0.35">
      <c r="A13" s="31">
        <v>7</v>
      </c>
      <c r="B13" s="45" t="s">
        <v>112</v>
      </c>
      <c r="C13" s="46" t="s">
        <v>30</v>
      </c>
      <c r="D13" s="46">
        <v>25</v>
      </c>
      <c r="E13" s="46">
        <v>12</v>
      </c>
      <c r="F13" s="31">
        <f t="shared" si="1"/>
        <v>-13</v>
      </c>
      <c r="G13" s="35">
        <f t="shared" si="2"/>
        <v>0.48</v>
      </c>
    </row>
    <row r="14" spans="1:14" ht="29" x14ac:dyDescent="0.35">
      <c r="A14" s="31">
        <v>8</v>
      </c>
      <c r="B14" s="45" t="s">
        <v>113</v>
      </c>
      <c r="C14" s="46" t="s">
        <v>30</v>
      </c>
      <c r="D14" s="46">
        <v>25</v>
      </c>
      <c r="E14" s="46">
        <v>3</v>
      </c>
      <c r="F14" s="31">
        <f t="shared" si="1"/>
        <v>-22</v>
      </c>
      <c r="G14" s="35">
        <f t="shared" si="2"/>
        <v>0.12</v>
      </c>
    </row>
    <row r="15" spans="1:14" x14ac:dyDescent="0.35">
      <c r="A15" s="31">
        <v>9</v>
      </c>
      <c r="B15" s="45" t="s">
        <v>114</v>
      </c>
      <c r="C15" s="46" t="s">
        <v>28</v>
      </c>
      <c r="D15" s="46">
        <v>35</v>
      </c>
      <c r="E15" s="46">
        <v>3</v>
      </c>
      <c r="F15" s="31">
        <f t="shared" si="1"/>
        <v>-32</v>
      </c>
      <c r="G15" s="35">
        <f t="shared" si="2"/>
        <v>8.5714285714285715E-2</v>
      </c>
    </row>
    <row r="16" spans="1:14" x14ac:dyDescent="0.35">
      <c r="A16" s="31">
        <v>10</v>
      </c>
      <c r="B16" s="45" t="s">
        <v>115</v>
      </c>
      <c r="C16" s="46" t="s">
        <v>30</v>
      </c>
      <c r="D16" s="46">
        <v>25</v>
      </c>
      <c r="E16" s="46">
        <v>18</v>
      </c>
      <c r="F16" s="31">
        <f t="shared" si="1"/>
        <v>-7</v>
      </c>
      <c r="G16" s="35">
        <f t="shared" si="2"/>
        <v>0.72</v>
      </c>
    </row>
    <row r="17" spans="1:7" x14ac:dyDescent="0.35">
      <c r="A17" s="31">
        <v>11</v>
      </c>
      <c r="B17" s="45" t="s">
        <v>116</v>
      </c>
      <c r="C17" s="46" t="s">
        <v>30</v>
      </c>
      <c r="D17" s="46">
        <v>25</v>
      </c>
      <c r="E17" s="46">
        <v>20</v>
      </c>
      <c r="F17" s="31">
        <f t="shared" si="1"/>
        <v>-5</v>
      </c>
      <c r="G17" s="35">
        <f t="shared" si="2"/>
        <v>0.8</v>
      </c>
    </row>
    <row r="18" spans="1:7" x14ac:dyDescent="0.35">
      <c r="A18" s="31">
        <v>12</v>
      </c>
      <c r="B18" s="45" t="s">
        <v>117</v>
      </c>
      <c r="C18" s="46" t="s">
        <v>30</v>
      </c>
      <c r="D18" s="46">
        <v>25</v>
      </c>
      <c r="E18" s="46">
        <v>25</v>
      </c>
      <c r="F18" s="31">
        <f t="shared" si="1"/>
        <v>0</v>
      </c>
      <c r="G18" s="35">
        <f t="shared" si="2"/>
        <v>1</v>
      </c>
    </row>
    <row r="19" spans="1:7" x14ac:dyDescent="0.35">
      <c r="A19" s="31">
        <v>13</v>
      </c>
      <c r="B19" s="45" t="s">
        <v>118</v>
      </c>
      <c r="C19" s="46" t="s">
        <v>30</v>
      </c>
      <c r="D19" s="46">
        <v>25</v>
      </c>
      <c r="E19" s="46">
        <v>17</v>
      </c>
      <c r="F19" s="31">
        <f t="shared" si="1"/>
        <v>-8</v>
      </c>
      <c r="G19" s="35">
        <f t="shared" si="2"/>
        <v>0.68</v>
      </c>
    </row>
    <row r="20" spans="1:7" x14ac:dyDescent="0.35">
      <c r="A20" s="31">
        <v>14</v>
      </c>
      <c r="B20" s="45" t="s">
        <v>119</v>
      </c>
      <c r="C20" s="46" t="s">
        <v>30</v>
      </c>
      <c r="D20" s="46">
        <v>25</v>
      </c>
      <c r="E20" s="46">
        <v>11</v>
      </c>
      <c r="F20" s="31">
        <f t="shared" si="1"/>
        <v>-14</v>
      </c>
      <c r="G20" s="35">
        <f t="shared" si="2"/>
        <v>0.44</v>
      </c>
    </row>
    <row r="21" spans="1:7" x14ac:dyDescent="0.35">
      <c r="A21" s="31">
        <v>15</v>
      </c>
      <c r="B21" s="45" t="s">
        <v>120</v>
      </c>
      <c r="C21" s="46" t="s">
        <v>30</v>
      </c>
      <c r="D21" s="46">
        <v>25</v>
      </c>
      <c r="E21" s="46">
        <v>9</v>
      </c>
      <c r="F21" s="31">
        <f t="shared" si="1"/>
        <v>-16</v>
      </c>
      <c r="G21" s="35">
        <f t="shared" si="2"/>
        <v>0.36</v>
      </c>
    </row>
    <row r="22" spans="1:7" x14ac:dyDescent="0.35">
      <c r="A22" s="31">
        <v>16</v>
      </c>
      <c r="B22" s="45" t="s">
        <v>121</v>
      </c>
      <c r="C22" s="46" t="s">
        <v>30</v>
      </c>
      <c r="D22" s="46">
        <v>25</v>
      </c>
      <c r="E22" s="46">
        <v>1</v>
      </c>
      <c r="F22" s="31">
        <f t="shared" si="1"/>
        <v>-24</v>
      </c>
      <c r="G22" s="35">
        <f t="shared" si="2"/>
        <v>0.04</v>
      </c>
    </row>
    <row r="23" spans="1:7" x14ac:dyDescent="0.35">
      <c r="A23" s="31"/>
      <c r="B23" s="31" t="s">
        <v>34</v>
      </c>
      <c r="C23" s="31"/>
      <c r="D23" s="31">
        <v>380</v>
      </c>
      <c r="E23" s="31">
        <f>SUM(E7:E22)</f>
        <v>212</v>
      </c>
      <c r="F23" s="31">
        <f t="shared" si="1"/>
        <v>-168</v>
      </c>
      <c r="G23" s="35">
        <f t="shared" si="2"/>
        <v>0.55789473684210522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5FFB-A7AE-4993-9771-56F64C1D31BD}">
  <dimension ref="A1:N19"/>
  <sheetViews>
    <sheetView workbookViewId="0">
      <selection activeCell="C4" sqref="C4:G4"/>
    </sheetView>
  </sheetViews>
  <sheetFormatPr defaultRowHeight="14.5" x14ac:dyDescent="0.35"/>
  <cols>
    <col min="1" max="1" width="4.1796875" customWidth="1"/>
    <col min="2" max="2" width="30.90625" customWidth="1"/>
    <col min="7" max="7" width="8.7265625" style="6"/>
    <col min="9" max="9" width="5" customWidth="1"/>
    <col min="10" max="11" width="13.81640625" customWidth="1"/>
  </cols>
  <sheetData>
    <row r="1" spans="1:14" x14ac:dyDescent="0.35">
      <c r="B1" s="5" t="s">
        <v>16</v>
      </c>
    </row>
    <row r="2" spans="1:14" x14ac:dyDescent="0.35">
      <c r="B2" s="5" t="s">
        <v>83</v>
      </c>
    </row>
    <row r="3" spans="1:14" x14ac:dyDescent="0.35">
      <c r="B3" s="5" t="s">
        <v>84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136</v>
      </c>
      <c r="K5" s="21">
        <v>5</v>
      </c>
      <c r="L5" s="21">
        <v>150</v>
      </c>
      <c r="M5" s="21">
        <v>97</v>
      </c>
      <c r="N5" s="22">
        <f>M5/L5*100%</f>
        <v>0.64666666666666661</v>
      </c>
    </row>
    <row r="6" spans="1:14" x14ac:dyDescent="0.35">
      <c r="A6" s="158"/>
      <c r="B6" s="159"/>
      <c r="C6" s="163"/>
      <c r="D6" s="163"/>
      <c r="E6" s="163"/>
      <c r="F6" s="163"/>
      <c r="G6" s="165"/>
      <c r="I6" s="21">
        <v>2</v>
      </c>
      <c r="J6" s="21" t="s">
        <v>137</v>
      </c>
      <c r="K6" s="21">
        <v>5</v>
      </c>
      <c r="L6" s="21">
        <v>150</v>
      </c>
      <c r="M6" s="21">
        <v>83</v>
      </c>
      <c r="N6" s="22">
        <f>M6/L6*100%</f>
        <v>0.55333333333333334</v>
      </c>
    </row>
    <row r="7" spans="1:14" x14ac:dyDescent="0.35">
      <c r="A7" s="31">
        <v>1</v>
      </c>
      <c r="B7" s="45" t="s">
        <v>124</v>
      </c>
      <c r="C7" s="46" t="s">
        <v>28</v>
      </c>
      <c r="D7" s="46">
        <v>35</v>
      </c>
      <c r="E7" s="46">
        <v>0</v>
      </c>
      <c r="F7" s="31">
        <f>E7-D7</f>
        <v>-35</v>
      </c>
      <c r="G7" s="35">
        <f>E7/D7*100%</f>
        <v>0</v>
      </c>
    </row>
    <row r="8" spans="1:14" x14ac:dyDescent="0.35">
      <c r="A8" s="31">
        <v>2</v>
      </c>
      <c r="B8" s="45" t="s">
        <v>125</v>
      </c>
      <c r="C8" s="46" t="s">
        <v>30</v>
      </c>
      <c r="D8" s="46">
        <v>25</v>
      </c>
      <c r="E8" s="46">
        <v>8</v>
      </c>
      <c r="F8" s="31">
        <f t="shared" ref="F8:F19" si="0">E8-D8</f>
        <v>-17</v>
      </c>
      <c r="G8" s="35">
        <f t="shared" ref="G8:G19" si="1">E8/D8*100%</f>
        <v>0.32</v>
      </c>
    </row>
    <row r="9" spans="1:14" x14ac:dyDescent="0.35">
      <c r="A9" s="31">
        <v>3</v>
      </c>
      <c r="B9" s="45" t="s">
        <v>126</v>
      </c>
      <c r="C9" s="46" t="s">
        <v>30</v>
      </c>
      <c r="D9" s="46">
        <v>25</v>
      </c>
      <c r="E9" s="46">
        <v>13</v>
      </c>
      <c r="F9" s="31">
        <f t="shared" si="0"/>
        <v>-12</v>
      </c>
      <c r="G9" s="35">
        <f t="shared" si="1"/>
        <v>0.52</v>
      </c>
    </row>
    <row r="10" spans="1:14" x14ac:dyDescent="0.35">
      <c r="A10" s="31">
        <v>4</v>
      </c>
      <c r="B10" s="45" t="s">
        <v>127</v>
      </c>
      <c r="C10" s="46" t="s">
        <v>30</v>
      </c>
      <c r="D10" s="46">
        <v>25</v>
      </c>
      <c r="E10" s="46">
        <v>61</v>
      </c>
      <c r="F10" s="31">
        <f t="shared" si="0"/>
        <v>36</v>
      </c>
      <c r="G10" s="35">
        <f t="shared" si="1"/>
        <v>2.44</v>
      </c>
    </row>
    <row r="11" spans="1:14" x14ac:dyDescent="0.35">
      <c r="A11" s="31">
        <v>5</v>
      </c>
      <c r="B11" s="45" t="s">
        <v>128</v>
      </c>
      <c r="C11" s="46" t="s">
        <v>30</v>
      </c>
      <c r="D11" s="46">
        <v>25</v>
      </c>
      <c r="E11" s="46">
        <v>5</v>
      </c>
      <c r="F11" s="31">
        <f t="shared" si="0"/>
        <v>-20</v>
      </c>
      <c r="G11" s="35">
        <f t="shared" si="1"/>
        <v>0.2</v>
      </c>
    </row>
    <row r="12" spans="1:14" x14ac:dyDescent="0.35">
      <c r="A12" s="31">
        <v>6</v>
      </c>
      <c r="B12" s="45" t="s">
        <v>129</v>
      </c>
      <c r="C12" s="46" t="s">
        <v>30</v>
      </c>
      <c r="D12" s="46">
        <v>25</v>
      </c>
      <c r="E12" s="46">
        <v>10</v>
      </c>
      <c r="F12" s="31">
        <f t="shared" si="0"/>
        <v>-15</v>
      </c>
      <c r="G12" s="35">
        <f t="shared" si="1"/>
        <v>0.4</v>
      </c>
    </row>
    <row r="13" spans="1:14" x14ac:dyDescent="0.35">
      <c r="A13" s="31">
        <v>7</v>
      </c>
      <c r="B13" s="45" t="s">
        <v>130</v>
      </c>
      <c r="C13" s="46" t="s">
        <v>28</v>
      </c>
      <c r="D13" s="46">
        <v>35</v>
      </c>
      <c r="E13" s="46">
        <v>0</v>
      </c>
      <c r="F13" s="31">
        <f t="shared" si="0"/>
        <v>-35</v>
      </c>
      <c r="G13" s="35">
        <f t="shared" si="1"/>
        <v>0</v>
      </c>
    </row>
    <row r="14" spans="1:14" x14ac:dyDescent="0.35">
      <c r="A14" s="31">
        <v>8</v>
      </c>
      <c r="B14" s="45" t="s">
        <v>131</v>
      </c>
      <c r="C14" s="46" t="s">
        <v>30</v>
      </c>
      <c r="D14" s="46">
        <v>25</v>
      </c>
      <c r="E14" s="46">
        <v>5</v>
      </c>
      <c r="F14" s="31">
        <f t="shared" si="0"/>
        <v>-20</v>
      </c>
      <c r="G14" s="35">
        <f t="shared" si="1"/>
        <v>0.2</v>
      </c>
    </row>
    <row r="15" spans="1:14" x14ac:dyDescent="0.35">
      <c r="A15" s="31">
        <v>9</v>
      </c>
      <c r="B15" s="45" t="s">
        <v>132</v>
      </c>
      <c r="C15" s="46" t="s">
        <v>30</v>
      </c>
      <c r="D15" s="46">
        <v>25</v>
      </c>
      <c r="E15" s="46">
        <v>13</v>
      </c>
      <c r="F15" s="31">
        <f t="shared" si="0"/>
        <v>-12</v>
      </c>
      <c r="G15" s="35">
        <f t="shared" si="1"/>
        <v>0.52</v>
      </c>
    </row>
    <row r="16" spans="1:14" x14ac:dyDescent="0.35">
      <c r="A16" s="31">
        <v>10</v>
      </c>
      <c r="B16" s="45" t="s">
        <v>133</v>
      </c>
      <c r="C16" s="46" t="s">
        <v>30</v>
      </c>
      <c r="D16" s="46">
        <v>25</v>
      </c>
      <c r="E16" s="46">
        <v>39</v>
      </c>
      <c r="F16" s="31">
        <f t="shared" si="0"/>
        <v>14</v>
      </c>
      <c r="G16" s="35">
        <f t="shared" si="1"/>
        <v>1.56</v>
      </c>
    </row>
    <row r="17" spans="1:7" x14ac:dyDescent="0.35">
      <c r="A17" s="31">
        <v>11</v>
      </c>
      <c r="B17" s="45" t="s">
        <v>134</v>
      </c>
      <c r="C17" s="46" t="s">
        <v>30</v>
      </c>
      <c r="D17" s="46">
        <v>25</v>
      </c>
      <c r="E17" s="46">
        <v>13</v>
      </c>
      <c r="F17" s="31">
        <f t="shared" si="0"/>
        <v>-12</v>
      </c>
      <c r="G17" s="35">
        <f t="shared" si="1"/>
        <v>0.52</v>
      </c>
    </row>
    <row r="18" spans="1:7" x14ac:dyDescent="0.35">
      <c r="A18" s="31">
        <v>12</v>
      </c>
      <c r="B18" s="45" t="s">
        <v>135</v>
      </c>
      <c r="C18" s="46" t="s">
        <v>30</v>
      </c>
      <c r="D18" s="46">
        <v>25</v>
      </c>
      <c r="E18" s="46">
        <v>13</v>
      </c>
      <c r="F18" s="31">
        <f t="shared" si="0"/>
        <v>-12</v>
      </c>
      <c r="G18" s="35">
        <f t="shared" si="1"/>
        <v>0.52</v>
      </c>
    </row>
    <row r="19" spans="1:7" x14ac:dyDescent="0.35">
      <c r="A19" s="31"/>
      <c r="B19" s="31" t="s">
        <v>34</v>
      </c>
      <c r="C19" s="31"/>
      <c r="D19" s="31">
        <v>300</v>
      </c>
      <c r="E19" s="31">
        <f>SUM(E7:E18)</f>
        <v>180</v>
      </c>
      <c r="F19" s="31">
        <f t="shared" si="0"/>
        <v>-120</v>
      </c>
      <c r="G19" s="35">
        <f t="shared" si="1"/>
        <v>0.6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275F-F99B-46E0-B3D6-1E64223E56EC}">
  <dimension ref="A1:N18"/>
  <sheetViews>
    <sheetView workbookViewId="0">
      <selection activeCell="C4" sqref="C4:G4"/>
    </sheetView>
  </sheetViews>
  <sheetFormatPr defaultRowHeight="14.5" x14ac:dyDescent="0.35"/>
  <cols>
    <col min="1" max="1" width="5.453125" customWidth="1"/>
    <col min="2" max="2" width="35.1796875" customWidth="1"/>
    <col min="7" max="7" width="8.7265625" style="6"/>
    <col min="9" max="9" width="5.7265625" customWidth="1"/>
    <col min="10" max="10" width="15.36328125" customWidth="1"/>
  </cols>
  <sheetData>
    <row r="1" spans="1:14" x14ac:dyDescent="0.35">
      <c r="B1" s="5" t="s">
        <v>16</v>
      </c>
    </row>
    <row r="2" spans="1:14" x14ac:dyDescent="0.35">
      <c r="B2" s="5" t="s">
        <v>83</v>
      </c>
    </row>
    <row r="3" spans="1:14" x14ac:dyDescent="0.35">
      <c r="B3" s="5" t="s">
        <v>84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149</v>
      </c>
      <c r="K5" s="21">
        <v>5</v>
      </c>
      <c r="L5" s="21">
        <v>150</v>
      </c>
      <c r="M5" s="21">
        <v>16</v>
      </c>
      <c r="N5" s="22">
        <f>M5/L5*100%</f>
        <v>0.10666666666666667</v>
      </c>
    </row>
    <row r="6" spans="1:14" x14ac:dyDescent="0.35">
      <c r="A6" s="158"/>
      <c r="B6" s="159"/>
      <c r="C6" s="163"/>
      <c r="D6" s="163"/>
      <c r="E6" s="163"/>
      <c r="F6" s="163"/>
      <c r="G6" s="165"/>
      <c r="I6" s="21">
        <v>2</v>
      </c>
      <c r="J6" s="21" t="s">
        <v>150</v>
      </c>
      <c r="K6" s="21">
        <v>4</v>
      </c>
      <c r="L6" s="21">
        <v>150</v>
      </c>
      <c r="M6" s="21">
        <v>86</v>
      </c>
      <c r="N6" s="22">
        <f>M6/L6*100%</f>
        <v>0.57333333333333336</v>
      </c>
    </row>
    <row r="7" spans="1:14" x14ac:dyDescent="0.35">
      <c r="A7" s="31">
        <v>1</v>
      </c>
      <c r="B7" s="45" t="s">
        <v>138</v>
      </c>
      <c r="C7" s="46" t="s">
        <v>28</v>
      </c>
      <c r="D7" s="46">
        <v>35</v>
      </c>
      <c r="E7" s="46">
        <v>0</v>
      </c>
      <c r="F7" s="31">
        <f>E7-D7</f>
        <v>-35</v>
      </c>
      <c r="G7" s="35">
        <f>E7/D7*100%</f>
        <v>0</v>
      </c>
    </row>
    <row r="8" spans="1:14" x14ac:dyDescent="0.35">
      <c r="A8" s="31">
        <v>2</v>
      </c>
      <c r="B8" s="45" t="s">
        <v>139</v>
      </c>
      <c r="C8" s="46" t="s">
        <v>30</v>
      </c>
      <c r="D8" s="46">
        <v>25</v>
      </c>
      <c r="E8" s="46">
        <v>7</v>
      </c>
      <c r="F8" s="31">
        <f t="shared" ref="F8:F18" si="0">E8-D8</f>
        <v>-18</v>
      </c>
      <c r="G8" s="35">
        <f t="shared" ref="G8:G18" si="1">E8/D8*100%</f>
        <v>0.28000000000000003</v>
      </c>
    </row>
    <row r="9" spans="1:14" x14ac:dyDescent="0.35">
      <c r="A9" s="31">
        <v>3</v>
      </c>
      <c r="B9" s="45" t="s">
        <v>140</v>
      </c>
      <c r="C9" s="46" t="s">
        <v>30</v>
      </c>
      <c r="D9" s="46">
        <v>25</v>
      </c>
      <c r="E9" s="46">
        <v>1</v>
      </c>
      <c r="F9" s="31">
        <f t="shared" si="0"/>
        <v>-24</v>
      </c>
      <c r="G9" s="35">
        <f t="shared" si="1"/>
        <v>0.04</v>
      </c>
    </row>
    <row r="10" spans="1:14" x14ac:dyDescent="0.35">
      <c r="A10" s="31">
        <v>4</v>
      </c>
      <c r="B10" s="45" t="s">
        <v>141</v>
      </c>
      <c r="C10" s="46" t="s">
        <v>30</v>
      </c>
      <c r="D10" s="46">
        <v>25</v>
      </c>
      <c r="E10" s="46">
        <v>2</v>
      </c>
      <c r="F10" s="31">
        <f t="shared" si="0"/>
        <v>-23</v>
      </c>
      <c r="G10" s="35">
        <f t="shared" si="1"/>
        <v>0.08</v>
      </c>
    </row>
    <row r="11" spans="1:14" x14ac:dyDescent="0.35">
      <c r="A11" s="31">
        <v>5</v>
      </c>
      <c r="B11" s="45" t="s">
        <v>142</v>
      </c>
      <c r="C11" s="46" t="s">
        <v>30</v>
      </c>
      <c r="D11" s="46">
        <v>25</v>
      </c>
      <c r="E11" s="46">
        <v>2</v>
      </c>
      <c r="F11" s="31">
        <f t="shared" si="0"/>
        <v>-23</v>
      </c>
      <c r="G11" s="35">
        <f t="shared" si="1"/>
        <v>0.08</v>
      </c>
    </row>
    <row r="12" spans="1:14" x14ac:dyDescent="0.35">
      <c r="A12" s="31">
        <v>6</v>
      </c>
      <c r="B12" s="45" t="s">
        <v>143</v>
      </c>
      <c r="C12" s="46" t="s">
        <v>30</v>
      </c>
      <c r="D12" s="46">
        <v>25</v>
      </c>
      <c r="E12" s="46">
        <v>4</v>
      </c>
      <c r="F12" s="31">
        <f t="shared" si="0"/>
        <v>-21</v>
      </c>
      <c r="G12" s="35">
        <f t="shared" si="1"/>
        <v>0.16</v>
      </c>
    </row>
    <row r="13" spans="1:14" x14ac:dyDescent="0.35">
      <c r="A13" s="31">
        <v>7</v>
      </c>
      <c r="B13" s="45" t="s">
        <v>144</v>
      </c>
      <c r="C13" s="46" t="s">
        <v>28</v>
      </c>
      <c r="D13" s="46">
        <v>35</v>
      </c>
      <c r="E13" s="46">
        <v>1</v>
      </c>
      <c r="F13" s="31">
        <f t="shared" si="0"/>
        <v>-34</v>
      </c>
      <c r="G13" s="35">
        <f t="shared" si="1"/>
        <v>2.8571428571428571E-2</v>
      </c>
    </row>
    <row r="14" spans="1:14" x14ac:dyDescent="0.35">
      <c r="A14" s="31">
        <v>8</v>
      </c>
      <c r="B14" s="45" t="s">
        <v>145</v>
      </c>
      <c r="C14" s="46" t="s">
        <v>30</v>
      </c>
      <c r="D14" s="46">
        <v>25</v>
      </c>
      <c r="E14" s="46">
        <v>26</v>
      </c>
      <c r="F14" s="31">
        <f t="shared" si="0"/>
        <v>1</v>
      </c>
      <c r="G14" s="35">
        <f t="shared" si="1"/>
        <v>1.04</v>
      </c>
    </row>
    <row r="15" spans="1:14" x14ac:dyDescent="0.35">
      <c r="A15" s="31">
        <v>9</v>
      </c>
      <c r="B15" s="45" t="s">
        <v>146</v>
      </c>
      <c r="C15" s="46" t="s">
        <v>30</v>
      </c>
      <c r="D15" s="46">
        <v>25</v>
      </c>
      <c r="E15" s="46">
        <v>24</v>
      </c>
      <c r="F15" s="31">
        <f t="shared" si="0"/>
        <v>-1</v>
      </c>
      <c r="G15" s="35">
        <f t="shared" si="1"/>
        <v>0.96</v>
      </c>
    </row>
    <row r="16" spans="1:14" x14ac:dyDescent="0.35">
      <c r="A16" s="31">
        <v>10</v>
      </c>
      <c r="B16" s="45" t="s">
        <v>147</v>
      </c>
      <c r="C16" s="46" t="s">
        <v>30</v>
      </c>
      <c r="D16" s="46">
        <v>25</v>
      </c>
      <c r="E16" s="46">
        <v>8</v>
      </c>
      <c r="F16" s="31">
        <f t="shared" si="0"/>
        <v>-17</v>
      </c>
      <c r="G16" s="35">
        <f t="shared" si="1"/>
        <v>0.32</v>
      </c>
    </row>
    <row r="17" spans="1:7" x14ac:dyDescent="0.35">
      <c r="A17" s="31">
        <v>11</v>
      </c>
      <c r="B17" s="45" t="s">
        <v>148</v>
      </c>
      <c r="C17" s="46" t="s">
        <v>30</v>
      </c>
      <c r="D17" s="46">
        <v>25</v>
      </c>
      <c r="E17" s="46">
        <v>27</v>
      </c>
      <c r="F17" s="31">
        <f t="shared" si="0"/>
        <v>2</v>
      </c>
      <c r="G17" s="35">
        <f t="shared" si="1"/>
        <v>1.08</v>
      </c>
    </row>
    <row r="18" spans="1:7" x14ac:dyDescent="0.35">
      <c r="A18" s="31"/>
      <c r="B18" s="31" t="s">
        <v>34</v>
      </c>
      <c r="C18" s="31"/>
      <c r="D18" s="31">
        <v>300</v>
      </c>
      <c r="E18" s="31">
        <f>SUM(E7:E17)</f>
        <v>102</v>
      </c>
      <c r="F18" s="31">
        <f t="shared" si="0"/>
        <v>-198</v>
      </c>
      <c r="G18" s="35">
        <f t="shared" si="1"/>
        <v>0.34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D4D5-77E4-4465-8CD3-1580F30C41A2}">
  <dimension ref="A1:G13"/>
  <sheetViews>
    <sheetView workbookViewId="0">
      <selection activeCell="C4" sqref="C4:G4"/>
    </sheetView>
  </sheetViews>
  <sheetFormatPr defaultRowHeight="14.5" x14ac:dyDescent="0.35"/>
  <cols>
    <col min="1" max="1" width="4.54296875" customWidth="1"/>
    <col min="2" max="2" width="30.81640625" customWidth="1"/>
    <col min="7" max="7" width="8.7265625" style="6"/>
  </cols>
  <sheetData>
    <row r="1" spans="1:7" x14ac:dyDescent="0.35">
      <c r="B1" s="5" t="s">
        <v>16</v>
      </c>
    </row>
    <row r="2" spans="1:7" x14ac:dyDescent="0.35">
      <c r="B2" s="5" t="s">
        <v>83</v>
      </c>
    </row>
    <row r="3" spans="1:7" x14ac:dyDescent="0.35">
      <c r="B3" s="5" t="s">
        <v>84</v>
      </c>
    </row>
    <row r="4" spans="1:7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</row>
    <row r="5" spans="1:7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</row>
    <row r="6" spans="1:7" x14ac:dyDescent="0.35">
      <c r="A6" s="158"/>
      <c r="B6" s="159"/>
      <c r="C6" s="163"/>
      <c r="D6" s="163"/>
      <c r="E6" s="163"/>
      <c r="F6" s="163"/>
      <c r="G6" s="165"/>
    </row>
    <row r="7" spans="1:7" x14ac:dyDescent="0.35">
      <c r="A7" s="31">
        <v>1</v>
      </c>
      <c r="B7" s="45" t="s">
        <v>151</v>
      </c>
      <c r="C7" s="46" t="s">
        <v>28</v>
      </c>
      <c r="D7" s="46">
        <v>35</v>
      </c>
      <c r="E7" s="46">
        <v>0</v>
      </c>
      <c r="F7" s="31">
        <f>E7-D7</f>
        <v>-35</v>
      </c>
      <c r="G7" s="35">
        <f>E7/D7*100%</f>
        <v>0</v>
      </c>
    </row>
    <row r="8" spans="1:7" x14ac:dyDescent="0.35">
      <c r="A8" s="31">
        <v>2</v>
      </c>
      <c r="B8" s="45" t="s">
        <v>152</v>
      </c>
      <c r="C8" s="46" t="s">
        <v>30</v>
      </c>
      <c r="D8" s="46">
        <v>25</v>
      </c>
      <c r="E8" s="46">
        <v>30</v>
      </c>
      <c r="F8" s="31">
        <f t="shared" ref="F8:F13" si="0">E8-D8</f>
        <v>5</v>
      </c>
      <c r="G8" s="35">
        <f t="shared" ref="G8:G13" si="1">E8/D8*100%</f>
        <v>1.2</v>
      </c>
    </row>
    <row r="9" spans="1:7" x14ac:dyDescent="0.35">
      <c r="A9" s="31">
        <v>3</v>
      </c>
      <c r="B9" s="45" t="s">
        <v>153</v>
      </c>
      <c r="C9" s="46" t="s">
        <v>30</v>
      </c>
      <c r="D9" s="46">
        <v>25</v>
      </c>
      <c r="E9" s="46">
        <v>31</v>
      </c>
      <c r="F9" s="31">
        <f t="shared" si="0"/>
        <v>6</v>
      </c>
      <c r="G9" s="35">
        <f t="shared" si="1"/>
        <v>1.24</v>
      </c>
    </row>
    <row r="10" spans="1:7" x14ac:dyDescent="0.35">
      <c r="A10" s="31">
        <v>4</v>
      </c>
      <c r="B10" s="45" t="s">
        <v>154</v>
      </c>
      <c r="C10" s="46" t="s">
        <v>30</v>
      </c>
      <c r="D10" s="46">
        <v>25</v>
      </c>
      <c r="E10" s="46">
        <v>34</v>
      </c>
      <c r="F10" s="31">
        <f t="shared" si="0"/>
        <v>9</v>
      </c>
      <c r="G10" s="35">
        <f t="shared" si="1"/>
        <v>1.36</v>
      </c>
    </row>
    <row r="11" spans="1:7" x14ac:dyDescent="0.35">
      <c r="A11" s="31">
        <v>5</v>
      </c>
      <c r="B11" s="45" t="s">
        <v>155</v>
      </c>
      <c r="C11" s="46" t="s">
        <v>30</v>
      </c>
      <c r="D11" s="46">
        <v>25</v>
      </c>
      <c r="E11" s="46">
        <v>6</v>
      </c>
      <c r="F11" s="31">
        <f t="shared" si="0"/>
        <v>-19</v>
      </c>
      <c r="G11" s="35">
        <f t="shared" si="1"/>
        <v>0.24</v>
      </c>
    </row>
    <row r="12" spans="1:7" x14ac:dyDescent="0.35">
      <c r="A12" s="31">
        <v>6</v>
      </c>
      <c r="B12" s="45" t="s">
        <v>156</v>
      </c>
      <c r="C12" s="46" t="s">
        <v>30</v>
      </c>
      <c r="D12" s="46">
        <v>25</v>
      </c>
      <c r="E12" s="46">
        <v>38</v>
      </c>
      <c r="F12" s="31">
        <f t="shared" si="0"/>
        <v>13</v>
      </c>
      <c r="G12" s="35">
        <f t="shared" si="1"/>
        <v>1.52</v>
      </c>
    </row>
    <row r="13" spans="1:7" x14ac:dyDescent="0.35">
      <c r="A13" s="31"/>
      <c r="B13" s="31" t="s">
        <v>34</v>
      </c>
      <c r="C13" s="31"/>
      <c r="D13" s="31">
        <v>150</v>
      </c>
      <c r="E13" s="31">
        <f>SUM(E7:E12)</f>
        <v>139</v>
      </c>
      <c r="F13" s="31">
        <f t="shared" si="0"/>
        <v>-11</v>
      </c>
      <c r="G13" s="35">
        <f t="shared" si="1"/>
        <v>0.92666666666666664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98E8-F321-4303-A717-F65C3BC6515D}">
  <dimension ref="A1:G15"/>
  <sheetViews>
    <sheetView workbookViewId="0">
      <selection activeCell="C4" sqref="C4:G4"/>
    </sheetView>
  </sheetViews>
  <sheetFormatPr defaultRowHeight="14.5" x14ac:dyDescent="0.35"/>
  <cols>
    <col min="1" max="1" width="4.7265625" customWidth="1"/>
    <col min="2" max="2" width="27.81640625" customWidth="1"/>
    <col min="7" max="7" width="8.7265625" style="6"/>
  </cols>
  <sheetData>
    <row r="1" spans="1:7" x14ac:dyDescent="0.35">
      <c r="B1" s="5" t="s">
        <v>16</v>
      </c>
    </row>
    <row r="2" spans="1:7" x14ac:dyDescent="0.35">
      <c r="B2" s="5" t="s">
        <v>83</v>
      </c>
    </row>
    <row r="3" spans="1:7" x14ac:dyDescent="0.35">
      <c r="B3" s="5" t="s">
        <v>84</v>
      </c>
    </row>
    <row r="4" spans="1:7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</row>
    <row r="5" spans="1:7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</row>
    <row r="6" spans="1:7" x14ac:dyDescent="0.35">
      <c r="A6" s="158"/>
      <c r="B6" s="159"/>
      <c r="C6" s="163"/>
      <c r="D6" s="163"/>
      <c r="E6" s="163"/>
      <c r="F6" s="163"/>
      <c r="G6" s="165"/>
    </row>
    <row r="7" spans="1:7" x14ac:dyDescent="0.35">
      <c r="A7" s="31">
        <v>1</v>
      </c>
      <c r="B7" s="45" t="s">
        <v>157</v>
      </c>
      <c r="C7" s="46" t="s">
        <v>28</v>
      </c>
      <c r="D7" s="46">
        <v>35</v>
      </c>
      <c r="E7" s="46">
        <v>0</v>
      </c>
      <c r="F7" s="31">
        <f>E7-D7</f>
        <v>-35</v>
      </c>
      <c r="G7" s="35">
        <f>E7/D7*100%</f>
        <v>0</v>
      </c>
    </row>
    <row r="8" spans="1:7" x14ac:dyDescent="0.35">
      <c r="A8" s="31">
        <v>2</v>
      </c>
      <c r="B8" s="45" t="s">
        <v>158</v>
      </c>
      <c r="C8" s="46" t="s">
        <v>30</v>
      </c>
      <c r="D8" s="46">
        <v>25</v>
      </c>
      <c r="E8" s="46">
        <v>4</v>
      </c>
      <c r="F8" s="31">
        <f t="shared" ref="F8:F15" si="0">E8-D8</f>
        <v>-21</v>
      </c>
      <c r="G8" s="35">
        <f t="shared" ref="G8:G15" si="1">E8/D8*100%</f>
        <v>0.16</v>
      </c>
    </row>
    <row r="9" spans="1:7" x14ac:dyDescent="0.35">
      <c r="A9" s="31">
        <v>3</v>
      </c>
      <c r="B9" s="45" t="s">
        <v>159</v>
      </c>
      <c r="C9" s="46" t="s">
        <v>30</v>
      </c>
      <c r="D9" s="46">
        <v>25</v>
      </c>
      <c r="E9" s="46">
        <v>5</v>
      </c>
      <c r="F9" s="31">
        <f t="shared" si="0"/>
        <v>-20</v>
      </c>
      <c r="G9" s="35">
        <f t="shared" si="1"/>
        <v>0.2</v>
      </c>
    </row>
    <row r="10" spans="1:7" x14ac:dyDescent="0.35">
      <c r="A10" s="31">
        <v>4</v>
      </c>
      <c r="B10" s="45" t="s">
        <v>160</v>
      </c>
      <c r="C10" s="46" t="s">
        <v>30</v>
      </c>
      <c r="D10" s="46">
        <v>25</v>
      </c>
      <c r="E10" s="46">
        <v>0</v>
      </c>
      <c r="F10" s="31">
        <f t="shared" si="0"/>
        <v>-25</v>
      </c>
      <c r="G10" s="35">
        <f t="shared" si="1"/>
        <v>0</v>
      </c>
    </row>
    <row r="11" spans="1:7" x14ac:dyDescent="0.35">
      <c r="A11" s="31">
        <v>5</v>
      </c>
      <c r="B11" s="45" t="s">
        <v>161</v>
      </c>
      <c r="C11" s="46" t="s">
        <v>30</v>
      </c>
      <c r="D11" s="46">
        <v>25</v>
      </c>
      <c r="E11" s="46">
        <v>0</v>
      </c>
      <c r="F11" s="31">
        <f t="shared" si="0"/>
        <v>-25</v>
      </c>
      <c r="G11" s="35">
        <f t="shared" si="1"/>
        <v>0</v>
      </c>
    </row>
    <row r="12" spans="1:7" x14ac:dyDescent="0.35">
      <c r="A12" s="31">
        <v>6</v>
      </c>
      <c r="B12" s="45" t="s">
        <v>162</v>
      </c>
      <c r="C12" s="46" t="s">
        <v>30</v>
      </c>
      <c r="D12" s="46">
        <v>25</v>
      </c>
      <c r="E12" s="46">
        <v>17</v>
      </c>
      <c r="F12" s="31">
        <f t="shared" si="0"/>
        <v>-8</v>
      </c>
      <c r="G12" s="35">
        <f t="shared" si="1"/>
        <v>0.68</v>
      </c>
    </row>
    <row r="13" spans="1:7" x14ac:dyDescent="0.35">
      <c r="A13" s="31">
        <v>7</v>
      </c>
      <c r="B13" s="45" t="s">
        <v>163</v>
      </c>
      <c r="C13" s="46" t="s">
        <v>30</v>
      </c>
      <c r="D13" s="46">
        <v>25</v>
      </c>
      <c r="E13" s="46">
        <v>5</v>
      </c>
      <c r="F13" s="31">
        <f t="shared" si="0"/>
        <v>-20</v>
      </c>
      <c r="G13" s="35">
        <f t="shared" si="1"/>
        <v>0.2</v>
      </c>
    </row>
    <row r="14" spans="1:7" x14ac:dyDescent="0.35">
      <c r="A14" s="31">
        <v>8</v>
      </c>
      <c r="B14" s="45" t="s">
        <v>164</v>
      </c>
      <c r="C14" s="46" t="s">
        <v>30</v>
      </c>
      <c r="D14" s="46">
        <v>25</v>
      </c>
      <c r="E14" s="46">
        <v>4</v>
      </c>
      <c r="F14" s="31">
        <f t="shared" si="0"/>
        <v>-21</v>
      </c>
      <c r="G14" s="35">
        <f t="shared" si="1"/>
        <v>0.16</v>
      </c>
    </row>
    <row r="15" spans="1:7" x14ac:dyDescent="0.35">
      <c r="A15" s="31"/>
      <c r="B15" s="31" t="s">
        <v>34</v>
      </c>
      <c r="C15" s="31"/>
      <c r="D15" s="31">
        <v>190</v>
      </c>
      <c r="E15" s="31">
        <f>SUM(E7:E14)</f>
        <v>35</v>
      </c>
      <c r="F15" s="31">
        <f t="shared" si="0"/>
        <v>-155</v>
      </c>
      <c r="G15" s="35">
        <f t="shared" si="1"/>
        <v>0.18421052631578946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613B-94DE-433E-A71F-CE1EF4FEB163}">
  <dimension ref="A1:N63"/>
  <sheetViews>
    <sheetView workbookViewId="0">
      <selection activeCell="C4" sqref="C4:G4"/>
    </sheetView>
  </sheetViews>
  <sheetFormatPr defaultRowHeight="14.5" x14ac:dyDescent="0.35"/>
  <cols>
    <col min="1" max="1" width="3.54296875" customWidth="1"/>
    <col min="2" max="2" width="43.6328125" customWidth="1"/>
    <col min="7" max="7" width="8.7265625" style="6"/>
    <col min="9" max="9" width="3.54296875" customWidth="1"/>
    <col min="10" max="10" width="17.36328125" customWidth="1"/>
    <col min="11" max="11" width="9.6328125" customWidth="1"/>
  </cols>
  <sheetData>
    <row r="1" spans="1:14" x14ac:dyDescent="0.35">
      <c r="B1" s="5" t="s">
        <v>51</v>
      </c>
    </row>
    <row r="2" spans="1:14" x14ac:dyDescent="0.35">
      <c r="B2" s="5" t="s">
        <v>165</v>
      </c>
    </row>
    <row r="3" spans="1:14" x14ac:dyDescent="0.35">
      <c r="B3" s="5" t="s">
        <v>401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458</v>
      </c>
      <c r="K5" s="21">
        <v>7</v>
      </c>
      <c r="L5" s="21">
        <v>190</v>
      </c>
      <c r="M5" s="21">
        <v>210</v>
      </c>
      <c r="N5" s="22">
        <f>M5/L5*100%</f>
        <v>1.1052631578947369</v>
      </c>
    </row>
    <row r="6" spans="1:14" x14ac:dyDescent="0.35">
      <c r="A6" s="168"/>
      <c r="B6" s="169"/>
      <c r="C6" s="170"/>
      <c r="D6" s="170"/>
      <c r="E6" s="170"/>
      <c r="F6" s="170"/>
      <c r="G6" s="171"/>
      <c r="I6" s="21">
        <v>2</v>
      </c>
      <c r="J6" s="21" t="s">
        <v>459</v>
      </c>
      <c r="K6" s="21">
        <v>5</v>
      </c>
      <c r="L6" s="21">
        <v>150</v>
      </c>
      <c r="M6" s="21">
        <v>136</v>
      </c>
      <c r="N6" s="22">
        <f t="shared" ref="N6:N12" si="0">M6/L6*100%</f>
        <v>0.90666666666666662</v>
      </c>
    </row>
    <row r="7" spans="1:14" x14ac:dyDescent="0.35">
      <c r="A7" s="31">
        <v>1</v>
      </c>
      <c r="B7" s="101" t="s">
        <v>402</v>
      </c>
      <c r="C7" s="102" t="s">
        <v>28</v>
      </c>
      <c r="D7" s="102">
        <v>35</v>
      </c>
      <c r="E7" s="102">
        <v>0</v>
      </c>
      <c r="F7" s="31">
        <f>E7-D7</f>
        <v>-35</v>
      </c>
      <c r="G7" s="35">
        <f>E7/D7*100%</f>
        <v>0</v>
      </c>
      <c r="I7" s="21">
        <v>3</v>
      </c>
      <c r="J7" s="21" t="s">
        <v>416</v>
      </c>
      <c r="K7" s="21">
        <v>5</v>
      </c>
      <c r="L7" s="21">
        <v>150</v>
      </c>
      <c r="M7" s="21">
        <v>152</v>
      </c>
      <c r="N7" s="22">
        <f t="shared" si="0"/>
        <v>1.0133333333333334</v>
      </c>
    </row>
    <row r="8" spans="1:14" x14ac:dyDescent="0.35">
      <c r="A8" s="31">
        <v>2</v>
      </c>
      <c r="B8" s="103" t="s">
        <v>403</v>
      </c>
      <c r="C8" s="104" t="s">
        <v>30</v>
      </c>
      <c r="D8" s="102">
        <v>25</v>
      </c>
      <c r="E8" s="104">
        <v>74</v>
      </c>
      <c r="F8" s="31">
        <f t="shared" ref="F8:F63" si="1">E8-D8</f>
        <v>49</v>
      </c>
      <c r="G8" s="35">
        <f t="shared" ref="G8:G63" si="2">E8/D8*100%</f>
        <v>2.96</v>
      </c>
      <c r="I8" s="21">
        <v>4</v>
      </c>
      <c r="J8" s="21" t="s">
        <v>460</v>
      </c>
      <c r="K8" s="21">
        <v>5</v>
      </c>
      <c r="L8" s="21">
        <v>150</v>
      </c>
      <c r="M8" s="21">
        <v>154</v>
      </c>
      <c r="N8" s="22">
        <f t="shared" si="0"/>
        <v>1.0266666666666666</v>
      </c>
    </row>
    <row r="9" spans="1:14" x14ac:dyDescent="0.35">
      <c r="A9" s="31">
        <v>3</v>
      </c>
      <c r="B9" s="31" t="s">
        <v>404</v>
      </c>
      <c r="C9" s="104" t="s">
        <v>30</v>
      </c>
      <c r="D9" s="102">
        <v>25</v>
      </c>
      <c r="E9" s="104">
        <v>18</v>
      </c>
      <c r="F9" s="31">
        <f t="shared" si="1"/>
        <v>-7</v>
      </c>
      <c r="G9" s="35">
        <f t="shared" si="2"/>
        <v>0.72</v>
      </c>
      <c r="I9" s="21">
        <v>5</v>
      </c>
      <c r="J9" s="21" t="s">
        <v>461</v>
      </c>
      <c r="K9" s="21">
        <v>5</v>
      </c>
      <c r="L9" s="21">
        <v>150</v>
      </c>
      <c r="M9" s="21">
        <v>154</v>
      </c>
      <c r="N9" s="22">
        <f t="shared" si="0"/>
        <v>1.0266666666666666</v>
      </c>
    </row>
    <row r="10" spans="1:14" x14ac:dyDescent="0.35">
      <c r="A10" s="31">
        <v>4</v>
      </c>
      <c r="B10" s="103" t="s">
        <v>405</v>
      </c>
      <c r="C10" s="104" t="s">
        <v>30</v>
      </c>
      <c r="D10" s="102">
        <v>25</v>
      </c>
      <c r="E10" s="104">
        <v>28</v>
      </c>
      <c r="F10" s="31">
        <f t="shared" si="1"/>
        <v>3</v>
      </c>
      <c r="G10" s="35">
        <f t="shared" si="2"/>
        <v>1.1200000000000001</v>
      </c>
      <c r="I10" s="21">
        <v>6</v>
      </c>
      <c r="J10" s="21" t="s">
        <v>462</v>
      </c>
      <c r="K10" s="21">
        <v>7</v>
      </c>
      <c r="L10" s="21">
        <v>190</v>
      </c>
      <c r="M10" s="21">
        <v>224</v>
      </c>
      <c r="N10" s="22">
        <f t="shared" si="0"/>
        <v>1.1789473684210525</v>
      </c>
    </row>
    <row r="11" spans="1:14" x14ac:dyDescent="0.35">
      <c r="A11" s="31">
        <v>5</v>
      </c>
      <c r="B11" s="31" t="s">
        <v>406</v>
      </c>
      <c r="C11" s="104" t="s">
        <v>30</v>
      </c>
      <c r="D11" s="102">
        <v>25</v>
      </c>
      <c r="E11" s="104">
        <v>20</v>
      </c>
      <c r="F11" s="31">
        <f t="shared" si="1"/>
        <v>-5</v>
      </c>
      <c r="G11" s="35">
        <f t="shared" si="2"/>
        <v>0.8</v>
      </c>
      <c r="I11" s="21">
        <v>7</v>
      </c>
      <c r="J11" s="21" t="s">
        <v>463</v>
      </c>
      <c r="K11" s="21">
        <v>7</v>
      </c>
      <c r="L11" s="21">
        <v>190</v>
      </c>
      <c r="M11" s="21">
        <v>256</v>
      </c>
      <c r="N11" s="22">
        <f t="shared" si="0"/>
        <v>1.3473684210526315</v>
      </c>
    </row>
    <row r="12" spans="1:14" x14ac:dyDescent="0.35">
      <c r="A12" s="31">
        <v>6</v>
      </c>
      <c r="B12" s="31" t="s">
        <v>407</v>
      </c>
      <c r="C12" s="104" t="s">
        <v>30</v>
      </c>
      <c r="D12" s="102">
        <v>25</v>
      </c>
      <c r="E12" s="104">
        <v>18</v>
      </c>
      <c r="F12" s="31">
        <f t="shared" si="1"/>
        <v>-7</v>
      </c>
      <c r="G12" s="35">
        <f t="shared" si="2"/>
        <v>0.72</v>
      </c>
      <c r="I12" s="21">
        <v>8</v>
      </c>
      <c r="J12" s="21" t="s">
        <v>464</v>
      </c>
      <c r="K12" s="21">
        <v>7</v>
      </c>
      <c r="L12" s="21">
        <v>190</v>
      </c>
      <c r="M12" s="21">
        <v>216</v>
      </c>
      <c r="N12" s="22">
        <f t="shared" si="0"/>
        <v>1.1368421052631579</v>
      </c>
    </row>
    <row r="13" spans="1:14" x14ac:dyDescent="0.35">
      <c r="A13" s="31">
        <v>7</v>
      </c>
      <c r="B13" s="31" t="s">
        <v>408</v>
      </c>
      <c r="C13" s="104" t="s">
        <v>30</v>
      </c>
      <c r="D13" s="102">
        <v>25</v>
      </c>
      <c r="E13" s="104">
        <v>27</v>
      </c>
      <c r="F13" s="31">
        <f t="shared" si="1"/>
        <v>2</v>
      </c>
      <c r="G13" s="35">
        <f t="shared" si="2"/>
        <v>1.08</v>
      </c>
    </row>
    <row r="14" spans="1:14" x14ac:dyDescent="0.35">
      <c r="A14" s="31">
        <v>8</v>
      </c>
      <c r="B14" s="31" t="s">
        <v>409</v>
      </c>
      <c r="C14" s="104" t="s">
        <v>30</v>
      </c>
      <c r="D14" s="102">
        <v>25</v>
      </c>
      <c r="E14" s="104">
        <v>25</v>
      </c>
      <c r="F14" s="31">
        <f t="shared" si="1"/>
        <v>0</v>
      </c>
      <c r="G14" s="35">
        <f t="shared" si="2"/>
        <v>1</v>
      </c>
    </row>
    <row r="15" spans="1:14" x14ac:dyDescent="0.35">
      <c r="A15" s="31">
        <v>9</v>
      </c>
      <c r="B15" s="101" t="s">
        <v>410</v>
      </c>
      <c r="C15" s="102" t="s">
        <v>28</v>
      </c>
      <c r="D15" s="102">
        <v>35</v>
      </c>
      <c r="E15" s="66">
        <v>1</v>
      </c>
      <c r="F15" s="31">
        <f t="shared" si="1"/>
        <v>-34</v>
      </c>
      <c r="G15" s="35">
        <f t="shared" si="2"/>
        <v>2.8571428571428571E-2</v>
      </c>
    </row>
    <row r="16" spans="1:14" x14ac:dyDescent="0.35">
      <c r="A16" s="31">
        <v>10</v>
      </c>
      <c r="B16" s="31" t="s">
        <v>411</v>
      </c>
      <c r="C16" s="104" t="s">
        <v>30</v>
      </c>
      <c r="D16" s="102">
        <v>25</v>
      </c>
      <c r="E16" s="66">
        <v>34</v>
      </c>
      <c r="F16" s="31">
        <f t="shared" si="1"/>
        <v>9</v>
      </c>
      <c r="G16" s="35">
        <f t="shared" si="2"/>
        <v>1.36</v>
      </c>
    </row>
    <row r="17" spans="1:7" x14ac:dyDescent="0.35">
      <c r="A17" s="31">
        <v>11</v>
      </c>
      <c r="B17" s="101" t="s">
        <v>412</v>
      </c>
      <c r="C17" s="104" t="s">
        <v>30</v>
      </c>
      <c r="D17" s="102">
        <v>25</v>
      </c>
      <c r="E17" s="66">
        <v>21</v>
      </c>
      <c r="F17" s="31">
        <f t="shared" si="1"/>
        <v>-4</v>
      </c>
      <c r="G17" s="35">
        <f t="shared" si="2"/>
        <v>0.84</v>
      </c>
    </row>
    <row r="18" spans="1:7" x14ac:dyDescent="0.35">
      <c r="A18" s="31">
        <v>12</v>
      </c>
      <c r="B18" s="31" t="s">
        <v>413</v>
      </c>
      <c r="C18" s="104" t="s">
        <v>30</v>
      </c>
      <c r="D18" s="102">
        <v>25</v>
      </c>
      <c r="E18" s="66">
        <v>37</v>
      </c>
      <c r="F18" s="31">
        <f t="shared" si="1"/>
        <v>12</v>
      </c>
      <c r="G18" s="35">
        <f t="shared" si="2"/>
        <v>1.48</v>
      </c>
    </row>
    <row r="19" spans="1:7" x14ac:dyDescent="0.35">
      <c r="A19" s="31">
        <v>13</v>
      </c>
      <c r="B19" s="31" t="s">
        <v>414</v>
      </c>
      <c r="C19" s="104" t="s">
        <v>30</v>
      </c>
      <c r="D19" s="102">
        <v>25</v>
      </c>
      <c r="E19" s="66">
        <v>41</v>
      </c>
      <c r="F19" s="31">
        <f t="shared" si="1"/>
        <v>16</v>
      </c>
      <c r="G19" s="35">
        <f t="shared" si="2"/>
        <v>1.64</v>
      </c>
    </row>
    <row r="20" spans="1:7" x14ac:dyDescent="0.35">
      <c r="A20" s="31">
        <v>14</v>
      </c>
      <c r="B20" s="31" t="s">
        <v>415</v>
      </c>
      <c r="C20" s="15" t="s">
        <v>30</v>
      </c>
      <c r="D20" s="15">
        <v>25</v>
      </c>
      <c r="E20" s="66">
        <v>2</v>
      </c>
      <c r="F20" s="31">
        <f t="shared" si="1"/>
        <v>-23</v>
      </c>
      <c r="G20" s="35">
        <f t="shared" si="2"/>
        <v>0.08</v>
      </c>
    </row>
    <row r="21" spans="1:7" x14ac:dyDescent="0.35">
      <c r="A21" s="31">
        <v>15</v>
      </c>
      <c r="B21" s="109" t="s">
        <v>416</v>
      </c>
      <c r="C21" s="102" t="s">
        <v>28</v>
      </c>
      <c r="D21" s="102">
        <v>35</v>
      </c>
      <c r="E21" s="102">
        <v>16</v>
      </c>
      <c r="F21" s="31">
        <f t="shared" si="1"/>
        <v>-19</v>
      </c>
      <c r="G21" s="35">
        <f t="shared" si="2"/>
        <v>0.45714285714285713</v>
      </c>
    </row>
    <row r="22" spans="1:7" x14ac:dyDescent="0.35">
      <c r="A22" s="31">
        <v>16</v>
      </c>
      <c r="B22" s="109" t="s">
        <v>417</v>
      </c>
      <c r="C22" s="104" t="s">
        <v>30</v>
      </c>
      <c r="D22" s="102">
        <v>25</v>
      </c>
      <c r="E22" s="102">
        <v>20</v>
      </c>
      <c r="F22" s="31">
        <f t="shared" si="1"/>
        <v>-5</v>
      </c>
      <c r="G22" s="35">
        <f t="shared" si="2"/>
        <v>0.8</v>
      </c>
    </row>
    <row r="23" spans="1:7" x14ac:dyDescent="0.35">
      <c r="A23" s="31">
        <v>17</v>
      </c>
      <c r="B23" s="109" t="s">
        <v>418</v>
      </c>
      <c r="C23" s="104" t="s">
        <v>30</v>
      </c>
      <c r="D23" s="102">
        <v>25</v>
      </c>
      <c r="E23" s="102">
        <v>26</v>
      </c>
      <c r="F23" s="31">
        <f t="shared" si="1"/>
        <v>1</v>
      </c>
      <c r="G23" s="35">
        <f t="shared" si="2"/>
        <v>1.04</v>
      </c>
    </row>
    <row r="24" spans="1:7" x14ac:dyDescent="0.35">
      <c r="A24" s="31">
        <v>18</v>
      </c>
      <c r="B24" s="109" t="s">
        <v>419</v>
      </c>
      <c r="C24" s="104" t="s">
        <v>30</v>
      </c>
      <c r="D24" s="102">
        <v>25</v>
      </c>
      <c r="E24" s="102">
        <v>34</v>
      </c>
      <c r="F24" s="31">
        <f t="shared" si="1"/>
        <v>9</v>
      </c>
      <c r="G24" s="35">
        <f t="shared" si="2"/>
        <v>1.36</v>
      </c>
    </row>
    <row r="25" spans="1:7" x14ac:dyDescent="0.35">
      <c r="A25" s="31">
        <v>19</v>
      </c>
      <c r="B25" s="109" t="s">
        <v>420</v>
      </c>
      <c r="C25" s="104" t="s">
        <v>30</v>
      </c>
      <c r="D25" s="102">
        <v>25</v>
      </c>
      <c r="E25" s="102">
        <v>18</v>
      </c>
      <c r="F25" s="31">
        <f t="shared" si="1"/>
        <v>-7</v>
      </c>
      <c r="G25" s="35">
        <f t="shared" si="2"/>
        <v>0.72</v>
      </c>
    </row>
    <row r="26" spans="1:7" x14ac:dyDescent="0.35">
      <c r="A26" s="31">
        <v>20</v>
      </c>
      <c r="B26" s="31" t="s">
        <v>421</v>
      </c>
      <c r="C26" s="104" t="s">
        <v>30</v>
      </c>
      <c r="D26" s="102">
        <v>25</v>
      </c>
      <c r="E26" s="102">
        <v>38</v>
      </c>
      <c r="F26" s="31">
        <f t="shared" si="1"/>
        <v>13</v>
      </c>
      <c r="G26" s="35">
        <f t="shared" si="2"/>
        <v>1.52</v>
      </c>
    </row>
    <row r="27" spans="1:7" x14ac:dyDescent="0.35">
      <c r="A27" s="31">
        <v>21</v>
      </c>
      <c r="B27" s="101" t="s">
        <v>422</v>
      </c>
      <c r="C27" s="102" t="s">
        <v>28</v>
      </c>
      <c r="D27" s="102">
        <v>35</v>
      </c>
      <c r="E27" s="66">
        <v>14</v>
      </c>
      <c r="F27" s="31">
        <f t="shared" si="1"/>
        <v>-21</v>
      </c>
      <c r="G27" s="35">
        <f t="shared" si="2"/>
        <v>0.4</v>
      </c>
    </row>
    <row r="28" spans="1:7" x14ac:dyDescent="0.35">
      <c r="A28" s="31">
        <v>22</v>
      </c>
      <c r="B28" s="103" t="s">
        <v>423</v>
      </c>
      <c r="C28" s="104" t="s">
        <v>30</v>
      </c>
      <c r="D28" s="102">
        <v>25</v>
      </c>
      <c r="E28" s="66">
        <v>29</v>
      </c>
      <c r="F28" s="31">
        <f t="shared" si="1"/>
        <v>4</v>
      </c>
      <c r="G28" s="35">
        <f t="shared" si="2"/>
        <v>1.1599999999999999</v>
      </c>
    </row>
    <row r="29" spans="1:7" x14ac:dyDescent="0.35">
      <c r="A29" s="31">
        <v>23</v>
      </c>
      <c r="B29" s="103" t="s">
        <v>424</v>
      </c>
      <c r="C29" s="104" t="s">
        <v>30</v>
      </c>
      <c r="D29" s="102">
        <v>25</v>
      </c>
      <c r="E29" s="66">
        <v>31</v>
      </c>
      <c r="F29" s="31">
        <f t="shared" si="1"/>
        <v>6</v>
      </c>
      <c r="G29" s="35">
        <f t="shared" si="2"/>
        <v>1.24</v>
      </c>
    </row>
    <row r="30" spans="1:7" x14ac:dyDescent="0.35">
      <c r="A30" s="31">
        <v>24</v>
      </c>
      <c r="B30" s="103" t="s">
        <v>425</v>
      </c>
      <c r="C30" s="104" t="s">
        <v>30</v>
      </c>
      <c r="D30" s="102">
        <v>25</v>
      </c>
      <c r="E30" s="66">
        <v>19</v>
      </c>
      <c r="F30" s="31">
        <f t="shared" si="1"/>
        <v>-6</v>
      </c>
      <c r="G30" s="35">
        <f t="shared" si="2"/>
        <v>0.76</v>
      </c>
    </row>
    <row r="31" spans="1:7" x14ac:dyDescent="0.35">
      <c r="A31" s="31">
        <v>25</v>
      </c>
      <c r="B31" s="103" t="s">
        <v>426</v>
      </c>
      <c r="C31" s="104" t="s">
        <v>30</v>
      </c>
      <c r="D31" s="102">
        <v>25</v>
      </c>
      <c r="E31" s="66">
        <v>37</v>
      </c>
      <c r="F31" s="31">
        <f t="shared" si="1"/>
        <v>12</v>
      </c>
      <c r="G31" s="35">
        <f t="shared" si="2"/>
        <v>1.48</v>
      </c>
    </row>
    <row r="32" spans="1:7" x14ac:dyDescent="0.35">
      <c r="A32" s="31">
        <v>26</v>
      </c>
      <c r="B32" s="103" t="s">
        <v>427</v>
      </c>
      <c r="C32" s="104" t="s">
        <v>30</v>
      </c>
      <c r="D32" s="102">
        <v>25</v>
      </c>
      <c r="E32" s="66">
        <v>24</v>
      </c>
      <c r="F32" s="31">
        <f t="shared" si="1"/>
        <v>-1</v>
      </c>
      <c r="G32" s="35">
        <f t="shared" si="2"/>
        <v>0.96</v>
      </c>
    </row>
    <row r="33" spans="1:7" x14ac:dyDescent="0.35">
      <c r="A33" s="31">
        <v>27</v>
      </c>
      <c r="B33" s="101" t="s">
        <v>428</v>
      </c>
      <c r="C33" s="102" t="s">
        <v>28</v>
      </c>
      <c r="D33" s="102">
        <v>35</v>
      </c>
      <c r="E33" s="66">
        <v>0</v>
      </c>
      <c r="F33" s="31">
        <f t="shared" si="1"/>
        <v>-35</v>
      </c>
      <c r="G33" s="35">
        <f t="shared" si="2"/>
        <v>0</v>
      </c>
    </row>
    <row r="34" spans="1:7" x14ac:dyDescent="0.35">
      <c r="A34" s="31">
        <v>28</v>
      </c>
      <c r="B34" s="103" t="s">
        <v>429</v>
      </c>
      <c r="C34" s="104" t="s">
        <v>30</v>
      </c>
      <c r="D34" s="102">
        <v>25</v>
      </c>
      <c r="E34" s="100">
        <v>22</v>
      </c>
      <c r="F34" s="31">
        <f t="shared" si="1"/>
        <v>-3</v>
      </c>
      <c r="G34" s="35">
        <f t="shared" si="2"/>
        <v>0.88</v>
      </c>
    </row>
    <row r="35" spans="1:7" x14ac:dyDescent="0.35">
      <c r="A35" s="31">
        <v>29</v>
      </c>
      <c r="B35" s="103" t="s">
        <v>430</v>
      </c>
      <c r="C35" s="104" t="s">
        <v>30</v>
      </c>
      <c r="D35" s="102">
        <v>25</v>
      </c>
      <c r="E35" s="100">
        <v>27</v>
      </c>
      <c r="F35" s="31">
        <f t="shared" si="1"/>
        <v>2</v>
      </c>
      <c r="G35" s="35">
        <f t="shared" si="2"/>
        <v>1.08</v>
      </c>
    </row>
    <row r="36" spans="1:7" x14ac:dyDescent="0.35">
      <c r="A36" s="31">
        <v>30</v>
      </c>
      <c r="B36" s="103" t="s">
        <v>431</v>
      </c>
      <c r="C36" s="104" t="s">
        <v>30</v>
      </c>
      <c r="D36" s="102">
        <v>25</v>
      </c>
      <c r="E36" s="66">
        <v>20</v>
      </c>
      <c r="F36" s="31">
        <f t="shared" si="1"/>
        <v>-5</v>
      </c>
      <c r="G36" s="35">
        <f t="shared" si="2"/>
        <v>0.8</v>
      </c>
    </row>
    <row r="37" spans="1:7" x14ac:dyDescent="0.35">
      <c r="A37" s="31">
        <v>31</v>
      </c>
      <c r="B37" s="31" t="s">
        <v>432</v>
      </c>
      <c r="C37" s="104" t="s">
        <v>30</v>
      </c>
      <c r="D37" s="102">
        <v>25</v>
      </c>
      <c r="E37" s="105">
        <v>22</v>
      </c>
      <c r="F37" s="31">
        <f t="shared" si="1"/>
        <v>-3</v>
      </c>
      <c r="G37" s="35">
        <f t="shared" si="2"/>
        <v>0.88</v>
      </c>
    </row>
    <row r="38" spans="1:7" x14ac:dyDescent="0.35">
      <c r="A38" s="31">
        <v>32</v>
      </c>
      <c r="B38" s="31" t="s">
        <v>433</v>
      </c>
      <c r="C38" s="104" t="s">
        <v>30</v>
      </c>
      <c r="D38" s="102">
        <v>25</v>
      </c>
      <c r="E38" s="105">
        <v>63</v>
      </c>
      <c r="F38" s="31">
        <f t="shared" si="1"/>
        <v>38</v>
      </c>
      <c r="G38" s="35">
        <f t="shared" si="2"/>
        <v>2.52</v>
      </c>
    </row>
    <row r="39" spans="1:7" x14ac:dyDescent="0.35">
      <c r="A39" s="31">
        <v>33</v>
      </c>
      <c r="B39" s="101" t="s">
        <v>434</v>
      </c>
      <c r="C39" s="102" t="s">
        <v>28</v>
      </c>
      <c r="D39" s="102">
        <v>35</v>
      </c>
      <c r="E39" s="105">
        <v>12</v>
      </c>
      <c r="F39" s="31">
        <f t="shared" si="1"/>
        <v>-23</v>
      </c>
      <c r="G39" s="35">
        <f t="shared" si="2"/>
        <v>0.34285714285714286</v>
      </c>
    </row>
    <row r="40" spans="1:7" x14ac:dyDescent="0.35">
      <c r="A40" s="31">
        <v>34</v>
      </c>
      <c r="B40" s="103" t="s">
        <v>435</v>
      </c>
      <c r="C40" s="104" t="s">
        <v>30</v>
      </c>
      <c r="D40" s="102">
        <v>25</v>
      </c>
      <c r="E40" s="105">
        <v>34</v>
      </c>
      <c r="F40" s="31">
        <f t="shared" si="1"/>
        <v>9</v>
      </c>
      <c r="G40" s="35">
        <f t="shared" si="2"/>
        <v>1.36</v>
      </c>
    </row>
    <row r="41" spans="1:7" x14ac:dyDescent="0.35">
      <c r="A41" s="31">
        <v>35</v>
      </c>
      <c r="B41" s="103" t="s">
        <v>436</v>
      </c>
      <c r="C41" s="104" t="s">
        <v>30</v>
      </c>
      <c r="D41" s="102">
        <v>25</v>
      </c>
      <c r="E41" s="105">
        <v>53</v>
      </c>
      <c r="F41" s="31">
        <f t="shared" si="1"/>
        <v>28</v>
      </c>
      <c r="G41" s="35">
        <f t="shared" si="2"/>
        <v>2.12</v>
      </c>
    </row>
    <row r="42" spans="1:7" x14ac:dyDescent="0.35">
      <c r="A42" s="31">
        <v>36</v>
      </c>
      <c r="B42" s="103" t="s">
        <v>437</v>
      </c>
      <c r="C42" s="104" t="s">
        <v>30</v>
      </c>
      <c r="D42" s="102">
        <v>25</v>
      </c>
      <c r="E42" s="105">
        <v>33</v>
      </c>
      <c r="F42" s="31">
        <f t="shared" si="1"/>
        <v>8</v>
      </c>
      <c r="G42" s="35">
        <f t="shared" si="2"/>
        <v>1.32</v>
      </c>
    </row>
    <row r="43" spans="1:7" x14ac:dyDescent="0.35">
      <c r="A43" s="31">
        <v>37</v>
      </c>
      <c r="B43" s="103" t="s">
        <v>438</v>
      </c>
      <c r="C43" s="104" t="s">
        <v>30</v>
      </c>
      <c r="D43" s="102">
        <v>25</v>
      </c>
      <c r="E43" s="105">
        <v>38</v>
      </c>
      <c r="F43" s="31">
        <f t="shared" si="1"/>
        <v>13</v>
      </c>
      <c r="G43" s="35">
        <f t="shared" si="2"/>
        <v>1.52</v>
      </c>
    </row>
    <row r="44" spans="1:7" x14ac:dyDescent="0.35">
      <c r="A44" s="31">
        <v>38</v>
      </c>
      <c r="B44" s="103" t="s">
        <v>439</v>
      </c>
      <c r="C44" s="104" t="s">
        <v>30</v>
      </c>
      <c r="D44" s="102">
        <v>25</v>
      </c>
      <c r="E44" s="105">
        <v>24</v>
      </c>
      <c r="F44" s="31">
        <f t="shared" si="1"/>
        <v>-1</v>
      </c>
      <c r="G44" s="35">
        <f t="shared" si="2"/>
        <v>0.96</v>
      </c>
    </row>
    <row r="45" spans="1:7" x14ac:dyDescent="0.35">
      <c r="A45" s="31">
        <v>39</v>
      </c>
      <c r="B45" s="31" t="s">
        <v>440</v>
      </c>
      <c r="C45" s="104" t="s">
        <v>30</v>
      </c>
      <c r="D45" s="102">
        <v>25</v>
      </c>
      <c r="E45" s="105">
        <v>16</v>
      </c>
      <c r="F45" s="31">
        <f t="shared" si="1"/>
        <v>-9</v>
      </c>
      <c r="G45" s="35">
        <f t="shared" si="2"/>
        <v>0.64</v>
      </c>
    </row>
    <row r="46" spans="1:7" x14ac:dyDescent="0.35">
      <c r="A46" s="31">
        <v>40</v>
      </c>
      <c r="B46" s="31" t="s">
        <v>441</v>
      </c>
      <c r="C46" s="104" t="s">
        <v>30</v>
      </c>
      <c r="D46" s="102">
        <v>25</v>
      </c>
      <c r="E46" s="105">
        <v>14</v>
      </c>
      <c r="F46" s="31">
        <f t="shared" si="1"/>
        <v>-11</v>
      </c>
      <c r="G46" s="35">
        <f t="shared" si="2"/>
        <v>0.56000000000000005</v>
      </c>
    </row>
    <row r="47" spans="1:7" x14ac:dyDescent="0.35">
      <c r="A47" s="31">
        <v>41</v>
      </c>
      <c r="B47" s="101" t="s">
        <v>442</v>
      </c>
      <c r="C47" s="102" t="s">
        <v>28</v>
      </c>
      <c r="D47" s="102">
        <v>35</v>
      </c>
      <c r="E47" s="105">
        <v>0</v>
      </c>
      <c r="F47" s="31">
        <f t="shared" si="1"/>
        <v>-35</v>
      </c>
      <c r="G47" s="35">
        <f t="shared" si="2"/>
        <v>0</v>
      </c>
    </row>
    <row r="48" spans="1:7" x14ac:dyDescent="0.35">
      <c r="A48" s="31">
        <v>42</v>
      </c>
      <c r="B48" s="103" t="s">
        <v>443</v>
      </c>
      <c r="C48" s="104" t="s">
        <v>30</v>
      </c>
      <c r="D48" s="102">
        <v>25</v>
      </c>
      <c r="E48" s="105">
        <v>30</v>
      </c>
      <c r="F48" s="31">
        <f t="shared" si="1"/>
        <v>5</v>
      </c>
      <c r="G48" s="35">
        <f t="shared" si="2"/>
        <v>1.2</v>
      </c>
    </row>
    <row r="49" spans="1:7" x14ac:dyDescent="0.35">
      <c r="A49" s="31">
        <v>43</v>
      </c>
      <c r="B49" s="103" t="s">
        <v>444</v>
      </c>
      <c r="C49" s="104" t="s">
        <v>30</v>
      </c>
      <c r="D49" s="102">
        <v>25</v>
      </c>
      <c r="E49" s="105">
        <v>28</v>
      </c>
      <c r="F49" s="31">
        <f t="shared" si="1"/>
        <v>3</v>
      </c>
      <c r="G49" s="35">
        <f t="shared" si="2"/>
        <v>1.1200000000000001</v>
      </c>
    </row>
    <row r="50" spans="1:7" x14ac:dyDescent="0.35">
      <c r="A50" s="31">
        <v>44</v>
      </c>
      <c r="B50" s="103" t="s">
        <v>445</v>
      </c>
      <c r="C50" s="104" t="s">
        <v>30</v>
      </c>
      <c r="D50" s="102">
        <v>25</v>
      </c>
      <c r="E50" s="105">
        <v>24</v>
      </c>
      <c r="F50" s="31">
        <f t="shared" si="1"/>
        <v>-1</v>
      </c>
      <c r="G50" s="35">
        <f t="shared" si="2"/>
        <v>0.96</v>
      </c>
    </row>
    <row r="51" spans="1:7" x14ac:dyDescent="0.35">
      <c r="A51" s="31">
        <v>45</v>
      </c>
      <c r="B51" s="103" t="s">
        <v>446</v>
      </c>
      <c r="C51" s="104" t="s">
        <v>30</v>
      </c>
      <c r="D51" s="102">
        <v>25</v>
      </c>
      <c r="E51" s="105">
        <v>113</v>
      </c>
      <c r="F51" s="31">
        <f t="shared" si="1"/>
        <v>88</v>
      </c>
      <c r="G51" s="35">
        <f t="shared" si="2"/>
        <v>4.5199999999999996</v>
      </c>
    </row>
    <row r="52" spans="1:7" x14ac:dyDescent="0.35">
      <c r="A52" s="31">
        <v>46</v>
      </c>
      <c r="B52" s="31" t="s">
        <v>447</v>
      </c>
      <c r="C52" s="104" t="s">
        <v>30</v>
      </c>
      <c r="D52" s="102">
        <v>25</v>
      </c>
      <c r="E52" s="105">
        <v>19</v>
      </c>
      <c r="F52" s="31">
        <f t="shared" si="1"/>
        <v>-6</v>
      </c>
      <c r="G52" s="35">
        <f t="shared" si="2"/>
        <v>0.76</v>
      </c>
    </row>
    <row r="53" spans="1:7" x14ac:dyDescent="0.35">
      <c r="A53" s="31">
        <v>47</v>
      </c>
      <c r="B53" s="31" t="s">
        <v>448</v>
      </c>
      <c r="C53" s="104" t="s">
        <v>30</v>
      </c>
      <c r="D53" s="102">
        <v>25</v>
      </c>
      <c r="E53" s="105">
        <v>34</v>
      </c>
      <c r="F53" s="31">
        <f t="shared" si="1"/>
        <v>9</v>
      </c>
      <c r="G53" s="35">
        <f t="shared" si="2"/>
        <v>1.36</v>
      </c>
    </row>
    <row r="54" spans="1:7" x14ac:dyDescent="0.35">
      <c r="A54" s="31">
        <v>48</v>
      </c>
      <c r="B54" s="31" t="s">
        <v>449</v>
      </c>
      <c r="C54" s="104" t="s">
        <v>30</v>
      </c>
      <c r="D54" s="102">
        <v>25</v>
      </c>
      <c r="E54" s="105">
        <v>8</v>
      </c>
      <c r="F54" s="31">
        <f t="shared" si="1"/>
        <v>-17</v>
      </c>
      <c r="G54" s="35">
        <f t="shared" si="2"/>
        <v>0.32</v>
      </c>
    </row>
    <row r="55" spans="1:7" x14ac:dyDescent="0.35">
      <c r="A55" s="31">
        <v>49</v>
      </c>
      <c r="B55" s="106" t="s">
        <v>450</v>
      </c>
      <c r="C55" s="102" t="s">
        <v>28</v>
      </c>
      <c r="D55" s="102">
        <v>35</v>
      </c>
      <c r="E55" s="105">
        <v>0</v>
      </c>
      <c r="F55" s="31">
        <f t="shared" si="1"/>
        <v>-35</v>
      </c>
      <c r="G55" s="35">
        <f t="shared" si="2"/>
        <v>0</v>
      </c>
    </row>
    <row r="56" spans="1:7" x14ac:dyDescent="0.35">
      <c r="A56" s="31">
        <v>50</v>
      </c>
      <c r="B56" s="103" t="s">
        <v>451</v>
      </c>
      <c r="C56" s="104" t="s">
        <v>30</v>
      </c>
      <c r="D56" s="102">
        <v>25</v>
      </c>
      <c r="E56" s="105">
        <v>84</v>
      </c>
      <c r="F56" s="31">
        <f t="shared" si="1"/>
        <v>59</v>
      </c>
      <c r="G56" s="35">
        <f t="shared" si="2"/>
        <v>3.36</v>
      </c>
    </row>
    <row r="57" spans="1:7" x14ac:dyDescent="0.35">
      <c r="A57" s="31">
        <v>51</v>
      </c>
      <c r="B57" s="103" t="s">
        <v>452</v>
      </c>
      <c r="C57" s="104" t="s">
        <v>30</v>
      </c>
      <c r="D57" s="102">
        <v>25</v>
      </c>
      <c r="E57" s="105">
        <v>40</v>
      </c>
      <c r="F57" s="31">
        <f t="shared" si="1"/>
        <v>15</v>
      </c>
      <c r="G57" s="35">
        <f t="shared" si="2"/>
        <v>1.6</v>
      </c>
    </row>
    <row r="58" spans="1:7" x14ac:dyDescent="0.35">
      <c r="A58" s="31">
        <v>52</v>
      </c>
      <c r="B58" s="103" t="s">
        <v>453</v>
      </c>
      <c r="C58" s="104" t="s">
        <v>30</v>
      </c>
      <c r="D58" s="102">
        <v>25</v>
      </c>
      <c r="E58" s="105">
        <v>13</v>
      </c>
      <c r="F58" s="31">
        <f t="shared" si="1"/>
        <v>-12</v>
      </c>
      <c r="G58" s="35">
        <f t="shared" si="2"/>
        <v>0.52</v>
      </c>
    </row>
    <row r="59" spans="1:7" x14ac:dyDescent="0.35">
      <c r="A59" s="31">
        <v>53</v>
      </c>
      <c r="B59" s="103" t="s">
        <v>454</v>
      </c>
      <c r="C59" s="104" t="s">
        <v>30</v>
      </c>
      <c r="D59" s="102">
        <v>25</v>
      </c>
      <c r="E59" s="105">
        <v>20</v>
      </c>
      <c r="F59" s="31">
        <f t="shared" si="1"/>
        <v>-5</v>
      </c>
      <c r="G59" s="35">
        <f t="shared" si="2"/>
        <v>0.8</v>
      </c>
    </row>
    <row r="60" spans="1:7" x14ac:dyDescent="0.35">
      <c r="A60" s="31">
        <v>54</v>
      </c>
      <c r="B60" s="103" t="s">
        <v>455</v>
      </c>
      <c r="C60" s="104" t="s">
        <v>30</v>
      </c>
      <c r="D60" s="102">
        <v>25</v>
      </c>
      <c r="E60" s="105">
        <v>23</v>
      </c>
      <c r="F60" s="31">
        <f t="shared" si="1"/>
        <v>-2</v>
      </c>
      <c r="G60" s="35">
        <f t="shared" si="2"/>
        <v>0.92</v>
      </c>
    </row>
    <row r="61" spans="1:7" x14ac:dyDescent="0.35">
      <c r="A61" s="31">
        <v>55</v>
      </c>
      <c r="B61" s="107" t="s">
        <v>456</v>
      </c>
      <c r="C61" s="104" t="s">
        <v>30</v>
      </c>
      <c r="D61" s="102">
        <v>25</v>
      </c>
      <c r="E61" s="105">
        <v>25</v>
      </c>
      <c r="F61" s="31">
        <f t="shared" si="1"/>
        <v>0</v>
      </c>
      <c r="G61" s="35">
        <f t="shared" si="2"/>
        <v>1</v>
      </c>
    </row>
    <row r="62" spans="1:7" x14ac:dyDescent="0.35">
      <c r="A62" s="31">
        <v>56</v>
      </c>
      <c r="B62" s="108" t="s">
        <v>457</v>
      </c>
      <c r="C62" s="104" t="s">
        <v>30</v>
      </c>
      <c r="D62" s="102">
        <v>25</v>
      </c>
      <c r="E62" s="105">
        <v>11</v>
      </c>
      <c r="F62" s="31">
        <f t="shared" si="1"/>
        <v>-14</v>
      </c>
      <c r="G62" s="35">
        <f t="shared" si="2"/>
        <v>0.44</v>
      </c>
    </row>
    <row r="63" spans="1:7" x14ac:dyDescent="0.35">
      <c r="A63" s="31"/>
      <c r="B63" s="31" t="s">
        <v>34</v>
      </c>
      <c r="C63" s="31"/>
      <c r="D63" s="31">
        <v>1360</v>
      </c>
      <c r="E63" s="31">
        <f>SUM(E7:E62)</f>
        <v>1502</v>
      </c>
      <c r="F63" s="31">
        <f t="shared" si="1"/>
        <v>142</v>
      </c>
      <c r="G63" s="35">
        <f t="shared" si="2"/>
        <v>1.1044117647058824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DD99-2CB1-490E-BC82-861DC62AC760}">
  <dimension ref="A1:G7"/>
  <sheetViews>
    <sheetView workbookViewId="0">
      <selection activeCell="C4" sqref="C4:G4"/>
    </sheetView>
  </sheetViews>
  <sheetFormatPr defaultRowHeight="14.5" x14ac:dyDescent="0.35"/>
  <cols>
    <col min="1" max="1" width="6.1796875" customWidth="1"/>
    <col min="2" max="2" width="30.1796875" customWidth="1"/>
    <col min="7" max="7" width="8.7265625" style="6"/>
  </cols>
  <sheetData>
    <row r="1" spans="1:7" x14ac:dyDescent="0.35">
      <c r="B1" s="5" t="s">
        <v>51</v>
      </c>
    </row>
    <row r="2" spans="1:7" x14ac:dyDescent="0.35">
      <c r="B2" s="5" t="s">
        <v>165</v>
      </c>
    </row>
    <row r="3" spans="1:7" x14ac:dyDescent="0.35">
      <c r="B3" s="5" t="s">
        <v>401</v>
      </c>
    </row>
    <row r="4" spans="1:7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</row>
    <row r="5" spans="1:7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</row>
    <row r="6" spans="1:7" x14ac:dyDescent="0.35">
      <c r="A6" s="168"/>
      <c r="B6" s="169"/>
      <c r="C6" s="170"/>
      <c r="D6" s="170"/>
      <c r="E6" s="170"/>
      <c r="F6" s="170"/>
      <c r="G6" s="171"/>
    </row>
    <row r="7" spans="1:7" x14ac:dyDescent="0.35">
      <c r="A7" s="31">
        <v>1</v>
      </c>
      <c r="B7" s="108" t="s">
        <v>465</v>
      </c>
      <c r="C7" s="15" t="s">
        <v>28</v>
      </c>
      <c r="D7" s="15">
        <v>150</v>
      </c>
      <c r="E7" s="15">
        <v>8</v>
      </c>
      <c r="F7" s="31">
        <f>E7-D7</f>
        <v>-142</v>
      </c>
      <c r="G7" s="35">
        <f>E7/D7*100%</f>
        <v>5.3333333333333337E-2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1374-E389-44D0-B45D-73813B1B1E25}">
  <dimension ref="A1:N26"/>
  <sheetViews>
    <sheetView workbookViewId="0">
      <selection activeCell="C5" sqref="C5:G5"/>
    </sheetView>
  </sheetViews>
  <sheetFormatPr defaultRowHeight="14.5" x14ac:dyDescent="0.35"/>
  <cols>
    <col min="1" max="1" width="4.453125" customWidth="1"/>
    <col min="2" max="2" width="33.08984375" customWidth="1"/>
    <col min="7" max="7" width="8.7265625" style="6"/>
    <col min="9" max="9" width="5.7265625" customWidth="1"/>
    <col min="10" max="10" width="17.453125" customWidth="1"/>
    <col min="11" max="11" width="10.36328125" customWidth="1"/>
  </cols>
  <sheetData>
    <row r="1" spans="1:14" x14ac:dyDescent="0.35">
      <c r="B1" s="5" t="s">
        <v>51</v>
      </c>
    </row>
    <row r="2" spans="1:14" x14ac:dyDescent="0.35">
      <c r="B2" s="5" t="s">
        <v>237</v>
      </c>
    </row>
    <row r="5" spans="1:14" x14ac:dyDescent="0.35">
      <c r="A5" s="158" t="s">
        <v>19</v>
      </c>
      <c r="B5" s="159" t="s">
        <v>20</v>
      </c>
      <c r="C5" s="160" t="s">
        <v>941</v>
      </c>
      <c r="D5" s="161"/>
      <c r="E5" s="161"/>
      <c r="F5" s="161"/>
      <c r="G5" s="161"/>
      <c r="I5" s="1" t="s">
        <v>7</v>
      </c>
      <c r="J5" s="1" t="s">
        <v>9</v>
      </c>
      <c r="K5" s="1" t="s">
        <v>10</v>
      </c>
      <c r="L5" s="1" t="s">
        <v>3</v>
      </c>
      <c r="M5" s="1" t="s">
        <v>4</v>
      </c>
      <c r="N5" s="8" t="s">
        <v>6</v>
      </c>
    </row>
    <row r="6" spans="1:14" x14ac:dyDescent="0.35">
      <c r="A6" s="158"/>
      <c r="B6" s="159"/>
      <c r="C6" s="162" t="s">
        <v>21</v>
      </c>
      <c r="D6" s="162" t="s">
        <v>22</v>
      </c>
      <c r="E6" s="162" t="s">
        <v>23</v>
      </c>
      <c r="F6" s="162" t="s">
        <v>24</v>
      </c>
      <c r="G6" s="164" t="s">
        <v>6</v>
      </c>
      <c r="I6" s="21">
        <v>1</v>
      </c>
      <c r="J6" s="21" t="s">
        <v>256</v>
      </c>
      <c r="K6" s="21">
        <v>5</v>
      </c>
      <c r="L6" s="9">
        <v>150</v>
      </c>
      <c r="M6" s="9">
        <v>123</v>
      </c>
      <c r="N6" s="11">
        <f>M6/L6*100%</f>
        <v>0.82</v>
      </c>
    </row>
    <row r="7" spans="1:14" x14ac:dyDescent="0.35">
      <c r="A7" s="158"/>
      <c r="B7" s="159"/>
      <c r="C7" s="163"/>
      <c r="D7" s="163"/>
      <c r="E7" s="163"/>
      <c r="F7" s="163"/>
      <c r="G7" s="165"/>
      <c r="I7" s="21">
        <v>2</v>
      </c>
      <c r="J7" s="21" t="s">
        <v>257</v>
      </c>
      <c r="K7" s="21">
        <v>5</v>
      </c>
      <c r="L7" s="9">
        <v>150</v>
      </c>
      <c r="M7" s="9">
        <v>118</v>
      </c>
      <c r="N7" s="11">
        <f t="shared" ref="N7:N8" si="0">M7/L7*100%</f>
        <v>0.78666666666666663</v>
      </c>
    </row>
    <row r="8" spans="1:14" x14ac:dyDescent="0.35">
      <c r="A8" s="31">
        <v>1</v>
      </c>
      <c r="B8" s="41" t="s">
        <v>238</v>
      </c>
      <c r="C8" s="42" t="s">
        <v>28</v>
      </c>
      <c r="D8" s="42">
        <v>35</v>
      </c>
      <c r="E8" s="42">
        <v>0</v>
      </c>
      <c r="F8" s="31">
        <f>E8-D8</f>
        <v>-35</v>
      </c>
      <c r="G8" s="35">
        <f>E8/D8*100%</f>
        <v>0</v>
      </c>
      <c r="I8" s="21">
        <v>3</v>
      </c>
      <c r="J8" s="21" t="s">
        <v>258</v>
      </c>
      <c r="K8" s="21">
        <v>5</v>
      </c>
      <c r="L8" s="9">
        <v>150</v>
      </c>
      <c r="M8" s="9">
        <v>180</v>
      </c>
      <c r="N8" s="11">
        <f t="shared" si="0"/>
        <v>1.2</v>
      </c>
    </row>
    <row r="9" spans="1:14" x14ac:dyDescent="0.35">
      <c r="A9" s="31">
        <v>2</v>
      </c>
      <c r="B9" s="43" t="s">
        <v>239</v>
      </c>
      <c r="C9" s="42" t="s">
        <v>30</v>
      </c>
      <c r="D9" s="42">
        <v>25</v>
      </c>
      <c r="E9" s="42">
        <v>37</v>
      </c>
      <c r="F9" s="31">
        <f t="shared" ref="F9:F26" si="1">E9-D9</f>
        <v>12</v>
      </c>
      <c r="G9" s="35">
        <f t="shared" ref="G9:G26" si="2">E9/D9*100%</f>
        <v>1.48</v>
      </c>
    </row>
    <row r="10" spans="1:14" x14ac:dyDescent="0.35">
      <c r="A10" s="31">
        <v>3</v>
      </c>
      <c r="B10" s="43" t="s">
        <v>240</v>
      </c>
      <c r="C10" s="42" t="s">
        <v>30</v>
      </c>
      <c r="D10" s="42">
        <v>25</v>
      </c>
      <c r="E10" s="42">
        <v>24</v>
      </c>
      <c r="F10" s="31">
        <f t="shared" si="1"/>
        <v>-1</v>
      </c>
      <c r="G10" s="35">
        <f t="shared" si="2"/>
        <v>0.96</v>
      </c>
    </row>
    <row r="11" spans="1:14" x14ac:dyDescent="0.35">
      <c r="A11" s="31">
        <v>4</v>
      </c>
      <c r="B11" s="43" t="s">
        <v>241</v>
      </c>
      <c r="C11" s="44" t="s">
        <v>30</v>
      </c>
      <c r="D11" s="44">
        <v>25</v>
      </c>
      <c r="E11" s="42">
        <v>30</v>
      </c>
      <c r="F11" s="31">
        <f t="shared" si="1"/>
        <v>5</v>
      </c>
      <c r="G11" s="35">
        <f t="shared" si="2"/>
        <v>1.2</v>
      </c>
    </row>
    <row r="12" spans="1:14" x14ac:dyDescent="0.35">
      <c r="A12" s="31">
        <v>5</v>
      </c>
      <c r="B12" s="43" t="s">
        <v>242</v>
      </c>
      <c r="C12" s="44" t="s">
        <v>30</v>
      </c>
      <c r="D12" s="44">
        <v>25</v>
      </c>
      <c r="E12" s="42">
        <v>26</v>
      </c>
      <c r="F12" s="31">
        <f t="shared" si="1"/>
        <v>1</v>
      </c>
      <c r="G12" s="35">
        <f t="shared" si="2"/>
        <v>1.04</v>
      </c>
    </row>
    <row r="13" spans="1:14" x14ac:dyDescent="0.35">
      <c r="A13" s="31">
        <v>6</v>
      </c>
      <c r="B13" s="43" t="s">
        <v>243</v>
      </c>
      <c r="C13" s="44" t="s">
        <v>30</v>
      </c>
      <c r="D13" s="44">
        <v>25</v>
      </c>
      <c r="E13" s="42">
        <v>6</v>
      </c>
      <c r="F13" s="31">
        <f t="shared" si="1"/>
        <v>-19</v>
      </c>
      <c r="G13" s="35">
        <f t="shared" si="2"/>
        <v>0.24</v>
      </c>
    </row>
    <row r="14" spans="1:14" x14ac:dyDescent="0.35">
      <c r="A14" s="31">
        <v>7</v>
      </c>
      <c r="B14" s="41" t="s">
        <v>244</v>
      </c>
      <c r="C14" s="42" t="s">
        <v>28</v>
      </c>
      <c r="D14" s="42">
        <v>35</v>
      </c>
      <c r="E14" s="42">
        <v>0</v>
      </c>
      <c r="F14" s="31">
        <f t="shared" si="1"/>
        <v>-35</v>
      </c>
      <c r="G14" s="35">
        <f t="shared" si="2"/>
        <v>0</v>
      </c>
    </row>
    <row r="15" spans="1:14" x14ac:dyDescent="0.35">
      <c r="A15" s="31">
        <v>8</v>
      </c>
      <c r="B15" s="43" t="s">
        <v>245</v>
      </c>
      <c r="C15" s="42" t="s">
        <v>30</v>
      </c>
      <c r="D15" s="42">
        <v>25</v>
      </c>
      <c r="E15" s="42">
        <v>21</v>
      </c>
      <c r="F15" s="31">
        <f t="shared" si="1"/>
        <v>-4</v>
      </c>
      <c r="G15" s="35">
        <f t="shared" si="2"/>
        <v>0.84</v>
      </c>
    </row>
    <row r="16" spans="1:14" x14ac:dyDescent="0.35">
      <c r="A16" s="31">
        <v>9</v>
      </c>
      <c r="B16" s="43" t="s">
        <v>246</v>
      </c>
      <c r="C16" s="44" t="s">
        <v>30</v>
      </c>
      <c r="D16" s="44">
        <v>25</v>
      </c>
      <c r="E16" s="42">
        <v>47</v>
      </c>
      <c r="F16" s="31">
        <f t="shared" si="1"/>
        <v>22</v>
      </c>
      <c r="G16" s="35">
        <f t="shared" si="2"/>
        <v>1.88</v>
      </c>
    </row>
    <row r="17" spans="1:7" x14ac:dyDescent="0.35">
      <c r="A17" s="31">
        <v>10</v>
      </c>
      <c r="B17" s="43" t="s">
        <v>247</v>
      </c>
      <c r="C17" s="44" t="s">
        <v>30</v>
      </c>
      <c r="D17" s="44">
        <v>25</v>
      </c>
      <c r="E17" s="42">
        <v>30</v>
      </c>
      <c r="F17" s="31">
        <f t="shared" si="1"/>
        <v>5</v>
      </c>
      <c r="G17" s="35">
        <f t="shared" si="2"/>
        <v>1.2</v>
      </c>
    </row>
    <row r="18" spans="1:7" x14ac:dyDescent="0.35">
      <c r="A18" s="31">
        <v>11</v>
      </c>
      <c r="B18" s="43" t="s">
        <v>248</v>
      </c>
      <c r="C18" s="44" t="s">
        <v>30</v>
      </c>
      <c r="D18" s="44">
        <v>25</v>
      </c>
      <c r="E18" s="42">
        <v>19</v>
      </c>
      <c r="F18" s="31">
        <f t="shared" si="1"/>
        <v>-6</v>
      </c>
      <c r="G18" s="35">
        <f t="shared" si="2"/>
        <v>0.76</v>
      </c>
    </row>
    <row r="19" spans="1:7" x14ac:dyDescent="0.35">
      <c r="A19" s="31">
        <v>12</v>
      </c>
      <c r="B19" s="43" t="s">
        <v>249</v>
      </c>
      <c r="C19" s="44" t="s">
        <v>30</v>
      </c>
      <c r="D19" s="44">
        <v>25</v>
      </c>
      <c r="E19" s="42">
        <v>1</v>
      </c>
      <c r="F19" s="31">
        <f t="shared" si="1"/>
        <v>-24</v>
      </c>
      <c r="G19" s="35">
        <f t="shared" si="2"/>
        <v>0.04</v>
      </c>
    </row>
    <row r="20" spans="1:7" x14ac:dyDescent="0.35">
      <c r="A20" s="31">
        <v>13</v>
      </c>
      <c r="B20" s="41" t="s">
        <v>250</v>
      </c>
      <c r="C20" s="42" t="s">
        <v>28</v>
      </c>
      <c r="D20" s="42">
        <v>35</v>
      </c>
      <c r="E20" s="42">
        <v>0</v>
      </c>
      <c r="F20" s="31">
        <f t="shared" si="1"/>
        <v>-35</v>
      </c>
      <c r="G20" s="35">
        <f t="shared" si="2"/>
        <v>0</v>
      </c>
    </row>
    <row r="21" spans="1:7" x14ac:dyDescent="0.35">
      <c r="A21" s="31">
        <v>14</v>
      </c>
      <c r="B21" s="43" t="s">
        <v>251</v>
      </c>
      <c r="C21" s="42" t="s">
        <v>30</v>
      </c>
      <c r="D21" s="42">
        <v>25</v>
      </c>
      <c r="E21" s="42">
        <v>32</v>
      </c>
      <c r="F21" s="31">
        <f t="shared" si="1"/>
        <v>7</v>
      </c>
      <c r="G21" s="35">
        <f t="shared" si="2"/>
        <v>1.28</v>
      </c>
    </row>
    <row r="22" spans="1:7" x14ac:dyDescent="0.35">
      <c r="A22" s="31">
        <v>15</v>
      </c>
      <c r="B22" s="43" t="s">
        <v>252</v>
      </c>
      <c r="C22" s="42" t="s">
        <v>30</v>
      </c>
      <c r="D22" s="42">
        <v>25</v>
      </c>
      <c r="E22" s="42">
        <v>56</v>
      </c>
      <c r="F22" s="31">
        <f t="shared" si="1"/>
        <v>31</v>
      </c>
      <c r="G22" s="35">
        <f t="shared" si="2"/>
        <v>2.2400000000000002</v>
      </c>
    </row>
    <row r="23" spans="1:7" x14ac:dyDescent="0.35">
      <c r="A23" s="31">
        <v>16</v>
      </c>
      <c r="B23" s="43" t="s">
        <v>253</v>
      </c>
      <c r="C23" s="44" t="s">
        <v>30</v>
      </c>
      <c r="D23" s="44">
        <v>25</v>
      </c>
      <c r="E23" s="42">
        <v>45</v>
      </c>
      <c r="F23" s="31">
        <f t="shared" si="1"/>
        <v>20</v>
      </c>
      <c r="G23" s="35">
        <f t="shared" si="2"/>
        <v>1.8</v>
      </c>
    </row>
    <row r="24" spans="1:7" x14ac:dyDescent="0.35">
      <c r="A24" s="31">
        <v>17</v>
      </c>
      <c r="B24" s="43" t="s">
        <v>254</v>
      </c>
      <c r="C24" s="42" t="s">
        <v>30</v>
      </c>
      <c r="D24" s="42">
        <v>25</v>
      </c>
      <c r="E24" s="42">
        <v>39</v>
      </c>
      <c r="F24" s="31">
        <f t="shared" si="1"/>
        <v>14</v>
      </c>
      <c r="G24" s="35">
        <f t="shared" si="2"/>
        <v>1.56</v>
      </c>
    </row>
    <row r="25" spans="1:7" x14ac:dyDescent="0.35">
      <c r="A25" s="31">
        <v>18</v>
      </c>
      <c r="B25" s="43" t="s">
        <v>255</v>
      </c>
      <c r="C25" s="44" t="s">
        <v>30</v>
      </c>
      <c r="D25" s="44">
        <v>25</v>
      </c>
      <c r="E25" s="42">
        <v>8</v>
      </c>
      <c r="F25" s="31">
        <f t="shared" si="1"/>
        <v>-17</v>
      </c>
      <c r="G25" s="35">
        <f t="shared" si="2"/>
        <v>0.32</v>
      </c>
    </row>
    <row r="26" spans="1:7" x14ac:dyDescent="0.35">
      <c r="A26" s="31"/>
      <c r="B26" s="31" t="s">
        <v>34</v>
      </c>
      <c r="C26" s="31"/>
      <c r="D26" s="31">
        <v>450</v>
      </c>
      <c r="E26" s="31">
        <f>SUM(E8:E25)</f>
        <v>421</v>
      </c>
      <c r="F26" s="31">
        <f t="shared" si="1"/>
        <v>-29</v>
      </c>
      <c r="G26" s="35">
        <f t="shared" si="2"/>
        <v>0.93555555555555558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6BD6-DE19-419D-B8D6-704DA2EE12A1}">
  <dimension ref="A1:N16"/>
  <sheetViews>
    <sheetView workbookViewId="0">
      <selection activeCell="C5" sqref="C5:G5"/>
    </sheetView>
  </sheetViews>
  <sheetFormatPr defaultRowHeight="14.5" x14ac:dyDescent="0.35"/>
  <cols>
    <col min="1" max="1" width="4.90625" customWidth="1"/>
    <col min="2" max="2" width="27.453125" customWidth="1"/>
    <col min="7" max="7" width="8.7265625" style="6"/>
    <col min="9" max="9" width="4" customWidth="1"/>
    <col min="10" max="11" width="15.08984375" customWidth="1"/>
  </cols>
  <sheetData>
    <row r="1" spans="1:14" x14ac:dyDescent="0.35">
      <c r="B1" s="5" t="s">
        <v>51</v>
      </c>
    </row>
    <row r="2" spans="1:14" x14ac:dyDescent="0.35">
      <c r="B2" s="5" t="s">
        <v>237</v>
      </c>
    </row>
    <row r="5" spans="1:14" x14ac:dyDescent="0.35">
      <c r="A5" s="158" t="s">
        <v>19</v>
      </c>
      <c r="B5" s="159" t="s">
        <v>20</v>
      </c>
      <c r="C5" s="160" t="s">
        <v>941</v>
      </c>
      <c r="D5" s="161"/>
      <c r="E5" s="161"/>
      <c r="F5" s="161"/>
      <c r="G5" s="161"/>
      <c r="I5" s="1" t="s">
        <v>7</v>
      </c>
      <c r="J5" s="1" t="s">
        <v>9</v>
      </c>
      <c r="K5" s="1" t="s">
        <v>10</v>
      </c>
      <c r="L5" s="1" t="s">
        <v>3</v>
      </c>
      <c r="M5" s="1" t="s">
        <v>4</v>
      </c>
      <c r="N5" s="8" t="s">
        <v>6</v>
      </c>
    </row>
    <row r="6" spans="1:14" x14ac:dyDescent="0.35">
      <c r="A6" s="158"/>
      <c r="B6" s="159"/>
      <c r="C6" s="162" t="s">
        <v>21</v>
      </c>
      <c r="D6" s="162" t="s">
        <v>22</v>
      </c>
      <c r="E6" s="162" t="s">
        <v>23</v>
      </c>
      <c r="F6" s="162" t="s">
        <v>24</v>
      </c>
      <c r="G6" s="164" t="s">
        <v>6</v>
      </c>
      <c r="I6" s="9">
        <v>1</v>
      </c>
      <c r="J6" s="21" t="s">
        <v>267</v>
      </c>
      <c r="K6" s="21">
        <v>5</v>
      </c>
      <c r="L6" s="9">
        <v>150</v>
      </c>
      <c r="M6" s="9">
        <v>117</v>
      </c>
      <c r="N6" s="11">
        <f>M6/L6*100%</f>
        <v>0.78</v>
      </c>
    </row>
    <row r="7" spans="1:14" x14ac:dyDescent="0.35">
      <c r="A7" s="158"/>
      <c r="B7" s="159"/>
      <c r="C7" s="163"/>
      <c r="D7" s="163"/>
      <c r="E7" s="163"/>
      <c r="F7" s="163"/>
      <c r="G7" s="165"/>
      <c r="I7" s="9">
        <v>2</v>
      </c>
      <c r="J7" s="21" t="s">
        <v>268</v>
      </c>
      <c r="K7" s="21">
        <v>2</v>
      </c>
      <c r="L7" s="9">
        <v>50</v>
      </c>
      <c r="M7" s="9">
        <v>11</v>
      </c>
      <c r="N7" s="11">
        <f>M7/L7*100%</f>
        <v>0.22</v>
      </c>
    </row>
    <row r="8" spans="1:14" x14ac:dyDescent="0.35">
      <c r="A8" s="31">
        <v>1</v>
      </c>
      <c r="B8" s="38" t="s">
        <v>259</v>
      </c>
      <c r="C8" s="39" t="s">
        <v>28</v>
      </c>
      <c r="D8" s="39">
        <v>35</v>
      </c>
      <c r="E8" s="37">
        <v>1</v>
      </c>
      <c r="F8" s="31">
        <f>E8-D8</f>
        <v>-34</v>
      </c>
      <c r="G8" s="35">
        <f>E8/D8*100%</f>
        <v>2.8571428571428571E-2</v>
      </c>
    </row>
    <row r="9" spans="1:14" x14ac:dyDescent="0.35">
      <c r="A9" s="31">
        <v>2</v>
      </c>
      <c r="B9" s="36" t="s">
        <v>260</v>
      </c>
      <c r="C9" s="37" t="s">
        <v>30</v>
      </c>
      <c r="D9" s="37">
        <v>25</v>
      </c>
      <c r="E9" s="37">
        <v>29</v>
      </c>
      <c r="F9" s="31">
        <f t="shared" ref="F9:F16" si="0">E9-D9</f>
        <v>4</v>
      </c>
      <c r="G9" s="35">
        <f t="shared" ref="G9:G16" si="1">E9/D9*100%</f>
        <v>1.1599999999999999</v>
      </c>
    </row>
    <row r="10" spans="1:14" x14ac:dyDescent="0.35">
      <c r="A10" s="31">
        <v>3</v>
      </c>
      <c r="B10" s="38" t="s">
        <v>261</v>
      </c>
      <c r="C10" s="39" t="s">
        <v>30</v>
      </c>
      <c r="D10" s="37">
        <v>25</v>
      </c>
      <c r="E10" s="37">
        <v>21</v>
      </c>
      <c r="F10" s="31">
        <f t="shared" si="0"/>
        <v>-4</v>
      </c>
      <c r="G10" s="35">
        <f t="shared" si="1"/>
        <v>0.84</v>
      </c>
    </row>
    <row r="11" spans="1:14" x14ac:dyDescent="0.35">
      <c r="A11" s="31">
        <v>4</v>
      </c>
      <c r="B11" s="38" t="s">
        <v>262</v>
      </c>
      <c r="C11" s="39" t="s">
        <v>30</v>
      </c>
      <c r="D11" s="39">
        <v>25</v>
      </c>
      <c r="E11" s="37">
        <v>14</v>
      </c>
      <c r="F11" s="31">
        <f t="shared" si="0"/>
        <v>-11</v>
      </c>
      <c r="G11" s="35">
        <f t="shared" si="1"/>
        <v>0.56000000000000005</v>
      </c>
    </row>
    <row r="12" spans="1:14" x14ac:dyDescent="0.35">
      <c r="A12" s="31">
        <v>5</v>
      </c>
      <c r="B12" s="38" t="s">
        <v>263</v>
      </c>
      <c r="C12" s="40" t="s">
        <v>30</v>
      </c>
      <c r="D12" s="40">
        <v>25</v>
      </c>
      <c r="E12" s="37">
        <v>33</v>
      </c>
      <c r="F12" s="31">
        <f t="shared" si="0"/>
        <v>8</v>
      </c>
      <c r="G12" s="35">
        <f t="shared" si="1"/>
        <v>1.32</v>
      </c>
    </row>
    <row r="13" spans="1:14" x14ac:dyDescent="0.35">
      <c r="A13" s="31">
        <v>6</v>
      </c>
      <c r="B13" s="38" t="s">
        <v>264</v>
      </c>
      <c r="C13" s="39" t="s">
        <v>30</v>
      </c>
      <c r="D13" s="39">
        <v>25</v>
      </c>
      <c r="E13" s="37">
        <v>19</v>
      </c>
      <c r="F13" s="31">
        <f t="shared" si="0"/>
        <v>-6</v>
      </c>
      <c r="G13" s="35">
        <f t="shared" si="1"/>
        <v>0.76</v>
      </c>
    </row>
    <row r="14" spans="1:14" x14ac:dyDescent="0.35">
      <c r="A14" s="31">
        <v>7</v>
      </c>
      <c r="B14" s="38" t="s">
        <v>265</v>
      </c>
      <c r="C14" s="39" t="s">
        <v>30</v>
      </c>
      <c r="D14" s="37">
        <v>25</v>
      </c>
      <c r="E14" s="37">
        <v>11</v>
      </c>
      <c r="F14" s="31">
        <f t="shared" si="0"/>
        <v>-14</v>
      </c>
      <c r="G14" s="35">
        <f t="shared" si="1"/>
        <v>0.44</v>
      </c>
    </row>
    <row r="15" spans="1:14" x14ac:dyDescent="0.35">
      <c r="A15" s="31">
        <v>8</v>
      </c>
      <c r="B15" s="38" t="s">
        <v>266</v>
      </c>
      <c r="C15" s="40" t="s">
        <v>30</v>
      </c>
      <c r="D15" s="40">
        <v>25</v>
      </c>
      <c r="E15" s="37">
        <v>0</v>
      </c>
      <c r="F15" s="31">
        <f t="shared" si="0"/>
        <v>-25</v>
      </c>
      <c r="G15" s="35">
        <f t="shared" si="1"/>
        <v>0</v>
      </c>
    </row>
    <row r="16" spans="1:14" x14ac:dyDescent="0.35">
      <c r="A16" s="31"/>
      <c r="B16" s="31" t="s">
        <v>34</v>
      </c>
      <c r="C16" s="31"/>
      <c r="D16" s="31">
        <v>200</v>
      </c>
      <c r="E16" s="31">
        <f>SUM(E8:E15)</f>
        <v>128</v>
      </c>
      <c r="F16" s="31">
        <f t="shared" si="0"/>
        <v>-72</v>
      </c>
      <c r="G16" s="35">
        <f t="shared" si="1"/>
        <v>0.64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C4C7-D9CE-4BF4-9F4D-43587D6621EF}">
  <dimension ref="A1:G12"/>
  <sheetViews>
    <sheetView workbookViewId="0">
      <selection activeCell="C4" sqref="C4:G4"/>
    </sheetView>
  </sheetViews>
  <sheetFormatPr defaultRowHeight="14.5" x14ac:dyDescent="0.35"/>
  <cols>
    <col min="1" max="1" width="3.81640625" customWidth="1"/>
    <col min="2" max="2" width="27.6328125" customWidth="1"/>
    <col min="7" max="7" width="8.7265625" style="6"/>
  </cols>
  <sheetData>
    <row r="1" spans="1:7" x14ac:dyDescent="0.35">
      <c r="B1" s="5" t="s">
        <v>51</v>
      </c>
    </row>
    <row r="2" spans="1:7" x14ac:dyDescent="0.35">
      <c r="B2" s="5" t="s">
        <v>237</v>
      </c>
    </row>
    <row r="4" spans="1:7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</row>
    <row r="5" spans="1:7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</row>
    <row r="6" spans="1:7" x14ac:dyDescent="0.35">
      <c r="A6" s="158"/>
      <c r="B6" s="159"/>
      <c r="C6" s="163"/>
      <c r="D6" s="163"/>
      <c r="E6" s="163"/>
      <c r="F6" s="163"/>
      <c r="G6" s="165"/>
    </row>
    <row r="7" spans="1:7" x14ac:dyDescent="0.35">
      <c r="A7" s="31">
        <v>1</v>
      </c>
      <c r="B7" s="36" t="s">
        <v>269</v>
      </c>
      <c r="C7" s="37" t="s">
        <v>28</v>
      </c>
      <c r="D7" s="37">
        <v>35</v>
      </c>
      <c r="E7" s="37">
        <v>11</v>
      </c>
      <c r="F7" s="31">
        <f>E7-D7</f>
        <v>-24</v>
      </c>
      <c r="G7" s="35">
        <f>E7/D7*100%</f>
        <v>0.31428571428571428</v>
      </c>
    </row>
    <row r="8" spans="1:7" x14ac:dyDescent="0.35">
      <c r="A8" s="31">
        <v>2</v>
      </c>
      <c r="B8" s="38" t="s">
        <v>270</v>
      </c>
      <c r="C8" s="39" t="s">
        <v>30</v>
      </c>
      <c r="D8" s="37">
        <v>25</v>
      </c>
      <c r="E8" s="37">
        <v>6</v>
      </c>
      <c r="F8" s="31">
        <f t="shared" ref="F8:F12" si="0">E8-D8</f>
        <v>-19</v>
      </c>
      <c r="G8" s="35">
        <f t="shared" ref="G8:G12" si="1">E8/D8*100%</f>
        <v>0.24</v>
      </c>
    </row>
    <row r="9" spans="1:7" x14ac:dyDescent="0.35">
      <c r="A9" s="31">
        <v>3</v>
      </c>
      <c r="B9" s="38" t="s">
        <v>271</v>
      </c>
      <c r="C9" s="40" t="s">
        <v>30</v>
      </c>
      <c r="D9" s="40">
        <v>25</v>
      </c>
      <c r="E9" s="37">
        <v>2</v>
      </c>
      <c r="F9" s="31">
        <f t="shared" si="0"/>
        <v>-23</v>
      </c>
      <c r="G9" s="35">
        <f t="shared" si="1"/>
        <v>0.08</v>
      </c>
    </row>
    <row r="10" spans="1:7" x14ac:dyDescent="0.35">
      <c r="A10" s="31">
        <v>4</v>
      </c>
      <c r="B10" s="38" t="s">
        <v>272</v>
      </c>
      <c r="C10" s="40" t="s">
        <v>30</v>
      </c>
      <c r="D10" s="40">
        <v>25</v>
      </c>
      <c r="E10" s="37">
        <v>1</v>
      </c>
      <c r="F10" s="31">
        <f t="shared" si="0"/>
        <v>-24</v>
      </c>
      <c r="G10" s="35">
        <f t="shared" si="1"/>
        <v>0.04</v>
      </c>
    </row>
    <row r="11" spans="1:7" x14ac:dyDescent="0.35">
      <c r="A11" s="31">
        <v>5</v>
      </c>
      <c r="B11" s="38" t="s">
        <v>273</v>
      </c>
      <c r="C11" s="40" t="s">
        <v>30</v>
      </c>
      <c r="D11" s="40">
        <v>25</v>
      </c>
      <c r="E11" s="37">
        <v>3</v>
      </c>
      <c r="F11" s="31">
        <f t="shared" si="0"/>
        <v>-22</v>
      </c>
      <c r="G11" s="35">
        <f t="shared" si="1"/>
        <v>0.12</v>
      </c>
    </row>
    <row r="12" spans="1:7" x14ac:dyDescent="0.35">
      <c r="A12" s="31"/>
      <c r="B12" s="31" t="s">
        <v>34</v>
      </c>
      <c r="C12" s="31"/>
      <c r="D12" s="31">
        <v>150</v>
      </c>
      <c r="E12" s="31">
        <f>SUM(E7:E11)</f>
        <v>23</v>
      </c>
      <c r="F12" s="31">
        <f t="shared" si="0"/>
        <v>-127</v>
      </c>
      <c r="G12" s="35">
        <f t="shared" si="1"/>
        <v>0.15333333333333332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8968-C26E-4E21-BAB3-D18E77043B1E}">
  <dimension ref="A1:N23"/>
  <sheetViews>
    <sheetView workbookViewId="0">
      <selection activeCell="C4" sqref="C4:G4"/>
    </sheetView>
  </sheetViews>
  <sheetFormatPr defaultRowHeight="14.5" x14ac:dyDescent="0.35"/>
  <cols>
    <col min="1" max="1" width="5.36328125" customWidth="1"/>
    <col min="2" max="2" width="32.453125" customWidth="1"/>
    <col min="7" max="7" width="8.7265625" style="6"/>
    <col min="9" max="9" width="6.08984375" customWidth="1"/>
    <col min="10" max="11" width="13.26953125" customWidth="1"/>
  </cols>
  <sheetData>
    <row r="1" spans="1:14" x14ac:dyDescent="0.35">
      <c r="B1" s="5" t="s">
        <v>51</v>
      </c>
    </row>
    <row r="2" spans="1:14" x14ac:dyDescent="0.35">
      <c r="B2" s="5" t="s">
        <v>237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7" t="s">
        <v>9</v>
      </c>
      <c r="K4" s="7" t="s">
        <v>10</v>
      </c>
      <c r="L4" s="7" t="s">
        <v>3</v>
      </c>
      <c r="M4" s="7" t="s">
        <v>4</v>
      </c>
      <c r="N4" s="64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290</v>
      </c>
      <c r="K5" s="21">
        <v>5</v>
      </c>
      <c r="L5" s="21">
        <v>150</v>
      </c>
      <c r="M5" s="21">
        <v>121</v>
      </c>
      <c r="N5" s="22">
        <f>M5/L5*100%</f>
        <v>0.80666666666666664</v>
      </c>
    </row>
    <row r="6" spans="1:14" x14ac:dyDescent="0.35">
      <c r="A6" s="158"/>
      <c r="B6" s="159"/>
      <c r="C6" s="163"/>
      <c r="D6" s="163"/>
      <c r="E6" s="163"/>
      <c r="F6" s="163"/>
      <c r="G6" s="165"/>
      <c r="I6" s="21">
        <v>2</v>
      </c>
      <c r="J6" s="21" t="s">
        <v>291</v>
      </c>
      <c r="K6" s="21">
        <v>5</v>
      </c>
      <c r="L6" s="21">
        <v>150</v>
      </c>
      <c r="M6" s="21">
        <v>85</v>
      </c>
      <c r="N6" s="22">
        <f t="shared" ref="N6:N7" si="0">M6/L6*100%</f>
        <v>0.56666666666666665</v>
      </c>
    </row>
    <row r="7" spans="1:14" x14ac:dyDescent="0.35">
      <c r="A7" s="31">
        <v>1</v>
      </c>
      <c r="B7" s="43" t="s">
        <v>274</v>
      </c>
      <c r="C7" s="42" t="s">
        <v>28</v>
      </c>
      <c r="D7" s="42">
        <v>35</v>
      </c>
      <c r="E7" s="42">
        <v>0</v>
      </c>
      <c r="F7" s="31">
        <f>E7-D7</f>
        <v>-35</v>
      </c>
      <c r="G7" s="35">
        <f>E7/D7*100%</f>
        <v>0</v>
      </c>
      <c r="I7" s="21">
        <v>3</v>
      </c>
      <c r="J7" s="21" t="s">
        <v>268</v>
      </c>
      <c r="K7" s="21">
        <v>4</v>
      </c>
      <c r="L7" s="21">
        <v>100</v>
      </c>
      <c r="M7" s="21">
        <v>8</v>
      </c>
      <c r="N7" s="22">
        <f t="shared" si="0"/>
        <v>0.08</v>
      </c>
    </row>
    <row r="8" spans="1:14" x14ac:dyDescent="0.35">
      <c r="A8" s="31">
        <v>2</v>
      </c>
      <c r="B8" s="43" t="s">
        <v>275</v>
      </c>
      <c r="C8" s="42" t="s">
        <v>30</v>
      </c>
      <c r="D8" s="42">
        <v>25</v>
      </c>
      <c r="E8" s="42">
        <v>46</v>
      </c>
      <c r="F8" s="31">
        <f t="shared" ref="F8:F23" si="1">E8-D8</f>
        <v>21</v>
      </c>
      <c r="G8" s="35">
        <f t="shared" ref="G8:G23" si="2">E8/D8*100%</f>
        <v>1.84</v>
      </c>
    </row>
    <row r="9" spans="1:14" x14ac:dyDescent="0.35">
      <c r="A9" s="31">
        <v>3</v>
      </c>
      <c r="B9" s="43" t="s">
        <v>276</v>
      </c>
      <c r="C9" s="42" t="s">
        <v>30</v>
      </c>
      <c r="D9" s="44">
        <v>25</v>
      </c>
      <c r="E9" s="42">
        <v>30</v>
      </c>
      <c r="F9" s="31">
        <f t="shared" si="1"/>
        <v>5</v>
      </c>
      <c r="G9" s="35">
        <f t="shared" si="2"/>
        <v>1.2</v>
      </c>
    </row>
    <row r="10" spans="1:14" x14ac:dyDescent="0.35">
      <c r="A10" s="31">
        <v>4</v>
      </c>
      <c r="B10" s="43" t="s">
        <v>277</v>
      </c>
      <c r="C10" s="42" t="s">
        <v>30</v>
      </c>
      <c r="D10" s="42">
        <v>25</v>
      </c>
      <c r="E10" s="42">
        <v>19</v>
      </c>
      <c r="F10" s="31">
        <f t="shared" si="1"/>
        <v>-6</v>
      </c>
      <c r="G10" s="35">
        <f t="shared" si="2"/>
        <v>0.76</v>
      </c>
    </row>
    <row r="11" spans="1:14" x14ac:dyDescent="0.35">
      <c r="A11" s="31">
        <v>5</v>
      </c>
      <c r="B11" s="63" t="s">
        <v>278</v>
      </c>
      <c r="C11" s="42" t="s">
        <v>30</v>
      </c>
      <c r="D11" s="44">
        <v>25</v>
      </c>
      <c r="E11" s="42">
        <v>11</v>
      </c>
      <c r="F11" s="31">
        <f t="shared" si="1"/>
        <v>-14</v>
      </c>
      <c r="G11" s="35">
        <f t="shared" si="2"/>
        <v>0.44</v>
      </c>
    </row>
    <row r="12" spans="1:14" x14ac:dyDescent="0.35">
      <c r="A12" s="31">
        <v>6</v>
      </c>
      <c r="B12" s="43" t="s">
        <v>279</v>
      </c>
      <c r="C12" s="42" t="s">
        <v>30</v>
      </c>
      <c r="D12" s="44">
        <v>25</v>
      </c>
      <c r="E12" s="42">
        <v>15</v>
      </c>
      <c r="F12" s="31">
        <f t="shared" si="1"/>
        <v>-10</v>
      </c>
      <c r="G12" s="35">
        <f t="shared" si="2"/>
        <v>0.6</v>
      </c>
    </row>
    <row r="13" spans="1:14" x14ac:dyDescent="0.35">
      <c r="A13" s="31">
        <v>7</v>
      </c>
      <c r="B13" s="43" t="s">
        <v>280</v>
      </c>
      <c r="C13" s="42" t="s">
        <v>28</v>
      </c>
      <c r="D13" s="42">
        <v>35</v>
      </c>
      <c r="E13" s="42">
        <v>0</v>
      </c>
      <c r="F13" s="31">
        <f t="shared" si="1"/>
        <v>-35</v>
      </c>
      <c r="G13" s="35">
        <f t="shared" si="2"/>
        <v>0</v>
      </c>
    </row>
    <row r="14" spans="1:14" x14ac:dyDescent="0.35">
      <c r="A14" s="31">
        <v>8</v>
      </c>
      <c r="B14" s="43" t="s">
        <v>281</v>
      </c>
      <c r="C14" s="42" t="s">
        <v>30</v>
      </c>
      <c r="D14" s="42">
        <v>25</v>
      </c>
      <c r="E14" s="42">
        <v>11</v>
      </c>
      <c r="F14" s="31">
        <f t="shared" si="1"/>
        <v>-14</v>
      </c>
      <c r="G14" s="35">
        <f t="shared" si="2"/>
        <v>0.44</v>
      </c>
    </row>
    <row r="15" spans="1:14" x14ac:dyDescent="0.35">
      <c r="A15" s="31">
        <v>9</v>
      </c>
      <c r="B15" s="43" t="s">
        <v>282</v>
      </c>
      <c r="C15" s="42" t="s">
        <v>30</v>
      </c>
      <c r="D15" s="44">
        <v>25</v>
      </c>
      <c r="E15" s="42">
        <v>46</v>
      </c>
      <c r="F15" s="31">
        <f t="shared" si="1"/>
        <v>21</v>
      </c>
      <c r="G15" s="35">
        <f t="shared" si="2"/>
        <v>1.84</v>
      </c>
    </row>
    <row r="16" spans="1:14" x14ac:dyDescent="0.35">
      <c r="A16" s="31">
        <v>10</v>
      </c>
      <c r="B16" s="43" t="s">
        <v>283</v>
      </c>
      <c r="C16" s="42" t="s">
        <v>30</v>
      </c>
      <c r="D16" s="42">
        <v>25</v>
      </c>
      <c r="E16" s="42">
        <v>9</v>
      </c>
      <c r="F16" s="31">
        <f t="shared" si="1"/>
        <v>-16</v>
      </c>
      <c r="G16" s="35">
        <f t="shared" si="2"/>
        <v>0.36</v>
      </c>
    </row>
    <row r="17" spans="1:7" x14ac:dyDescent="0.35">
      <c r="A17" s="31">
        <v>11</v>
      </c>
      <c r="B17" s="63" t="s">
        <v>284</v>
      </c>
      <c r="C17" s="42" t="s">
        <v>30</v>
      </c>
      <c r="D17" s="44">
        <v>25</v>
      </c>
      <c r="E17" s="42">
        <v>8</v>
      </c>
      <c r="F17" s="31">
        <f t="shared" si="1"/>
        <v>-17</v>
      </c>
      <c r="G17" s="35">
        <f t="shared" si="2"/>
        <v>0.32</v>
      </c>
    </row>
    <row r="18" spans="1:7" x14ac:dyDescent="0.35">
      <c r="A18" s="31">
        <v>12</v>
      </c>
      <c r="B18" s="63" t="s">
        <v>285</v>
      </c>
      <c r="C18" s="42" t="s">
        <v>30</v>
      </c>
      <c r="D18" s="42">
        <v>25</v>
      </c>
      <c r="E18" s="42">
        <v>11</v>
      </c>
      <c r="F18" s="31">
        <f t="shared" si="1"/>
        <v>-14</v>
      </c>
      <c r="G18" s="35">
        <f t="shared" si="2"/>
        <v>0.44</v>
      </c>
    </row>
    <row r="19" spans="1:7" x14ac:dyDescent="0.35">
      <c r="A19" s="31">
        <v>13</v>
      </c>
      <c r="B19" s="43" t="s">
        <v>286</v>
      </c>
      <c r="C19" s="42" t="s">
        <v>30</v>
      </c>
      <c r="D19" s="42">
        <v>25</v>
      </c>
      <c r="E19" s="42">
        <v>5</v>
      </c>
      <c r="F19" s="31">
        <f t="shared" si="1"/>
        <v>-20</v>
      </c>
      <c r="G19" s="35">
        <f t="shared" si="2"/>
        <v>0.2</v>
      </c>
    </row>
    <row r="20" spans="1:7" x14ac:dyDescent="0.35">
      <c r="A20" s="31">
        <v>14</v>
      </c>
      <c r="B20" s="43" t="s">
        <v>287</v>
      </c>
      <c r="C20" s="42" t="s">
        <v>30</v>
      </c>
      <c r="D20" s="42">
        <v>25</v>
      </c>
      <c r="E20" s="42">
        <v>3</v>
      </c>
      <c r="F20" s="31">
        <f t="shared" si="1"/>
        <v>-22</v>
      </c>
      <c r="G20" s="35">
        <f t="shared" si="2"/>
        <v>0.12</v>
      </c>
    </row>
    <row r="21" spans="1:7" x14ac:dyDescent="0.35">
      <c r="A21" s="31">
        <v>15</v>
      </c>
      <c r="B21" s="63" t="s">
        <v>288</v>
      </c>
      <c r="C21" s="42" t="s">
        <v>30</v>
      </c>
      <c r="D21" s="42">
        <v>25</v>
      </c>
      <c r="E21" s="42">
        <v>4</v>
      </c>
      <c r="F21" s="31">
        <f t="shared" si="1"/>
        <v>-21</v>
      </c>
      <c r="G21" s="35">
        <f t="shared" si="2"/>
        <v>0.16</v>
      </c>
    </row>
    <row r="22" spans="1:7" x14ac:dyDescent="0.35">
      <c r="A22" s="31">
        <v>16</v>
      </c>
      <c r="B22" s="63" t="s">
        <v>289</v>
      </c>
      <c r="C22" s="42" t="s">
        <v>30</v>
      </c>
      <c r="D22" s="42">
        <v>25</v>
      </c>
      <c r="E22" s="42">
        <v>0</v>
      </c>
      <c r="F22" s="31">
        <f t="shared" si="1"/>
        <v>-25</v>
      </c>
      <c r="G22" s="35">
        <f t="shared" si="2"/>
        <v>0</v>
      </c>
    </row>
    <row r="23" spans="1:7" x14ac:dyDescent="0.35">
      <c r="A23" s="31"/>
      <c r="B23" s="31" t="s">
        <v>34</v>
      </c>
      <c r="C23" s="31"/>
      <c r="D23" s="31">
        <v>400</v>
      </c>
      <c r="E23" s="31">
        <f>SUM(E7:E22)</f>
        <v>218</v>
      </c>
      <c r="F23" s="31">
        <f t="shared" si="1"/>
        <v>-182</v>
      </c>
      <c r="G23" s="35">
        <f t="shared" si="2"/>
        <v>0.54500000000000004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98D4-39FF-484E-8F69-98ED5FB57D5B}">
  <dimension ref="A1:N20"/>
  <sheetViews>
    <sheetView workbookViewId="0">
      <selection activeCell="C4" sqref="C4:G4"/>
    </sheetView>
  </sheetViews>
  <sheetFormatPr defaultRowHeight="14.5" x14ac:dyDescent="0.35"/>
  <cols>
    <col min="1" max="1" width="3.54296875" customWidth="1"/>
    <col min="2" max="2" width="34.54296875" customWidth="1"/>
    <col min="7" max="7" width="8.7265625" style="6"/>
    <col min="9" max="9" width="5.81640625" customWidth="1"/>
    <col min="10" max="11" width="12.1796875" customWidth="1"/>
  </cols>
  <sheetData>
    <row r="1" spans="1:14" x14ac:dyDescent="0.35">
      <c r="B1" s="5" t="s">
        <v>51</v>
      </c>
    </row>
    <row r="2" spans="1:14" x14ac:dyDescent="0.35">
      <c r="B2" s="5" t="s">
        <v>165</v>
      </c>
    </row>
    <row r="3" spans="1:14" x14ac:dyDescent="0.35">
      <c r="B3" s="5" t="s">
        <v>166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180</v>
      </c>
      <c r="K5" s="21">
        <v>5</v>
      </c>
      <c r="L5" s="21">
        <v>150</v>
      </c>
      <c r="M5" s="21">
        <v>152</v>
      </c>
      <c r="N5" s="22">
        <f>M5/L5*100%</f>
        <v>1.0133333333333334</v>
      </c>
    </row>
    <row r="6" spans="1:14" x14ac:dyDescent="0.35">
      <c r="A6" s="168"/>
      <c r="B6" s="169"/>
      <c r="C6" s="170"/>
      <c r="D6" s="170"/>
      <c r="E6" s="170"/>
      <c r="F6" s="170"/>
      <c r="G6" s="171"/>
      <c r="I6" s="21">
        <v>2</v>
      </c>
      <c r="J6" s="21" t="s">
        <v>181</v>
      </c>
      <c r="K6" s="21">
        <v>6</v>
      </c>
      <c r="L6" s="21">
        <v>190</v>
      </c>
      <c r="M6" s="21">
        <v>194</v>
      </c>
      <c r="N6" s="22">
        <f>M6/L6*100%</f>
        <v>1.0210526315789474</v>
      </c>
    </row>
    <row r="7" spans="1:14" x14ac:dyDescent="0.35">
      <c r="A7" s="31">
        <v>1</v>
      </c>
      <c r="B7" s="49" t="s">
        <v>167</v>
      </c>
      <c r="C7" s="50" t="s">
        <v>28</v>
      </c>
      <c r="D7" s="50">
        <v>35</v>
      </c>
      <c r="E7" s="50">
        <v>0</v>
      </c>
      <c r="F7" s="31">
        <f>E7-D7</f>
        <v>-35</v>
      </c>
      <c r="G7" s="35">
        <f>E7/D7*100%</f>
        <v>0</v>
      </c>
    </row>
    <row r="8" spans="1:14" x14ac:dyDescent="0.35">
      <c r="A8" s="31">
        <v>2</v>
      </c>
      <c r="B8" s="51" t="s">
        <v>168</v>
      </c>
      <c r="C8" s="50" t="s">
        <v>30</v>
      </c>
      <c r="D8" s="50">
        <v>25</v>
      </c>
      <c r="E8" s="50">
        <v>32</v>
      </c>
      <c r="F8" s="31">
        <f t="shared" ref="F8:F20" si="0">E8-D8</f>
        <v>7</v>
      </c>
      <c r="G8" s="35">
        <f t="shared" ref="G8:G20" si="1">E8/D8*100%</f>
        <v>1.28</v>
      </c>
    </row>
    <row r="9" spans="1:14" x14ac:dyDescent="0.35">
      <c r="A9" s="31">
        <v>3</v>
      </c>
      <c r="B9" s="51" t="s">
        <v>169</v>
      </c>
      <c r="C9" s="50" t="s">
        <v>30</v>
      </c>
      <c r="D9" s="50">
        <v>25</v>
      </c>
      <c r="E9" s="50">
        <v>22</v>
      </c>
      <c r="F9" s="31">
        <f t="shared" si="0"/>
        <v>-3</v>
      </c>
      <c r="G9" s="35">
        <f t="shared" si="1"/>
        <v>0.88</v>
      </c>
    </row>
    <row r="10" spans="1:14" x14ac:dyDescent="0.35">
      <c r="A10" s="31">
        <v>4</v>
      </c>
      <c r="B10" s="51" t="s">
        <v>170</v>
      </c>
      <c r="C10" s="50" t="s">
        <v>30</v>
      </c>
      <c r="D10" s="50">
        <v>25</v>
      </c>
      <c r="E10" s="50">
        <v>20</v>
      </c>
      <c r="F10" s="31">
        <f t="shared" si="0"/>
        <v>-5</v>
      </c>
      <c r="G10" s="35">
        <f t="shared" si="1"/>
        <v>0.8</v>
      </c>
    </row>
    <row r="11" spans="1:14" x14ac:dyDescent="0.35">
      <c r="A11" s="31">
        <v>5</v>
      </c>
      <c r="B11" s="52" t="s">
        <v>171</v>
      </c>
      <c r="C11" s="50" t="s">
        <v>30</v>
      </c>
      <c r="D11" s="50">
        <v>25</v>
      </c>
      <c r="E11" s="50">
        <v>31</v>
      </c>
      <c r="F11" s="31">
        <f t="shared" si="0"/>
        <v>6</v>
      </c>
      <c r="G11" s="35">
        <f t="shared" si="1"/>
        <v>1.24</v>
      </c>
    </row>
    <row r="12" spans="1:14" x14ac:dyDescent="0.35">
      <c r="A12" s="31">
        <v>6</v>
      </c>
      <c r="B12" s="52" t="s">
        <v>172</v>
      </c>
      <c r="C12" s="50" t="s">
        <v>30</v>
      </c>
      <c r="D12" s="50">
        <v>25</v>
      </c>
      <c r="E12" s="50">
        <v>47</v>
      </c>
      <c r="F12" s="31">
        <f t="shared" si="0"/>
        <v>22</v>
      </c>
      <c r="G12" s="35">
        <f t="shared" si="1"/>
        <v>1.88</v>
      </c>
    </row>
    <row r="13" spans="1:14" x14ac:dyDescent="0.35">
      <c r="A13" s="31">
        <v>7</v>
      </c>
      <c r="B13" s="49" t="s">
        <v>173</v>
      </c>
      <c r="C13" s="50" t="s">
        <v>28</v>
      </c>
      <c r="D13" s="50">
        <v>35</v>
      </c>
      <c r="E13" s="50">
        <v>0</v>
      </c>
      <c r="F13" s="31">
        <f t="shared" si="0"/>
        <v>-35</v>
      </c>
      <c r="G13" s="35">
        <f t="shared" si="1"/>
        <v>0</v>
      </c>
    </row>
    <row r="14" spans="1:14" x14ac:dyDescent="0.35">
      <c r="A14" s="31">
        <v>8</v>
      </c>
      <c r="B14" s="51" t="s">
        <v>174</v>
      </c>
      <c r="C14" s="50" t="s">
        <v>30</v>
      </c>
      <c r="D14" s="50">
        <v>25</v>
      </c>
      <c r="E14" s="50">
        <v>24</v>
      </c>
      <c r="F14" s="31">
        <f t="shared" si="0"/>
        <v>-1</v>
      </c>
      <c r="G14" s="35">
        <f t="shared" si="1"/>
        <v>0.96</v>
      </c>
    </row>
    <row r="15" spans="1:14" x14ac:dyDescent="0.35">
      <c r="A15" s="31">
        <v>9</v>
      </c>
      <c r="B15" s="51" t="s">
        <v>175</v>
      </c>
      <c r="C15" s="50" t="s">
        <v>30</v>
      </c>
      <c r="D15" s="50">
        <v>25</v>
      </c>
      <c r="E15" s="50">
        <v>26</v>
      </c>
      <c r="F15" s="31">
        <f t="shared" si="0"/>
        <v>1</v>
      </c>
      <c r="G15" s="35">
        <f t="shared" si="1"/>
        <v>1.04</v>
      </c>
    </row>
    <row r="16" spans="1:14" x14ac:dyDescent="0.35">
      <c r="A16" s="31">
        <v>10</v>
      </c>
      <c r="B16" s="51" t="s">
        <v>176</v>
      </c>
      <c r="C16" s="50" t="s">
        <v>30</v>
      </c>
      <c r="D16" s="50">
        <v>25</v>
      </c>
      <c r="E16" s="50">
        <v>31</v>
      </c>
      <c r="F16" s="31">
        <f t="shared" si="0"/>
        <v>6</v>
      </c>
      <c r="G16" s="35">
        <f t="shared" si="1"/>
        <v>1.24</v>
      </c>
    </row>
    <row r="17" spans="1:7" x14ac:dyDescent="0.35">
      <c r="A17" s="31">
        <v>11</v>
      </c>
      <c r="B17" s="52" t="s">
        <v>177</v>
      </c>
      <c r="C17" s="50" t="s">
        <v>30</v>
      </c>
      <c r="D17" s="50">
        <v>25</v>
      </c>
      <c r="E17" s="50">
        <v>25</v>
      </c>
      <c r="F17" s="31">
        <f t="shared" si="0"/>
        <v>0</v>
      </c>
      <c r="G17" s="35">
        <f t="shared" si="1"/>
        <v>1</v>
      </c>
    </row>
    <row r="18" spans="1:7" x14ac:dyDescent="0.35">
      <c r="A18" s="31">
        <v>12</v>
      </c>
      <c r="B18" s="51" t="s">
        <v>178</v>
      </c>
      <c r="C18" s="50" t="s">
        <v>30</v>
      </c>
      <c r="D18" s="50">
        <v>25</v>
      </c>
      <c r="E18" s="50">
        <v>50</v>
      </c>
      <c r="F18" s="31">
        <f t="shared" si="0"/>
        <v>25</v>
      </c>
      <c r="G18" s="35">
        <f t="shared" si="1"/>
        <v>2</v>
      </c>
    </row>
    <row r="19" spans="1:7" x14ac:dyDescent="0.35">
      <c r="A19" s="31">
        <v>13</v>
      </c>
      <c r="B19" s="51" t="s">
        <v>179</v>
      </c>
      <c r="C19" s="50" t="s">
        <v>30</v>
      </c>
      <c r="D19" s="50">
        <v>25</v>
      </c>
      <c r="E19" s="50">
        <v>38</v>
      </c>
      <c r="F19" s="31">
        <f t="shared" si="0"/>
        <v>13</v>
      </c>
      <c r="G19" s="35">
        <f t="shared" si="1"/>
        <v>1.52</v>
      </c>
    </row>
    <row r="20" spans="1:7" x14ac:dyDescent="0.35">
      <c r="A20" s="31"/>
      <c r="B20" s="31" t="s">
        <v>34</v>
      </c>
      <c r="C20" s="31"/>
      <c r="D20" s="31">
        <v>340</v>
      </c>
      <c r="E20" s="31">
        <f>SUM(E7:E19)</f>
        <v>346</v>
      </c>
      <c r="F20" s="31">
        <f t="shared" si="0"/>
        <v>6</v>
      </c>
      <c r="G20" s="35">
        <f t="shared" si="1"/>
        <v>1.0176470588235293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C4F0-0536-411A-9947-F7EF27386C9B}">
  <dimension ref="A1:N24"/>
  <sheetViews>
    <sheetView workbookViewId="0">
      <selection activeCell="C4" sqref="C4:G4"/>
    </sheetView>
  </sheetViews>
  <sheetFormatPr defaultRowHeight="14.5" x14ac:dyDescent="0.35"/>
  <cols>
    <col min="1" max="1" width="4.6328125" customWidth="1"/>
    <col min="2" max="2" width="33.90625" customWidth="1"/>
    <col min="7" max="7" width="8.7265625" style="6"/>
    <col min="9" max="9" width="5.1796875" customWidth="1"/>
    <col min="10" max="10" width="17.6328125" customWidth="1"/>
    <col min="11" max="11" width="11.1796875" customWidth="1"/>
  </cols>
  <sheetData>
    <row r="1" spans="1:14" x14ac:dyDescent="0.35">
      <c r="B1" s="5" t="s">
        <v>51</v>
      </c>
    </row>
    <row r="2" spans="1:14" x14ac:dyDescent="0.35">
      <c r="B2" s="5" t="s">
        <v>165</v>
      </c>
    </row>
    <row r="3" spans="1:14" x14ac:dyDescent="0.35">
      <c r="B3" s="5" t="s">
        <v>166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199</v>
      </c>
      <c r="K5" s="21">
        <v>5</v>
      </c>
      <c r="L5" s="21">
        <v>150</v>
      </c>
      <c r="M5" s="21">
        <v>126</v>
      </c>
      <c r="N5" s="22">
        <f>M5/L5*100%</f>
        <v>0.84</v>
      </c>
    </row>
    <row r="6" spans="1:14" x14ac:dyDescent="0.35">
      <c r="A6" s="168"/>
      <c r="B6" s="169"/>
      <c r="C6" s="170"/>
      <c r="D6" s="170"/>
      <c r="E6" s="170"/>
      <c r="F6" s="170"/>
      <c r="G6" s="171"/>
      <c r="I6" s="21">
        <v>2</v>
      </c>
      <c r="J6" s="21" t="s">
        <v>200</v>
      </c>
      <c r="K6" s="21">
        <v>5</v>
      </c>
      <c r="L6" s="21">
        <v>150</v>
      </c>
      <c r="M6" s="21">
        <v>63</v>
      </c>
      <c r="N6" s="22">
        <f t="shared" ref="N6:N7" si="0">M6/L6*100%</f>
        <v>0.42</v>
      </c>
    </row>
    <row r="7" spans="1:14" x14ac:dyDescent="0.35">
      <c r="A7" s="31">
        <v>1</v>
      </c>
      <c r="B7" s="53" t="s">
        <v>182</v>
      </c>
      <c r="C7" s="54" t="s">
        <v>28</v>
      </c>
      <c r="D7" s="54">
        <v>35</v>
      </c>
      <c r="E7" s="54">
        <v>8</v>
      </c>
      <c r="F7" s="31">
        <f>E7-D7</f>
        <v>-27</v>
      </c>
      <c r="G7" s="35">
        <f>E7/D7*100%</f>
        <v>0.22857142857142856</v>
      </c>
      <c r="I7" s="21">
        <v>3</v>
      </c>
      <c r="J7" s="21" t="s">
        <v>201</v>
      </c>
      <c r="K7" s="21">
        <v>4</v>
      </c>
      <c r="L7" s="21">
        <v>150</v>
      </c>
      <c r="M7" s="21">
        <v>75</v>
      </c>
      <c r="N7" s="22">
        <f t="shared" si="0"/>
        <v>0.5</v>
      </c>
    </row>
    <row r="8" spans="1:14" x14ac:dyDescent="0.35">
      <c r="A8" s="31">
        <v>2</v>
      </c>
      <c r="B8" s="55" t="s">
        <v>183</v>
      </c>
      <c r="C8" s="54" t="s">
        <v>30</v>
      </c>
      <c r="D8" s="54">
        <v>25</v>
      </c>
      <c r="E8" s="54">
        <v>14</v>
      </c>
      <c r="F8" s="31">
        <f t="shared" ref="F8:F24" si="1">E8-D8</f>
        <v>-11</v>
      </c>
      <c r="G8" s="35">
        <f t="shared" ref="G8:G24" si="2">E8/D8*100%</f>
        <v>0.56000000000000005</v>
      </c>
    </row>
    <row r="9" spans="1:14" x14ac:dyDescent="0.35">
      <c r="A9" s="31">
        <v>3</v>
      </c>
      <c r="B9" s="55" t="s">
        <v>184</v>
      </c>
      <c r="C9" s="54" t="s">
        <v>30</v>
      </c>
      <c r="D9" s="54">
        <v>25</v>
      </c>
      <c r="E9" s="54">
        <v>33</v>
      </c>
      <c r="F9" s="31">
        <f t="shared" si="1"/>
        <v>8</v>
      </c>
      <c r="G9" s="35">
        <f t="shared" si="2"/>
        <v>1.32</v>
      </c>
    </row>
    <row r="10" spans="1:14" x14ac:dyDescent="0.35">
      <c r="A10" s="31">
        <v>4</v>
      </c>
      <c r="B10" s="56" t="s">
        <v>185</v>
      </c>
      <c r="C10" s="54" t="s">
        <v>30</v>
      </c>
      <c r="D10" s="54">
        <v>25</v>
      </c>
      <c r="E10" s="54">
        <v>37</v>
      </c>
      <c r="F10" s="31">
        <f t="shared" si="1"/>
        <v>12</v>
      </c>
      <c r="G10" s="35">
        <f t="shared" si="2"/>
        <v>1.48</v>
      </c>
    </row>
    <row r="11" spans="1:14" x14ac:dyDescent="0.35">
      <c r="A11" s="31">
        <v>5</v>
      </c>
      <c r="B11" s="57" t="s">
        <v>186</v>
      </c>
      <c r="C11" s="54" t="s">
        <v>30</v>
      </c>
      <c r="D11" s="54">
        <v>25</v>
      </c>
      <c r="E11" s="54">
        <v>18</v>
      </c>
      <c r="F11" s="31">
        <f t="shared" si="1"/>
        <v>-7</v>
      </c>
      <c r="G11" s="35">
        <f t="shared" si="2"/>
        <v>0.72</v>
      </c>
    </row>
    <row r="12" spans="1:14" x14ac:dyDescent="0.35">
      <c r="A12" s="31">
        <v>6</v>
      </c>
      <c r="B12" s="56" t="s">
        <v>187</v>
      </c>
      <c r="C12" s="54" t="s">
        <v>30</v>
      </c>
      <c r="D12" s="54">
        <v>25</v>
      </c>
      <c r="E12" s="54">
        <v>16</v>
      </c>
      <c r="F12" s="31">
        <f t="shared" si="1"/>
        <v>-9</v>
      </c>
      <c r="G12" s="35">
        <f t="shared" si="2"/>
        <v>0.64</v>
      </c>
    </row>
    <row r="13" spans="1:14" x14ac:dyDescent="0.35">
      <c r="A13" s="31">
        <v>7</v>
      </c>
      <c r="B13" s="53" t="s">
        <v>188</v>
      </c>
      <c r="C13" s="54" t="s">
        <v>28</v>
      </c>
      <c r="D13" s="54">
        <v>35</v>
      </c>
      <c r="E13" s="54">
        <v>0</v>
      </c>
      <c r="F13" s="31">
        <f t="shared" si="1"/>
        <v>-35</v>
      </c>
      <c r="G13" s="35">
        <f t="shared" si="2"/>
        <v>0</v>
      </c>
    </row>
    <row r="14" spans="1:14" x14ac:dyDescent="0.35">
      <c r="A14" s="31">
        <v>8</v>
      </c>
      <c r="B14" s="56" t="s">
        <v>189</v>
      </c>
      <c r="C14" s="54" t="s">
        <v>30</v>
      </c>
      <c r="D14" s="54">
        <v>25</v>
      </c>
      <c r="E14" s="54">
        <v>11</v>
      </c>
      <c r="F14" s="31">
        <f t="shared" si="1"/>
        <v>-14</v>
      </c>
      <c r="G14" s="35">
        <f t="shared" si="2"/>
        <v>0.44</v>
      </c>
    </row>
    <row r="15" spans="1:14" x14ac:dyDescent="0.35">
      <c r="A15" s="31">
        <v>9</v>
      </c>
      <c r="B15" s="56" t="s">
        <v>190</v>
      </c>
      <c r="C15" s="54" t="s">
        <v>30</v>
      </c>
      <c r="D15" s="54">
        <v>25</v>
      </c>
      <c r="E15" s="54">
        <v>21</v>
      </c>
      <c r="F15" s="31">
        <f t="shared" si="1"/>
        <v>-4</v>
      </c>
      <c r="G15" s="35">
        <f t="shared" si="2"/>
        <v>0.84</v>
      </c>
    </row>
    <row r="16" spans="1:14" x14ac:dyDescent="0.35">
      <c r="A16" s="31">
        <v>10</v>
      </c>
      <c r="B16" s="56" t="s">
        <v>191</v>
      </c>
      <c r="C16" s="54" t="s">
        <v>30</v>
      </c>
      <c r="D16" s="54">
        <v>25</v>
      </c>
      <c r="E16" s="54">
        <v>5</v>
      </c>
      <c r="F16" s="31">
        <f t="shared" si="1"/>
        <v>-20</v>
      </c>
      <c r="G16" s="35">
        <f t="shared" si="2"/>
        <v>0.2</v>
      </c>
    </row>
    <row r="17" spans="1:7" x14ac:dyDescent="0.35">
      <c r="A17" s="31">
        <v>11</v>
      </c>
      <c r="B17" s="56" t="s">
        <v>192</v>
      </c>
      <c r="C17" s="54" t="s">
        <v>30</v>
      </c>
      <c r="D17" s="54">
        <v>25</v>
      </c>
      <c r="E17" s="54">
        <v>6</v>
      </c>
      <c r="F17" s="31">
        <f t="shared" si="1"/>
        <v>-19</v>
      </c>
      <c r="G17" s="35">
        <f t="shared" si="2"/>
        <v>0.24</v>
      </c>
    </row>
    <row r="18" spans="1:7" x14ac:dyDescent="0.35">
      <c r="A18" s="31">
        <v>12</v>
      </c>
      <c r="B18" s="56" t="s">
        <v>193</v>
      </c>
      <c r="C18" s="54" t="s">
        <v>30</v>
      </c>
      <c r="D18" s="54">
        <v>25</v>
      </c>
      <c r="E18" s="54">
        <v>20</v>
      </c>
      <c r="F18" s="31">
        <f t="shared" si="1"/>
        <v>-5</v>
      </c>
      <c r="G18" s="35">
        <f t="shared" si="2"/>
        <v>0.8</v>
      </c>
    </row>
    <row r="19" spans="1:7" x14ac:dyDescent="0.35">
      <c r="A19" s="31">
        <v>13</v>
      </c>
      <c r="B19" s="57" t="s">
        <v>194</v>
      </c>
      <c r="C19" s="54" t="s">
        <v>28</v>
      </c>
      <c r="D19" s="54">
        <v>35</v>
      </c>
      <c r="E19" s="54">
        <v>0</v>
      </c>
      <c r="F19" s="31">
        <f t="shared" si="1"/>
        <v>-35</v>
      </c>
      <c r="G19" s="35">
        <f t="shared" si="2"/>
        <v>0</v>
      </c>
    </row>
    <row r="20" spans="1:7" x14ac:dyDescent="0.35">
      <c r="A20" s="31">
        <v>14</v>
      </c>
      <c r="B20" s="58" t="s">
        <v>195</v>
      </c>
      <c r="C20" s="54" t="s">
        <v>30</v>
      </c>
      <c r="D20" s="54">
        <v>25</v>
      </c>
      <c r="E20" s="54">
        <v>21</v>
      </c>
      <c r="F20" s="31">
        <f t="shared" si="1"/>
        <v>-4</v>
      </c>
      <c r="G20" s="35">
        <f t="shared" si="2"/>
        <v>0.84</v>
      </c>
    </row>
    <row r="21" spans="1:7" x14ac:dyDescent="0.35">
      <c r="A21" s="31">
        <v>15</v>
      </c>
      <c r="B21" s="58" t="s">
        <v>196</v>
      </c>
      <c r="C21" s="54" t="s">
        <v>30</v>
      </c>
      <c r="D21" s="54">
        <v>25</v>
      </c>
      <c r="E21" s="54">
        <v>17</v>
      </c>
      <c r="F21" s="31">
        <f t="shared" si="1"/>
        <v>-8</v>
      </c>
      <c r="G21" s="35">
        <f t="shared" si="2"/>
        <v>0.68</v>
      </c>
    </row>
    <row r="22" spans="1:7" x14ac:dyDescent="0.35">
      <c r="A22" s="31">
        <v>16</v>
      </c>
      <c r="B22" s="58" t="s">
        <v>197</v>
      </c>
      <c r="C22" s="54" t="s">
        <v>30</v>
      </c>
      <c r="D22" s="54">
        <v>25</v>
      </c>
      <c r="E22" s="54">
        <v>25</v>
      </c>
      <c r="F22" s="31">
        <f t="shared" si="1"/>
        <v>0</v>
      </c>
      <c r="G22" s="35">
        <f t="shared" si="2"/>
        <v>1</v>
      </c>
    </row>
    <row r="23" spans="1:7" x14ac:dyDescent="0.35">
      <c r="A23" s="31">
        <v>17</v>
      </c>
      <c r="B23" s="58" t="s">
        <v>198</v>
      </c>
      <c r="C23" s="54" t="s">
        <v>30</v>
      </c>
      <c r="D23" s="54">
        <v>25</v>
      </c>
      <c r="E23" s="54">
        <v>12</v>
      </c>
      <c r="F23" s="31">
        <f t="shared" si="1"/>
        <v>-13</v>
      </c>
      <c r="G23" s="35">
        <f t="shared" si="2"/>
        <v>0.48</v>
      </c>
    </row>
    <row r="24" spans="1:7" x14ac:dyDescent="0.35">
      <c r="A24" s="31"/>
      <c r="B24" s="31" t="s">
        <v>34</v>
      </c>
      <c r="C24" s="31"/>
      <c r="D24" s="31">
        <v>450</v>
      </c>
      <c r="E24" s="31">
        <f>SUM(E7:E23)</f>
        <v>264</v>
      </c>
      <c r="F24" s="31">
        <f t="shared" si="1"/>
        <v>-186</v>
      </c>
      <c r="G24" s="35">
        <f t="shared" si="2"/>
        <v>0.58666666666666667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671E-7965-4F80-AC7D-04B4CAE8647B}">
  <dimension ref="A1:G13"/>
  <sheetViews>
    <sheetView workbookViewId="0">
      <selection activeCell="C4" sqref="C4:G4"/>
    </sheetView>
  </sheetViews>
  <sheetFormatPr defaultRowHeight="14.5" x14ac:dyDescent="0.35"/>
  <cols>
    <col min="1" max="1" width="3.6328125" customWidth="1"/>
    <col min="2" max="2" width="34.7265625" customWidth="1"/>
    <col min="7" max="7" width="8.7265625" style="6"/>
  </cols>
  <sheetData>
    <row r="1" spans="1:7" x14ac:dyDescent="0.35">
      <c r="B1" s="5" t="s">
        <v>51</v>
      </c>
    </row>
    <row r="2" spans="1:7" x14ac:dyDescent="0.35">
      <c r="B2" s="5" t="s">
        <v>165</v>
      </c>
    </row>
    <row r="3" spans="1:7" x14ac:dyDescent="0.35">
      <c r="B3" s="5" t="s">
        <v>166</v>
      </c>
    </row>
    <row r="4" spans="1:7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</row>
    <row r="5" spans="1:7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</row>
    <row r="6" spans="1:7" x14ac:dyDescent="0.35">
      <c r="A6" s="168"/>
      <c r="B6" s="169"/>
      <c r="C6" s="170"/>
      <c r="D6" s="170"/>
      <c r="E6" s="170"/>
      <c r="F6" s="170"/>
      <c r="G6" s="171"/>
    </row>
    <row r="7" spans="1:7" x14ac:dyDescent="0.35">
      <c r="A7" s="31">
        <v>1</v>
      </c>
      <c r="B7" s="33" t="s">
        <v>202</v>
      </c>
      <c r="C7" s="30" t="s">
        <v>28</v>
      </c>
      <c r="D7" s="30">
        <v>35</v>
      </c>
      <c r="E7" s="30">
        <v>9</v>
      </c>
      <c r="F7" s="31">
        <f>E7-D7</f>
        <v>-26</v>
      </c>
      <c r="G7" s="35">
        <f>E7/D7*100%</f>
        <v>0.25714285714285712</v>
      </c>
    </row>
    <row r="8" spans="1:7" x14ac:dyDescent="0.35">
      <c r="A8" s="31">
        <v>2</v>
      </c>
      <c r="B8" s="28" t="s">
        <v>203</v>
      </c>
      <c r="C8" s="32" t="s">
        <v>30</v>
      </c>
      <c r="D8" s="30">
        <v>25</v>
      </c>
      <c r="E8" s="30">
        <v>4</v>
      </c>
      <c r="F8" s="31">
        <f t="shared" ref="F8:F13" si="0">E8-D8</f>
        <v>-21</v>
      </c>
      <c r="G8" s="35">
        <f t="shared" ref="G8:G13" si="1">E8/D8*100%</f>
        <v>0.16</v>
      </c>
    </row>
    <row r="9" spans="1:7" x14ac:dyDescent="0.35">
      <c r="A9" s="31">
        <v>3</v>
      </c>
      <c r="B9" s="33" t="s">
        <v>204</v>
      </c>
      <c r="C9" s="32" t="s">
        <v>30</v>
      </c>
      <c r="D9" s="30">
        <v>25</v>
      </c>
      <c r="E9" s="30">
        <v>19</v>
      </c>
      <c r="F9" s="31">
        <f t="shared" si="0"/>
        <v>-6</v>
      </c>
      <c r="G9" s="35">
        <f t="shared" si="1"/>
        <v>0.76</v>
      </c>
    </row>
    <row r="10" spans="1:7" x14ac:dyDescent="0.35">
      <c r="A10" s="31">
        <v>4</v>
      </c>
      <c r="B10" s="33" t="s">
        <v>205</v>
      </c>
      <c r="C10" s="32" t="s">
        <v>30</v>
      </c>
      <c r="D10" s="30">
        <v>25</v>
      </c>
      <c r="E10" s="30">
        <v>1</v>
      </c>
      <c r="F10" s="31">
        <f t="shared" si="0"/>
        <v>-24</v>
      </c>
      <c r="G10" s="35">
        <f t="shared" si="1"/>
        <v>0.04</v>
      </c>
    </row>
    <row r="11" spans="1:7" x14ac:dyDescent="0.35">
      <c r="A11" s="31">
        <v>5</v>
      </c>
      <c r="B11" s="33" t="s">
        <v>206</v>
      </c>
      <c r="C11" s="32" t="s">
        <v>30</v>
      </c>
      <c r="D11" s="30">
        <v>25</v>
      </c>
      <c r="E11" s="30">
        <v>0</v>
      </c>
      <c r="F11" s="31">
        <f t="shared" si="0"/>
        <v>-25</v>
      </c>
      <c r="G11" s="35">
        <f t="shared" si="1"/>
        <v>0</v>
      </c>
    </row>
    <row r="12" spans="1:7" x14ac:dyDescent="0.35">
      <c r="A12" s="31">
        <v>6</v>
      </c>
      <c r="B12" s="33" t="s">
        <v>207</v>
      </c>
      <c r="C12" s="32" t="s">
        <v>30</v>
      </c>
      <c r="D12" s="30">
        <v>25</v>
      </c>
      <c r="E12" s="30">
        <v>5</v>
      </c>
      <c r="F12" s="31">
        <f t="shared" si="0"/>
        <v>-20</v>
      </c>
      <c r="G12" s="35">
        <f t="shared" si="1"/>
        <v>0.2</v>
      </c>
    </row>
    <row r="13" spans="1:7" x14ac:dyDescent="0.35">
      <c r="A13" s="31"/>
      <c r="B13" s="31" t="s">
        <v>34</v>
      </c>
      <c r="C13" s="31"/>
      <c r="D13" s="31">
        <v>150</v>
      </c>
      <c r="E13" s="31">
        <f>SUM(E7:E12)</f>
        <v>38</v>
      </c>
      <c r="F13" s="31">
        <f t="shared" si="0"/>
        <v>-112</v>
      </c>
      <c r="G13" s="35">
        <f t="shared" si="1"/>
        <v>0.25333333333333335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177F-A8A2-4208-B208-A790C4EFE73A}">
  <dimension ref="A1:N27"/>
  <sheetViews>
    <sheetView workbookViewId="0">
      <selection activeCell="C5" sqref="C5:G5"/>
    </sheetView>
  </sheetViews>
  <sheetFormatPr defaultRowHeight="14.5" x14ac:dyDescent="0.35"/>
  <cols>
    <col min="1" max="1" width="4" customWidth="1"/>
    <col min="2" max="2" width="31" customWidth="1"/>
    <col min="7" max="7" width="8.7265625" style="6"/>
    <col min="9" max="9" width="3.81640625" customWidth="1"/>
    <col min="10" max="10" width="16.1796875" customWidth="1"/>
    <col min="11" max="11" width="8.7265625" style="4"/>
    <col min="14" max="14" width="8.7265625" style="6"/>
  </cols>
  <sheetData>
    <row r="1" spans="1:14" x14ac:dyDescent="0.35">
      <c r="A1" s="4"/>
      <c r="B1" s="5" t="s">
        <v>51</v>
      </c>
      <c r="F1" s="4"/>
      <c r="G1" s="27"/>
    </row>
    <row r="2" spans="1:14" x14ac:dyDescent="0.35">
      <c r="A2" s="4"/>
      <c r="B2" s="5" t="s">
        <v>52</v>
      </c>
      <c r="F2" s="4"/>
      <c r="G2" s="27"/>
    </row>
    <row r="3" spans="1:14" x14ac:dyDescent="0.35">
      <c r="A3" s="4"/>
      <c r="F3" s="4"/>
      <c r="G3" s="27"/>
    </row>
    <row r="4" spans="1:14" x14ac:dyDescent="0.35">
      <c r="A4" s="4"/>
      <c r="F4" s="4"/>
      <c r="G4" s="27"/>
    </row>
    <row r="5" spans="1:14" x14ac:dyDescent="0.35">
      <c r="A5" s="158" t="s">
        <v>19</v>
      </c>
      <c r="B5" s="159" t="s">
        <v>20</v>
      </c>
      <c r="C5" s="160" t="s">
        <v>941</v>
      </c>
      <c r="D5" s="161"/>
      <c r="E5" s="161"/>
      <c r="F5" s="161"/>
      <c r="G5" s="161"/>
      <c r="I5" s="7" t="s">
        <v>7</v>
      </c>
      <c r="J5" s="1" t="s">
        <v>9</v>
      </c>
      <c r="K5" s="1" t="s">
        <v>10</v>
      </c>
      <c r="L5" s="1" t="s">
        <v>3</v>
      </c>
      <c r="M5" s="1" t="s">
        <v>4</v>
      </c>
      <c r="N5" s="8" t="s">
        <v>6</v>
      </c>
    </row>
    <row r="6" spans="1:14" x14ac:dyDescent="0.35">
      <c r="A6" s="158"/>
      <c r="B6" s="159"/>
      <c r="C6" s="162" t="s">
        <v>21</v>
      </c>
      <c r="D6" s="162" t="s">
        <v>22</v>
      </c>
      <c r="E6" s="162" t="s">
        <v>23</v>
      </c>
      <c r="F6" s="162" t="s">
        <v>24</v>
      </c>
      <c r="G6" s="164" t="s">
        <v>6</v>
      </c>
      <c r="I6" s="21">
        <v>1</v>
      </c>
      <c r="J6" s="21" t="s">
        <v>72</v>
      </c>
      <c r="K6" s="26">
        <v>6</v>
      </c>
      <c r="L6" s="21">
        <v>190</v>
      </c>
      <c r="M6" s="9">
        <v>87</v>
      </c>
      <c r="N6" s="11">
        <f>M6/L6*100%</f>
        <v>0.45789473684210524</v>
      </c>
    </row>
    <row r="7" spans="1:14" x14ac:dyDescent="0.35">
      <c r="A7" s="158"/>
      <c r="B7" s="159"/>
      <c r="C7" s="163"/>
      <c r="D7" s="163"/>
      <c r="E7" s="163"/>
      <c r="F7" s="163"/>
      <c r="G7" s="165"/>
      <c r="I7" s="21">
        <v>2</v>
      </c>
      <c r="J7" s="21" t="s">
        <v>73</v>
      </c>
      <c r="K7" s="26">
        <v>5</v>
      </c>
      <c r="L7" s="21">
        <v>150</v>
      </c>
      <c r="M7" s="9">
        <v>54</v>
      </c>
      <c r="N7" s="11">
        <f t="shared" ref="N7:N8" si="0">M7/L7*100%</f>
        <v>0.36</v>
      </c>
    </row>
    <row r="8" spans="1:14" x14ac:dyDescent="0.35">
      <c r="A8" s="31">
        <v>1</v>
      </c>
      <c r="B8" s="28" t="s">
        <v>53</v>
      </c>
      <c r="C8" s="30" t="s">
        <v>28</v>
      </c>
      <c r="D8" s="30">
        <v>25</v>
      </c>
      <c r="E8" s="30">
        <v>0</v>
      </c>
      <c r="F8" s="31">
        <f>E8-D8</f>
        <v>-25</v>
      </c>
      <c r="G8" s="35">
        <f>E8/D8*100%</f>
        <v>0</v>
      </c>
      <c r="I8" s="21">
        <v>3</v>
      </c>
      <c r="J8" s="21" t="s">
        <v>74</v>
      </c>
      <c r="K8" s="26">
        <v>5</v>
      </c>
      <c r="L8" s="21">
        <v>150</v>
      </c>
      <c r="M8" s="9">
        <v>88</v>
      </c>
      <c r="N8" s="11">
        <f t="shared" si="0"/>
        <v>0.58666666666666667</v>
      </c>
    </row>
    <row r="9" spans="1:14" x14ac:dyDescent="0.35">
      <c r="A9" s="31">
        <v>2</v>
      </c>
      <c r="B9" s="29" t="s">
        <v>54</v>
      </c>
      <c r="C9" s="32" t="s">
        <v>30</v>
      </c>
      <c r="D9" s="30">
        <v>25</v>
      </c>
      <c r="E9" s="30">
        <v>19</v>
      </c>
      <c r="F9" s="31">
        <f t="shared" ref="F9:F27" si="1">E9-D9</f>
        <v>-6</v>
      </c>
      <c r="G9" s="35">
        <f t="shared" ref="G9:G27" si="2">E9/D9*100%</f>
        <v>0.76</v>
      </c>
    </row>
    <row r="10" spans="1:14" x14ac:dyDescent="0.35">
      <c r="A10" s="31">
        <v>3</v>
      </c>
      <c r="B10" s="29" t="s">
        <v>55</v>
      </c>
      <c r="C10" s="32" t="s">
        <v>30</v>
      </c>
      <c r="D10" s="30">
        <v>25</v>
      </c>
      <c r="E10" s="30">
        <v>10</v>
      </c>
      <c r="F10" s="31">
        <f t="shared" si="1"/>
        <v>-15</v>
      </c>
      <c r="G10" s="35">
        <f t="shared" si="2"/>
        <v>0.4</v>
      </c>
    </row>
    <row r="11" spans="1:14" x14ac:dyDescent="0.35">
      <c r="A11" s="31">
        <v>4</v>
      </c>
      <c r="B11" s="29" t="s">
        <v>56</v>
      </c>
      <c r="C11" s="32" t="s">
        <v>30</v>
      </c>
      <c r="D11" s="30">
        <v>25</v>
      </c>
      <c r="E11" s="30">
        <v>10</v>
      </c>
      <c r="F11" s="31">
        <f t="shared" si="1"/>
        <v>-15</v>
      </c>
      <c r="G11" s="35">
        <f t="shared" si="2"/>
        <v>0.4</v>
      </c>
    </row>
    <row r="12" spans="1:14" x14ac:dyDescent="0.35">
      <c r="A12" s="31">
        <v>5</v>
      </c>
      <c r="B12" s="29" t="s">
        <v>57</v>
      </c>
      <c r="C12" s="32" t="s">
        <v>30</v>
      </c>
      <c r="D12" s="30">
        <v>25</v>
      </c>
      <c r="E12" s="30">
        <v>22</v>
      </c>
      <c r="F12" s="31">
        <f t="shared" si="1"/>
        <v>-3</v>
      </c>
      <c r="G12" s="35">
        <f t="shared" si="2"/>
        <v>0.88</v>
      </c>
    </row>
    <row r="13" spans="1:14" x14ac:dyDescent="0.35">
      <c r="A13" s="31">
        <v>6</v>
      </c>
      <c r="B13" s="29" t="s">
        <v>58</v>
      </c>
      <c r="C13" s="32" t="s">
        <v>30</v>
      </c>
      <c r="D13" s="30">
        <v>25</v>
      </c>
      <c r="E13" s="30">
        <v>11</v>
      </c>
      <c r="F13" s="31">
        <f t="shared" si="1"/>
        <v>-14</v>
      </c>
      <c r="G13" s="35">
        <f t="shared" si="2"/>
        <v>0.44</v>
      </c>
    </row>
    <row r="14" spans="1:14" x14ac:dyDescent="0.35">
      <c r="A14" s="31">
        <v>7</v>
      </c>
      <c r="B14" s="28" t="s">
        <v>59</v>
      </c>
      <c r="C14" s="30" t="s">
        <v>30</v>
      </c>
      <c r="D14" s="30">
        <v>25</v>
      </c>
      <c r="E14" s="30">
        <v>15</v>
      </c>
      <c r="F14" s="31">
        <f t="shared" si="1"/>
        <v>-10</v>
      </c>
      <c r="G14" s="35">
        <f t="shared" si="2"/>
        <v>0.6</v>
      </c>
    </row>
    <row r="15" spans="1:14" x14ac:dyDescent="0.35">
      <c r="A15" s="31">
        <v>8</v>
      </c>
      <c r="B15" s="29" t="s">
        <v>60</v>
      </c>
      <c r="C15" s="32" t="s">
        <v>28</v>
      </c>
      <c r="D15" s="30">
        <v>25</v>
      </c>
      <c r="E15" s="30">
        <v>0</v>
      </c>
      <c r="F15" s="31">
        <f t="shared" si="1"/>
        <v>-25</v>
      </c>
      <c r="G15" s="35">
        <f t="shared" si="2"/>
        <v>0</v>
      </c>
    </row>
    <row r="16" spans="1:14" x14ac:dyDescent="0.35">
      <c r="A16" s="31">
        <v>9</v>
      </c>
      <c r="B16" s="33" t="s">
        <v>61</v>
      </c>
      <c r="C16" s="32" t="s">
        <v>30</v>
      </c>
      <c r="D16" s="30">
        <v>25</v>
      </c>
      <c r="E16" s="30">
        <v>7</v>
      </c>
      <c r="F16" s="31">
        <f t="shared" si="1"/>
        <v>-18</v>
      </c>
      <c r="G16" s="35">
        <f t="shared" si="2"/>
        <v>0.28000000000000003</v>
      </c>
    </row>
    <row r="17" spans="1:7" x14ac:dyDescent="0.35">
      <c r="A17" s="31">
        <v>10</v>
      </c>
      <c r="B17" s="33" t="s">
        <v>62</v>
      </c>
      <c r="C17" s="32" t="s">
        <v>30</v>
      </c>
      <c r="D17" s="30">
        <v>25</v>
      </c>
      <c r="E17" s="30">
        <v>15</v>
      </c>
      <c r="F17" s="31">
        <f t="shared" si="1"/>
        <v>-10</v>
      </c>
      <c r="G17" s="35">
        <f t="shared" si="2"/>
        <v>0.6</v>
      </c>
    </row>
    <row r="18" spans="1:7" x14ac:dyDescent="0.35">
      <c r="A18" s="31">
        <v>11</v>
      </c>
      <c r="B18" s="33" t="s">
        <v>63</v>
      </c>
      <c r="C18" s="32" t="s">
        <v>30</v>
      </c>
      <c r="D18" s="30">
        <v>25</v>
      </c>
      <c r="E18" s="30">
        <v>10</v>
      </c>
      <c r="F18" s="31">
        <f t="shared" si="1"/>
        <v>-15</v>
      </c>
      <c r="G18" s="35">
        <f t="shared" si="2"/>
        <v>0.4</v>
      </c>
    </row>
    <row r="19" spans="1:7" x14ac:dyDescent="0.35">
      <c r="A19" s="31">
        <v>12</v>
      </c>
      <c r="B19" s="34" t="s">
        <v>64</v>
      </c>
      <c r="C19" s="32" t="s">
        <v>30</v>
      </c>
      <c r="D19" s="30">
        <v>25</v>
      </c>
      <c r="E19" s="30">
        <v>7</v>
      </c>
      <c r="F19" s="31">
        <f t="shared" si="1"/>
        <v>-18</v>
      </c>
      <c r="G19" s="35">
        <f t="shared" si="2"/>
        <v>0.28000000000000003</v>
      </c>
    </row>
    <row r="20" spans="1:7" x14ac:dyDescent="0.35">
      <c r="A20" s="31">
        <v>13</v>
      </c>
      <c r="B20" s="34" t="s">
        <v>65</v>
      </c>
      <c r="C20" s="32" t="s">
        <v>30</v>
      </c>
      <c r="D20" s="30">
        <v>25</v>
      </c>
      <c r="E20" s="30">
        <v>15</v>
      </c>
      <c r="F20" s="31">
        <f t="shared" si="1"/>
        <v>-10</v>
      </c>
      <c r="G20" s="35">
        <f t="shared" si="2"/>
        <v>0.6</v>
      </c>
    </row>
    <row r="21" spans="1:7" x14ac:dyDescent="0.35">
      <c r="A21" s="31">
        <v>14</v>
      </c>
      <c r="B21" s="28" t="s">
        <v>66</v>
      </c>
      <c r="C21" s="30" t="s">
        <v>28</v>
      </c>
      <c r="D21" s="30">
        <v>25</v>
      </c>
      <c r="E21" s="30">
        <v>0</v>
      </c>
      <c r="F21" s="31">
        <f t="shared" si="1"/>
        <v>-25</v>
      </c>
      <c r="G21" s="35">
        <f t="shared" si="2"/>
        <v>0</v>
      </c>
    </row>
    <row r="22" spans="1:7" x14ac:dyDescent="0.35">
      <c r="A22" s="31">
        <v>15</v>
      </c>
      <c r="B22" s="29" t="s">
        <v>67</v>
      </c>
      <c r="C22" s="32" t="s">
        <v>30</v>
      </c>
      <c r="D22" s="30">
        <v>25</v>
      </c>
      <c r="E22" s="30">
        <v>35</v>
      </c>
      <c r="F22" s="31">
        <f t="shared" si="1"/>
        <v>10</v>
      </c>
      <c r="G22" s="35">
        <f t="shared" si="2"/>
        <v>1.4</v>
      </c>
    </row>
    <row r="23" spans="1:7" x14ac:dyDescent="0.35">
      <c r="A23" s="31">
        <v>16</v>
      </c>
      <c r="B23" s="29" t="s">
        <v>68</v>
      </c>
      <c r="C23" s="32" t="s">
        <v>30</v>
      </c>
      <c r="D23" s="30">
        <v>25</v>
      </c>
      <c r="E23" s="30">
        <v>8</v>
      </c>
      <c r="F23" s="31">
        <f t="shared" si="1"/>
        <v>-17</v>
      </c>
      <c r="G23" s="35">
        <f t="shared" si="2"/>
        <v>0.32</v>
      </c>
    </row>
    <row r="24" spans="1:7" x14ac:dyDescent="0.35">
      <c r="A24" s="31">
        <v>17</v>
      </c>
      <c r="B24" s="29" t="s">
        <v>69</v>
      </c>
      <c r="C24" s="32" t="s">
        <v>30</v>
      </c>
      <c r="D24" s="30">
        <v>25</v>
      </c>
      <c r="E24" s="30">
        <v>16</v>
      </c>
      <c r="F24" s="31">
        <f t="shared" si="1"/>
        <v>-9</v>
      </c>
      <c r="G24" s="35">
        <f t="shared" si="2"/>
        <v>0.64</v>
      </c>
    </row>
    <row r="25" spans="1:7" x14ac:dyDescent="0.35">
      <c r="A25" s="31">
        <v>18</v>
      </c>
      <c r="B25" s="29" t="s">
        <v>70</v>
      </c>
      <c r="C25" s="32" t="s">
        <v>30</v>
      </c>
      <c r="D25" s="30">
        <v>25</v>
      </c>
      <c r="E25" s="30">
        <v>12</v>
      </c>
      <c r="F25" s="31">
        <f t="shared" si="1"/>
        <v>-13</v>
      </c>
      <c r="G25" s="35">
        <f t="shared" si="2"/>
        <v>0.48</v>
      </c>
    </row>
    <row r="26" spans="1:7" x14ac:dyDescent="0.35">
      <c r="A26" s="31">
        <v>19</v>
      </c>
      <c r="B26" s="29" t="s">
        <v>71</v>
      </c>
      <c r="C26" s="32" t="s">
        <v>30</v>
      </c>
      <c r="D26" s="30">
        <v>25</v>
      </c>
      <c r="E26" s="30">
        <v>17</v>
      </c>
      <c r="F26" s="31">
        <f t="shared" si="1"/>
        <v>-8</v>
      </c>
      <c r="G26" s="35">
        <f t="shared" si="2"/>
        <v>0.68</v>
      </c>
    </row>
    <row r="27" spans="1:7" x14ac:dyDescent="0.35">
      <c r="A27" s="31"/>
      <c r="B27" s="31" t="s">
        <v>34</v>
      </c>
      <c r="C27" s="31"/>
      <c r="D27" s="31">
        <v>490</v>
      </c>
      <c r="E27" s="31">
        <f>SUM(E8:E26)</f>
        <v>229</v>
      </c>
      <c r="F27" s="31">
        <f t="shared" si="1"/>
        <v>-261</v>
      </c>
      <c r="G27" s="35">
        <f t="shared" si="2"/>
        <v>0.4673469387755102</v>
      </c>
    </row>
  </sheetData>
  <mergeCells count="8"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35DF-E29A-4862-9F32-D4A94AE779F8}">
  <dimension ref="A1:G15"/>
  <sheetViews>
    <sheetView workbookViewId="0">
      <selection activeCell="C4" sqref="C4:G4"/>
    </sheetView>
  </sheetViews>
  <sheetFormatPr defaultRowHeight="14.5" x14ac:dyDescent="0.35"/>
  <cols>
    <col min="1" max="1" width="4.36328125" customWidth="1"/>
    <col min="2" max="2" width="31.90625" customWidth="1"/>
    <col min="7" max="7" width="8.7265625" style="6"/>
  </cols>
  <sheetData>
    <row r="1" spans="1:7" x14ac:dyDescent="0.35">
      <c r="B1" s="5" t="s">
        <v>51</v>
      </c>
    </row>
    <row r="2" spans="1:7" x14ac:dyDescent="0.35">
      <c r="B2" s="5" t="s">
        <v>52</v>
      </c>
    </row>
    <row r="4" spans="1:7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</row>
    <row r="5" spans="1:7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</row>
    <row r="6" spans="1:7" x14ac:dyDescent="0.35">
      <c r="A6" s="158"/>
      <c r="B6" s="159"/>
      <c r="C6" s="163"/>
      <c r="D6" s="163"/>
      <c r="E6" s="163"/>
      <c r="F6" s="163"/>
      <c r="G6" s="165"/>
    </row>
    <row r="7" spans="1:7" x14ac:dyDescent="0.35">
      <c r="A7" s="31">
        <v>1</v>
      </c>
      <c r="B7" s="41" t="s">
        <v>75</v>
      </c>
      <c r="C7" s="42" t="s">
        <v>28</v>
      </c>
      <c r="D7" s="42">
        <v>25</v>
      </c>
      <c r="E7" s="42">
        <v>0</v>
      </c>
      <c r="F7" s="31">
        <f>E7-D7</f>
        <v>-25</v>
      </c>
      <c r="G7" s="35">
        <f>E7/D7*100%</f>
        <v>0</v>
      </c>
    </row>
    <row r="8" spans="1:7" x14ac:dyDescent="0.35">
      <c r="A8" s="31">
        <v>2</v>
      </c>
      <c r="B8" s="43" t="s">
        <v>76</v>
      </c>
      <c r="C8" s="42" t="s">
        <v>30</v>
      </c>
      <c r="D8" s="42">
        <v>25</v>
      </c>
      <c r="E8" s="42">
        <v>12</v>
      </c>
      <c r="F8" s="31">
        <f t="shared" ref="F8:F15" si="0">E8-D8</f>
        <v>-13</v>
      </c>
      <c r="G8" s="35">
        <f t="shared" ref="G8:G15" si="1">E8/D8*100%</f>
        <v>0.48</v>
      </c>
    </row>
    <row r="9" spans="1:7" x14ac:dyDescent="0.35">
      <c r="A9" s="31">
        <v>3</v>
      </c>
      <c r="B9" s="43" t="s">
        <v>77</v>
      </c>
      <c r="C9" s="42" t="s">
        <v>30</v>
      </c>
      <c r="D9" s="42">
        <v>25</v>
      </c>
      <c r="E9" s="42">
        <v>13</v>
      </c>
      <c r="F9" s="31">
        <f t="shared" si="0"/>
        <v>-12</v>
      </c>
      <c r="G9" s="35">
        <f t="shared" si="1"/>
        <v>0.52</v>
      </c>
    </row>
    <row r="10" spans="1:7" x14ac:dyDescent="0.35">
      <c r="A10" s="31">
        <v>4</v>
      </c>
      <c r="B10" s="43" t="s">
        <v>78</v>
      </c>
      <c r="C10" s="42" t="s">
        <v>30</v>
      </c>
      <c r="D10" s="44">
        <v>25</v>
      </c>
      <c r="E10" s="42">
        <v>9</v>
      </c>
      <c r="F10" s="31">
        <f t="shared" si="0"/>
        <v>-16</v>
      </c>
      <c r="G10" s="35">
        <f t="shared" si="1"/>
        <v>0.36</v>
      </c>
    </row>
    <row r="11" spans="1:7" x14ac:dyDescent="0.35">
      <c r="A11" s="31">
        <v>5</v>
      </c>
      <c r="B11" s="43" t="s">
        <v>79</v>
      </c>
      <c r="C11" s="42" t="s">
        <v>30</v>
      </c>
      <c r="D11" s="44">
        <v>25</v>
      </c>
      <c r="E11" s="42">
        <v>10</v>
      </c>
      <c r="F11" s="31">
        <f t="shared" si="0"/>
        <v>-15</v>
      </c>
      <c r="G11" s="35">
        <f t="shared" si="1"/>
        <v>0.4</v>
      </c>
    </row>
    <row r="12" spans="1:7" x14ac:dyDescent="0.35">
      <c r="A12" s="31">
        <v>6</v>
      </c>
      <c r="B12" s="43" t="s">
        <v>80</v>
      </c>
      <c r="C12" s="42" t="s">
        <v>30</v>
      </c>
      <c r="D12" s="44">
        <v>25</v>
      </c>
      <c r="E12" s="42">
        <v>17</v>
      </c>
      <c r="F12" s="31">
        <f t="shared" si="0"/>
        <v>-8</v>
      </c>
      <c r="G12" s="35">
        <f t="shared" si="1"/>
        <v>0.68</v>
      </c>
    </row>
    <row r="13" spans="1:7" x14ac:dyDescent="0.35">
      <c r="A13" s="31">
        <v>7</v>
      </c>
      <c r="B13" s="43" t="s">
        <v>81</v>
      </c>
      <c r="C13" s="42" t="s">
        <v>30</v>
      </c>
      <c r="D13" s="44">
        <v>25</v>
      </c>
      <c r="E13" s="42">
        <v>3</v>
      </c>
      <c r="F13" s="31">
        <f t="shared" si="0"/>
        <v>-22</v>
      </c>
      <c r="G13" s="35">
        <f t="shared" si="1"/>
        <v>0.12</v>
      </c>
    </row>
    <row r="14" spans="1:7" x14ac:dyDescent="0.35">
      <c r="A14" s="31">
        <v>8</v>
      </c>
      <c r="B14" s="43" t="s">
        <v>82</v>
      </c>
      <c r="C14" s="42" t="s">
        <v>30</v>
      </c>
      <c r="D14" s="44">
        <v>15</v>
      </c>
      <c r="E14" s="42">
        <v>1</v>
      </c>
      <c r="F14" s="31">
        <f t="shared" si="0"/>
        <v>-14</v>
      </c>
      <c r="G14" s="35">
        <f t="shared" si="1"/>
        <v>6.6666666666666666E-2</v>
      </c>
    </row>
    <row r="15" spans="1:7" x14ac:dyDescent="0.35">
      <c r="A15" s="31"/>
      <c r="B15" s="31" t="s">
        <v>34</v>
      </c>
      <c r="C15" s="31"/>
      <c r="D15" s="31">
        <v>190</v>
      </c>
      <c r="E15" s="31">
        <f>SUM(E7:E14)</f>
        <v>65</v>
      </c>
      <c r="F15" s="31">
        <f t="shared" si="0"/>
        <v>-125</v>
      </c>
      <c r="G15" s="35">
        <f t="shared" si="1"/>
        <v>0.34210526315789475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BA12-186A-4493-A44F-A50EBE75BC76}">
  <dimension ref="A1:N31"/>
  <sheetViews>
    <sheetView workbookViewId="0">
      <selection activeCell="C4" sqref="C4:G4"/>
    </sheetView>
  </sheetViews>
  <sheetFormatPr defaultRowHeight="14.5" x14ac:dyDescent="0.35"/>
  <cols>
    <col min="1" max="1" width="5.1796875" customWidth="1"/>
    <col min="2" max="2" width="30.08984375" customWidth="1"/>
    <col min="7" max="7" width="8.7265625" style="6"/>
    <col min="9" max="9" width="4.1796875" customWidth="1"/>
    <col min="10" max="10" width="18" customWidth="1"/>
    <col min="11" max="11" width="10.08984375" customWidth="1"/>
  </cols>
  <sheetData>
    <row r="1" spans="1:14" x14ac:dyDescent="0.35">
      <c r="A1" s="4"/>
      <c r="B1" s="5" t="s">
        <v>51</v>
      </c>
      <c r="F1" s="4"/>
      <c r="G1" s="27"/>
    </row>
    <row r="2" spans="1:14" x14ac:dyDescent="0.35">
      <c r="A2" s="4"/>
      <c r="B2" s="5" t="s">
        <v>208</v>
      </c>
      <c r="F2" s="4"/>
      <c r="G2" s="27"/>
    </row>
    <row r="3" spans="1:14" x14ac:dyDescent="0.35">
      <c r="A3" s="4"/>
      <c r="F3" s="4"/>
      <c r="G3" s="27"/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1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9">
        <v>1</v>
      </c>
      <c r="J5" s="9" t="s">
        <v>233</v>
      </c>
      <c r="K5" s="9">
        <v>6</v>
      </c>
      <c r="L5" s="25">
        <v>190</v>
      </c>
      <c r="M5" s="25">
        <v>70</v>
      </c>
      <c r="N5" s="11">
        <f>M5/L5*100%</f>
        <v>0.36842105263157893</v>
      </c>
    </row>
    <row r="6" spans="1:14" x14ac:dyDescent="0.35">
      <c r="A6" s="158"/>
      <c r="B6" s="159"/>
      <c r="C6" s="163"/>
      <c r="D6" s="163"/>
      <c r="E6" s="163"/>
      <c r="F6" s="163"/>
      <c r="G6" s="165"/>
      <c r="I6" s="9">
        <v>2</v>
      </c>
      <c r="J6" s="9" t="s">
        <v>234</v>
      </c>
      <c r="K6" s="9">
        <v>5</v>
      </c>
      <c r="L6" s="25">
        <v>150</v>
      </c>
      <c r="M6" s="25">
        <v>57</v>
      </c>
      <c r="N6" s="11">
        <f t="shared" ref="N6:N8" si="0">M6/L6*100%</f>
        <v>0.38</v>
      </c>
    </row>
    <row r="7" spans="1:14" x14ac:dyDescent="0.35">
      <c r="A7" s="31">
        <v>1</v>
      </c>
      <c r="B7" s="59" t="s">
        <v>209</v>
      </c>
      <c r="C7" s="60" t="s">
        <v>28</v>
      </c>
      <c r="D7" s="60">
        <v>25</v>
      </c>
      <c r="E7" s="60">
        <v>0</v>
      </c>
      <c r="F7" s="31">
        <f>E7-D7</f>
        <v>-25</v>
      </c>
      <c r="G7" s="35">
        <f>E7/D7*100%</f>
        <v>0</v>
      </c>
      <c r="I7" s="9">
        <v>3</v>
      </c>
      <c r="J7" s="9" t="s">
        <v>235</v>
      </c>
      <c r="K7" s="9">
        <v>5</v>
      </c>
      <c r="L7" s="25">
        <v>150</v>
      </c>
      <c r="M7" s="25">
        <v>76</v>
      </c>
      <c r="N7" s="11">
        <f t="shared" si="0"/>
        <v>0.50666666666666671</v>
      </c>
    </row>
    <row r="8" spans="1:14" x14ac:dyDescent="0.35">
      <c r="A8" s="31">
        <v>2</v>
      </c>
      <c r="B8" s="61" t="s">
        <v>210</v>
      </c>
      <c r="C8" s="60" t="s">
        <v>30</v>
      </c>
      <c r="D8" s="60">
        <v>25</v>
      </c>
      <c r="E8" s="60">
        <v>30</v>
      </c>
      <c r="F8" s="31">
        <f t="shared" ref="F8:F31" si="1">E8-D8</f>
        <v>5</v>
      </c>
      <c r="G8" s="35">
        <f t="shared" ref="G8:G31" si="2">E8/D8*100%</f>
        <v>1.2</v>
      </c>
      <c r="I8" s="9">
        <v>4</v>
      </c>
      <c r="J8" s="9" t="s">
        <v>236</v>
      </c>
      <c r="K8" s="9">
        <v>4</v>
      </c>
      <c r="L8" s="25">
        <v>150</v>
      </c>
      <c r="M8" s="25">
        <v>55</v>
      </c>
      <c r="N8" s="11">
        <f t="shared" si="0"/>
        <v>0.36666666666666664</v>
      </c>
    </row>
    <row r="9" spans="1:14" x14ac:dyDescent="0.35">
      <c r="A9" s="31">
        <v>3</v>
      </c>
      <c r="B9" s="61" t="s">
        <v>211</v>
      </c>
      <c r="C9" s="62" t="s">
        <v>30</v>
      </c>
      <c r="D9" s="60">
        <v>25</v>
      </c>
      <c r="E9" s="60">
        <v>7</v>
      </c>
      <c r="F9" s="31">
        <f t="shared" si="1"/>
        <v>-18</v>
      </c>
      <c r="G9" s="35">
        <f t="shared" si="2"/>
        <v>0.28000000000000003</v>
      </c>
    </row>
    <row r="10" spans="1:14" x14ac:dyDescent="0.35">
      <c r="A10" s="31">
        <v>4</v>
      </c>
      <c r="B10" s="61" t="s">
        <v>212</v>
      </c>
      <c r="C10" s="62" t="s">
        <v>30</v>
      </c>
      <c r="D10" s="62">
        <v>25</v>
      </c>
      <c r="E10" s="60">
        <v>22</v>
      </c>
      <c r="F10" s="31">
        <f t="shared" si="1"/>
        <v>-3</v>
      </c>
      <c r="G10" s="35">
        <f t="shared" si="2"/>
        <v>0.88</v>
      </c>
    </row>
    <row r="11" spans="1:14" x14ac:dyDescent="0.35">
      <c r="A11" s="31">
        <v>5</v>
      </c>
      <c r="B11" s="61" t="s">
        <v>213</v>
      </c>
      <c r="C11" s="60" t="s">
        <v>30</v>
      </c>
      <c r="D11" s="60">
        <v>25</v>
      </c>
      <c r="E11" s="60">
        <v>10</v>
      </c>
      <c r="F11" s="31">
        <f t="shared" si="1"/>
        <v>-15</v>
      </c>
      <c r="G11" s="35">
        <f t="shared" si="2"/>
        <v>0.4</v>
      </c>
    </row>
    <row r="12" spans="1:14" x14ac:dyDescent="0.35">
      <c r="A12" s="31">
        <v>6</v>
      </c>
      <c r="B12" s="61" t="s">
        <v>214</v>
      </c>
      <c r="C12" s="62" t="s">
        <v>30</v>
      </c>
      <c r="D12" s="62">
        <v>25</v>
      </c>
      <c r="E12" s="60">
        <v>0</v>
      </c>
      <c r="F12" s="31">
        <f t="shared" si="1"/>
        <v>-25</v>
      </c>
      <c r="G12" s="35">
        <f t="shared" si="2"/>
        <v>0</v>
      </c>
    </row>
    <row r="13" spans="1:14" x14ac:dyDescent="0.35">
      <c r="A13" s="31">
        <v>7</v>
      </c>
      <c r="B13" s="61" t="s">
        <v>215</v>
      </c>
      <c r="C13" s="62" t="s">
        <v>30</v>
      </c>
      <c r="D13" s="62">
        <v>25</v>
      </c>
      <c r="E13" s="60">
        <v>1</v>
      </c>
      <c r="F13" s="31">
        <f t="shared" si="1"/>
        <v>-24</v>
      </c>
      <c r="G13" s="35">
        <f t="shared" si="2"/>
        <v>0.04</v>
      </c>
    </row>
    <row r="14" spans="1:14" x14ac:dyDescent="0.35">
      <c r="A14" s="31">
        <v>8</v>
      </c>
      <c r="B14" s="61" t="s">
        <v>216</v>
      </c>
      <c r="C14" s="60" t="s">
        <v>28</v>
      </c>
      <c r="D14" s="60">
        <v>25</v>
      </c>
      <c r="E14" s="60">
        <v>2</v>
      </c>
      <c r="F14" s="31">
        <f t="shared" si="1"/>
        <v>-23</v>
      </c>
      <c r="G14" s="35">
        <f t="shared" si="2"/>
        <v>0.08</v>
      </c>
    </row>
    <row r="15" spans="1:14" x14ac:dyDescent="0.35">
      <c r="A15" s="31">
        <v>9</v>
      </c>
      <c r="B15" s="59" t="s">
        <v>217</v>
      </c>
      <c r="C15" s="60" t="s">
        <v>30</v>
      </c>
      <c r="D15" s="60">
        <v>25</v>
      </c>
      <c r="E15" s="60">
        <v>11</v>
      </c>
      <c r="F15" s="31">
        <f t="shared" si="1"/>
        <v>-14</v>
      </c>
      <c r="G15" s="35">
        <f t="shared" si="2"/>
        <v>0.44</v>
      </c>
    </row>
    <row r="16" spans="1:14" x14ac:dyDescent="0.35">
      <c r="A16" s="31">
        <v>10</v>
      </c>
      <c r="B16" s="59" t="s">
        <v>218</v>
      </c>
      <c r="C16" s="60" t="s">
        <v>30</v>
      </c>
      <c r="D16" s="60">
        <v>25</v>
      </c>
      <c r="E16" s="60">
        <v>19</v>
      </c>
      <c r="F16" s="31">
        <f t="shared" si="1"/>
        <v>-6</v>
      </c>
      <c r="G16" s="35">
        <f t="shared" si="2"/>
        <v>0.76</v>
      </c>
    </row>
    <row r="17" spans="1:7" x14ac:dyDescent="0.35">
      <c r="A17" s="31">
        <v>11</v>
      </c>
      <c r="B17" s="61" t="s">
        <v>219</v>
      </c>
      <c r="C17" s="60" t="s">
        <v>30</v>
      </c>
      <c r="D17" s="60">
        <v>25</v>
      </c>
      <c r="E17" s="60">
        <v>12</v>
      </c>
      <c r="F17" s="31">
        <f t="shared" si="1"/>
        <v>-13</v>
      </c>
      <c r="G17" s="35">
        <f t="shared" si="2"/>
        <v>0.48</v>
      </c>
    </row>
    <row r="18" spans="1:7" x14ac:dyDescent="0.35">
      <c r="A18" s="31">
        <v>12</v>
      </c>
      <c r="B18" s="59" t="s">
        <v>220</v>
      </c>
      <c r="C18" s="60" t="s">
        <v>30</v>
      </c>
      <c r="D18" s="60">
        <v>25</v>
      </c>
      <c r="E18" s="60">
        <v>13</v>
      </c>
      <c r="F18" s="31">
        <f t="shared" si="1"/>
        <v>-12</v>
      </c>
      <c r="G18" s="35">
        <f t="shared" si="2"/>
        <v>0.52</v>
      </c>
    </row>
    <row r="19" spans="1:7" x14ac:dyDescent="0.35">
      <c r="A19" s="31">
        <v>13</v>
      </c>
      <c r="B19" s="59" t="s">
        <v>221</v>
      </c>
      <c r="C19" s="60" t="s">
        <v>30</v>
      </c>
      <c r="D19" s="60">
        <v>25</v>
      </c>
      <c r="E19" s="60">
        <v>0</v>
      </c>
      <c r="F19" s="31">
        <f t="shared" si="1"/>
        <v>-25</v>
      </c>
      <c r="G19" s="35">
        <f t="shared" si="2"/>
        <v>0</v>
      </c>
    </row>
    <row r="20" spans="1:7" x14ac:dyDescent="0.35">
      <c r="A20" s="31">
        <v>14</v>
      </c>
      <c r="B20" s="61" t="s">
        <v>222</v>
      </c>
      <c r="C20" s="62" t="s">
        <v>28</v>
      </c>
      <c r="D20" s="62">
        <v>25</v>
      </c>
      <c r="E20" s="60">
        <v>0</v>
      </c>
      <c r="F20" s="31">
        <f t="shared" si="1"/>
        <v>-25</v>
      </c>
      <c r="G20" s="35">
        <f t="shared" si="2"/>
        <v>0</v>
      </c>
    </row>
    <row r="21" spans="1:7" x14ac:dyDescent="0.35">
      <c r="A21" s="31">
        <v>15</v>
      </c>
      <c r="B21" s="59" t="s">
        <v>223</v>
      </c>
      <c r="C21" s="60" t="s">
        <v>30</v>
      </c>
      <c r="D21" s="60">
        <v>25</v>
      </c>
      <c r="E21" s="60">
        <v>34</v>
      </c>
      <c r="F21" s="31">
        <f t="shared" si="1"/>
        <v>9</v>
      </c>
      <c r="G21" s="35">
        <f t="shared" si="2"/>
        <v>1.36</v>
      </c>
    </row>
    <row r="22" spans="1:7" x14ac:dyDescent="0.35">
      <c r="A22" s="31">
        <v>16</v>
      </c>
      <c r="B22" s="61" t="s">
        <v>224</v>
      </c>
      <c r="C22" s="60" t="s">
        <v>30</v>
      </c>
      <c r="D22" s="60">
        <v>25</v>
      </c>
      <c r="E22" s="60">
        <v>12</v>
      </c>
      <c r="F22" s="31">
        <f t="shared" si="1"/>
        <v>-13</v>
      </c>
      <c r="G22" s="35">
        <f t="shared" si="2"/>
        <v>0.48</v>
      </c>
    </row>
    <row r="23" spans="1:7" x14ac:dyDescent="0.35">
      <c r="A23" s="31">
        <v>17</v>
      </c>
      <c r="B23" s="61" t="s">
        <v>225</v>
      </c>
      <c r="C23" s="62" t="s">
        <v>30</v>
      </c>
      <c r="D23" s="62">
        <v>25</v>
      </c>
      <c r="E23" s="60">
        <v>3</v>
      </c>
      <c r="F23" s="31">
        <f t="shared" si="1"/>
        <v>-22</v>
      </c>
      <c r="G23" s="35">
        <f t="shared" si="2"/>
        <v>0.12</v>
      </c>
    </row>
    <row r="24" spans="1:7" x14ac:dyDescent="0.35">
      <c r="A24" s="31">
        <v>18</v>
      </c>
      <c r="B24" s="61" t="s">
        <v>226</v>
      </c>
      <c r="C24" s="62" t="s">
        <v>30</v>
      </c>
      <c r="D24" s="62">
        <v>25</v>
      </c>
      <c r="E24" s="60">
        <v>10</v>
      </c>
      <c r="F24" s="31">
        <f t="shared" si="1"/>
        <v>-15</v>
      </c>
      <c r="G24" s="35">
        <f t="shared" si="2"/>
        <v>0.4</v>
      </c>
    </row>
    <row r="25" spans="1:7" x14ac:dyDescent="0.35">
      <c r="A25" s="31">
        <v>19</v>
      </c>
      <c r="B25" s="61" t="s">
        <v>227</v>
      </c>
      <c r="C25" s="60" t="s">
        <v>30</v>
      </c>
      <c r="D25" s="60">
        <v>25</v>
      </c>
      <c r="E25" s="60">
        <v>17</v>
      </c>
      <c r="F25" s="31">
        <f t="shared" si="1"/>
        <v>-8</v>
      </c>
      <c r="G25" s="35">
        <f t="shared" si="2"/>
        <v>0.68</v>
      </c>
    </row>
    <row r="26" spans="1:7" x14ac:dyDescent="0.35">
      <c r="A26" s="31">
        <v>20</v>
      </c>
      <c r="B26" s="61" t="s">
        <v>228</v>
      </c>
      <c r="C26" s="62" t="s">
        <v>28</v>
      </c>
      <c r="D26" s="62">
        <v>25</v>
      </c>
      <c r="E26" s="60">
        <v>0</v>
      </c>
      <c r="F26" s="31">
        <f t="shared" si="1"/>
        <v>-25</v>
      </c>
      <c r="G26" s="35">
        <f t="shared" si="2"/>
        <v>0</v>
      </c>
    </row>
    <row r="27" spans="1:7" x14ac:dyDescent="0.35">
      <c r="A27" s="31">
        <v>21</v>
      </c>
      <c r="B27" s="59" t="s">
        <v>229</v>
      </c>
      <c r="C27" s="60" t="s">
        <v>30</v>
      </c>
      <c r="D27" s="60">
        <v>25</v>
      </c>
      <c r="E27" s="60">
        <v>15</v>
      </c>
      <c r="F27" s="31">
        <f t="shared" si="1"/>
        <v>-10</v>
      </c>
      <c r="G27" s="35">
        <f t="shared" si="2"/>
        <v>0.6</v>
      </c>
    </row>
    <row r="28" spans="1:7" x14ac:dyDescent="0.35">
      <c r="A28" s="31">
        <v>22</v>
      </c>
      <c r="B28" s="61" t="s">
        <v>230</v>
      </c>
      <c r="C28" s="60" t="s">
        <v>30</v>
      </c>
      <c r="D28" s="60">
        <v>25</v>
      </c>
      <c r="E28" s="60">
        <v>16</v>
      </c>
      <c r="F28" s="31">
        <f t="shared" si="1"/>
        <v>-9</v>
      </c>
      <c r="G28" s="35">
        <f t="shared" si="2"/>
        <v>0.64</v>
      </c>
    </row>
    <row r="29" spans="1:7" x14ac:dyDescent="0.35">
      <c r="A29" s="31">
        <v>23</v>
      </c>
      <c r="B29" s="61" t="s">
        <v>231</v>
      </c>
      <c r="C29" s="60" t="s">
        <v>30</v>
      </c>
      <c r="D29" s="60">
        <v>25</v>
      </c>
      <c r="E29" s="60">
        <v>6</v>
      </c>
      <c r="F29" s="31">
        <f t="shared" si="1"/>
        <v>-19</v>
      </c>
      <c r="G29" s="35">
        <f t="shared" si="2"/>
        <v>0.24</v>
      </c>
    </row>
    <row r="30" spans="1:7" x14ac:dyDescent="0.35">
      <c r="A30" s="31">
        <v>24</v>
      </c>
      <c r="B30" s="59" t="s">
        <v>232</v>
      </c>
      <c r="C30" s="60" t="s">
        <v>30</v>
      </c>
      <c r="D30" s="60">
        <v>25</v>
      </c>
      <c r="E30" s="60">
        <v>18</v>
      </c>
      <c r="F30" s="31">
        <f t="shared" si="1"/>
        <v>-7</v>
      </c>
      <c r="G30" s="35">
        <f t="shared" si="2"/>
        <v>0.72</v>
      </c>
    </row>
    <row r="31" spans="1:7" x14ac:dyDescent="0.35">
      <c r="A31" s="31"/>
      <c r="B31" s="31" t="s">
        <v>34</v>
      </c>
      <c r="C31" s="31"/>
      <c r="D31" s="31">
        <v>640</v>
      </c>
      <c r="E31" s="31">
        <f>SUM(E7:E30)</f>
        <v>258</v>
      </c>
      <c r="F31" s="31">
        <f t="shared" si="1"/>
        <v>-382</v>
      </c>
      <c r="G31" s="35">
        <f t="shared" si="2"/>
        <v>0.40312500000000001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C83A-3054-4A4A-8B3D-EAB06B1C1CE1}">
  <dimension ref="A1:N22"/>
  <sheetViews>
    <sheetView workbookViewId="0">
      <selection activeCell="C4" sqref="C4:G4"/>
    </sheetView>
  </sheetViews>
  <sheetFormatPr defaultRowHeight="14.5" x14ac:dyDescent="0.35"/>
  <cols>
    <col min="1" max="1" width="3.81640625" customWidth="1"/>
    <col min="2" max="2" width="29.81640625" customWidth="1"/>
    <col min="7" max="7" width="8.7265625" style="6"/>
    <col min="9" max="9" width="5.08984375" customWidth="1"/>
    <col min="10" max="11" width="12" customWidth="1"/>
  </cols>
  <sheetData>
    <row r="1" spans="1:14" x14ac:dyDescent="0.35">
      <c r="A1" s="4"/>
      <c r="B1" s="5" t="s">
        <v>51</v>
      </c>
    </row>
    <row r="2" spans="1:14" x14ac:dyDescent="0.35">
      <c r="A2" s="4"/>
      <c r="B2" s="5" t="s">
        <v>527</v>
      </c>
    </row>
    <row r="3" spans="1:14" x14ac:dyDescent="0.35">
      <c r="A3" s="4"/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545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543</v>
      </c>
      <c r="K5" s="21">
        <v>7</v>
      </c>
      <c r="L5" s="21">
        <v>190</v>
      </c>
      <c r="M5" s="21">
        <v>59</v>
      </c>
      <c r="N5" s="22">
        <f>M5/L5*100%</f>
        <v>0.31052631578947371</v>
      </c>
    </row>
    <row r="6" spans="1:14" x14ac:dyDescent="0.35">
      <c r="A6" s="168"/>
      <c r="B6" s="169"/>
      <c r="C6" s="170"/>
      <c r="D6" s="170"/>
      <c r="E6" s="170"/>
      <c r="F6" s="170"/>
      <c r="G6" s="171"/>
      <c r="I6" s="21">
        <v>2</v>
      </c>
      <c r="J6" s="21" t="s">
        <v>544</v>
      </c>
      <c r="K6" s="21">
        <v>6</v>
      </c>
      <c r="L6" s="21">
        <v>190</v>
      </c>
      <c r="M6" s="21">
        <v>56</v>
      </c>
      <c r="N6" s="22">
        <f>M6/L6*100%</f>
        <v>0.29473684210526313</v>
      </c>
    </row>
    <row r="7" spans="1:14" x14ac:dyDescent="0.35">
      <c r="A7" s="31">
        <v>1</v>
      </c>
      <c r="B7" s="115" t="s">
        <v>528</v>
      </c>
      <c r="C7" s="116" t="s">
        <v>28</v>
      </c>
      <c r="D7" s="116">
        <v>35</v>
      </c>
      <c r="E7" s="116">
        <v>3</v>
      </c>
      <c r="F7" s="31">
        <f>E7-D7</f>
        <v>-32</v>
      </c>
      <c r="G7" s="35">
        <f>E7/D7*100%</f>
        <v>8.5714285714285715E-2</v>
      </c>
    </row>
    <row r="8" spans="1:14" x14ac:dyDescent="0.35">
      <c r="A8" s="31">
        <v>2</v>
      </c>
      <c r="B8" s="117" t="s">
        <v>529</v>
      </c>
      <c r="C8" s="118" t="s">
        <v>30</v>
      </c>
      <c r="D8" s="116">
        <v>25</v>
      </c>
      <c r="E8" s="116">
        <v>11</v>
      </c>
      <c r="F8" s="31">
        <f t="shared" ref="F8:F22" si="0">E8-D8</f>
        <v>-14</v>
      </c>
      <c r="G8" s="35">
        <f t="shared" ref="G8:G22" si="1">E8/D8*100%</f>
        <v>0.44</v>
      </c>
    </row>
    <row r="9" spans="1:14" x14ac:dyDescent="0.35">
      <c r="A9" s="31">
        <v>3</v>
      </c>
      <c r="B9" s="117" t="s">
        <v>530</v>
      </c>
      <c r="C9" s="118" t="s">
        <v>30</v>
      </c>
      <c r="D9" s="118">
        <v>25</v>
      </c>
      <c r="E9" s="116">
        <v>12</v>
      </c>
      <c r="F9" s="31">
        <f t="shared" si="0"/>
        <v>-13</v>
      </c>
      <c r="G9" s="35">
        <f t="shared" si="1"/>
        <v>0.48</v>
      </c>
    </row>
    <row r="10" spans="1:14" x14ac:dyDescent="0.35">
      <c r="A10" s="31">
        <v>4</v>
      </c>
      <c r="B10" s="117" t="s">
        <v>531</v>
      </c>
      <c r="C10" s="119" t="s">
        <v>30</v>
      </c>
      <c r="D10" s="119">
        <v>25</v>
      </c>
      <c r="E10" s="116">
        <v>12</v>
      </c>
      <c r="F10" s="31">
        <f t="shared" si="0"/>
        <v>-13</v>
      </c>
      <c r="G10" s="35">
        <f t="shared" si="1"/>
        <v>0.48</v>
      </c>
    </row>
    <row r="11" spans="1:14" x14ac:dyDescent="0.35">
      <c r="A11" s="31">
        <v>5</v>
      </c>
      <c r="B11" s="117" t="s">
        <v>532</v>
      </c>
      <c r="C11" s="118" t="s">
        <v>30</v>
      </c>
      <c r="D11" s="116">
        <v>25</v>
      </c>
      <c r="E11" s="116">
        <v>13</v>
      </c>
      <c r="F11" s="31">
        <f t="shared" si="0"/>
        <v>-12</v>
      </c>
      <c r="G11" s="35">
        <f t="shared" si="1"/>
        <v>0.52</v>
      </c>
    </row>
    <row r="12" spans="1:14" x14ac:dyDescent="0.35">
      <c r="A12" s="31">
        <v>6</v>
      </c>
      <c r="B12" s="117" t="s">
        <v>533</v>
      </c>
      <c r="C12" s="118" t="s">
        <v>30</v>
      </c>
      <c r="D12" s="116">
        <v>25</v>
      </c>
      <c r="E12" s="116">
        <v>6</v>
      </c>
      <c r="F12" s="31">
        <f t="shared" si="0"/>
        <v>-19</v>
      </c>
      <c r="G12" s="35">
        <f t="shared" si="1"/>
        <v>0.24</v>
      </c>
    </row>
    <row r="13" spans="1:14" x14ac:dyDescent="0.35">
      <c r="A13" s="31">
        <v>7</v>
      </c>
      <c r="B13" s="117" t="s">
        <v>534</v>
      </c>
      <c r="C13" s="118" t="s">
        <v>30</v>
      </c>
      <c r="D13" s="116">
        <v>25</v>
      </c>
      <c r="E13" s="116">
        <v>2</v>
      </c>
      <c r="F13" s="31">
        <f t="shared" si="0"/>
        <v>-23</v>
      </c>
      <c r="G13" s="35">
        <f t="shared" si="1"/>
        <v>0.08</v>
      </c>
    </row>
    <row r="14" spans="1:14" x14ac:dyDescent="0.35">
      <c r="A14" s="31">
        <v>8</v>
      </c>
      <c r="B14" s="117" t="s">
        <v>535</v>
      </c>
      <c r="C14" s="118" t="s">
        <v>30</v>
      </c>
      <c r="D14" s="116">
        <v>25</v>
      </c>
      <c r="E14" s="116">
        <v>0</v>
      </c>
      <c r="F14" s="31">
        <f t="shared" si="0"/>
        <v>-25</v>
      </c>
      <c r="G14" s="35">
        <f t="shared" si="1"/>
        <v>0</v>
      </c>
    </row>
    <row r="15" spans="1:14" x14ac:dyDescent="0.35">
      <c r="A15" s="31">
        <v>9</v>
      </c>
      <c r="B15" s="115" t="s">
        <v>536</v>
      </c>
      <c r="C15" s="116" t="s">
        <v>28</v>
      </c>
      <c r="D15" s="116">
        <v>35</v>
      </c>
      <c r="E15" s="116">
        <v>0</v>
      </c>
      <c r="F15" s="31">
        <f t="shared" si="0"/>
        <v>-35</v>
      </c>
      <c r="G15" s="35">
        <f t="shared" si="1"/>
        <v>0</v>
      </c>
    </row>
    <row r="16" spans="1:14" x14ac:dyDescent="0.35">
      <c r="A16" s="31">
        <v>10</v>
      </c>
      <c r="B16" s="117" t="s">
        <v>537</v>
      </c>
      <c r="C16" s="118" t="s">
        <v>30</v>
      </c>
      <c r="D16" s="116">
        <v>25</v>
      </c>
      <c r="E16" s="116">
        <v>9</v>
      </c>
      <c r="F16" s="31">
        <f t="shared" si="0"/>
        <v>-16</v>
      </c>
      <c r="G16" s="35">
        <f t="shared" si="1"/>
        <v>0.36</v>
      </c>
    </row>
    <row r="17" spans="1:7" x14ac:dyDescent="0.35">
      <c r="A17" s="31">
        <v>11</v>
      </c>
      <c r="B17" s="117" t="s">
        <v>538</v>
      </c>
      <c r="C17" s="118" t="s">
        <v>30</v>
      </c>
      <c r="D17" s="118">
        <v>25</v>
      </c>
      <c r="E17" s="116">
        <v>7</v>
      </c>
      <c r="F17" s="31">
        <f t="shared" si="0"/>
        <v>-18</v>
      </c>
      <c r="G17" s="35">
        <f t="shared" si="1"/>
        <v>0.28000000000000003</v>
      </c>
    </row>
    <row r="18" spans="1:7" x14ac:dyDescent="0.35">
      <c r="A18" s="31">
        <v>12</v>
      </c>
      <c r="B18" s="117" t="s">
        <v>539</v>
      </c>
      <c r="C18" s="116" t="s">
        <v>30</v>
      </c>
      <c r="D18" s="116">
        <v>25</v>
      </c>
      <c r="E18" s="116">
        <v>13</v>
      </c>
      <c r="F18" s="31">
        <f t="shared" si="0"/>
        <v>-12</v>
      </c>
      <c r="G18" s="35">
        <f t="shared" si="1"/>
        <v>0.52</v>
      </c>
    </row>
    <row r="19" spans="1:7" x14ac:dyDescent="0.35">
      <c r="A19" s="31">
        <v>13</v>
      </c>
      <c r="B19" s="117" t="s">
        <v>540</v>
      </c>
      <c r="C19" s="118" t="s">
        <v>30</v>
      </c>
      <c r="D19" s="116">
        <v>25</v>
      </c>
      <c r="E19" s="116">
        <v>15</v>
      </c>
      <c r="F19" s="31">
        <f t="shared" si="0"/>
        <v>-10</v>
      </c>
      <c r="G19" s="35">
        <f t="shared" si="1"/>
        <v>0.6</v>
      </c>
    </row>
    <row r="20" spans="1:7" x14ac:dyDescent="0.35">
      <c r="A20" s="31">
        <v>14</v>
      </c>
      <c r="B20" s="117" t="s">
        <v>541</v>
      </c>
      <c r="C20" s="118" t="s">
        <v>30</v>
      </c>
      <c r="D20" s="116">
        <v>25</v>
      </c>
      <c r="E20" s="116">
        <v>12</v>
      </c>
      <c r="F20" s="31">
        <f t="shared" si="0"/>
        <v>-13</v>
      </c>
      <c r="G20" s="35">
        <f t="shared" si="1"/>
        <v>0.48</v>
      </c>
    </row>
    <row r="21" spans="1:7" x14ac:dyDescent="0.35">
      <c r="A21" s="31">
        <v>15</v>
      </c>
      <c r="B21" s="117" t="s">
        <v>542</v>
      </c>
      <c r="C21" s="118" t="s">
        <v>30</v>
      </c>
      <c r="D21" s="116">
        <v>25</v>
      </c>
      <c r="E21" s="116">
        <v>0</v>
      </c>
      <c r="F21" s="31">
        <f t="shared" si="0"/>
        <v>-25</v>
      </c>
      <c r="G21" s="35">
        <f t="shared" si="1"/>
        <v>0</v>
      </c>
    </row>
    <row r="22" spans="1:7" x14ac:dyDescent="0.35">
      <c r="A22" s="31"/>
      <c r="B22" s="31" t="s">
        <v>34</v>
      </c>
      <c r="C22" s="31"/>
      <c r="D22" s="31">
        <v>380</v>
      </c>
      <c r="E22" s="31">
        <f>SUM(E7:E21)</f>
        <v>115</v>
      </c>
      <c r="F22" s="31">
        <f t="shared" si="0"/>
        <v>-265</v>
      </c>
      <c r="G22" s="35">
        <f t="shared" si="1"/>
        <v>0.30263157894736842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70FA4-0F16-443E-A5A9-BDB58BAF3BAB}">
  <dimension ref="A1:N22"/>
  <sheetViews>
    <sheetView workbookViewId="0">
      <selection activeCell="C3" sqref="C3:G3"/>
    </sheetView>
  </sheetViews>
  <sheetFormatPr defaultRowHeight="14.5" x14ac:dyDescent="0.35"/>
  <cols>
    <col min="1" max="1" width="5.81640625" customWidth="1"/>
    <col min="2" max="2" width="31.453125" customWidth="1"/>
    <col min="7" max="7" width="8.7265625" style="6"/>
    <col min="9" max="9" width="4.1796875" customWidth="1"/>
    <col min="10" max="10" width="13" customWidth="1"/>
  </cols>
  <sheetData>
    <row r="1" spans="1:14" x14ac:dyDescent="0.35">
      <c r="B1" s="5" t="s">
        <v>51</v>
      </c>
    </row>
    <row r="2" spans="1:14" x14ac:dyDescent="0.35">
      <c r="B2" s="5" t="s">
        <v>527</v>
      </c>
    </row>
    <row r="3" spans="1:14" x14ac:dyDescent="0.35">
      <c r="A3" s="158" t="s">
        <v>19</v>
      </c>
      <c r="B3" s="159" t="s">
        <v>20</v>
      </c>
      <c r="C3" s="160" t="s">
        <v>941</v>
      </c>
      <c r="D3" s="161"/>
      <c r="E3" s="161"/>
      <c r="F3" s="161"/>
      <c r="G3" s="161"/>
      <c r="I3" s="7" t="s">
        <v>7</v>
      </c>
      <c r="J3" s="1" t="s">
        <v>9</v>
      </c>
      <c r="K3" s="1" t="s">
        <v>10</v>
      </c>
      <c r="L3" s="1" t="s">
        <v>3</v>
      </c>
      <c r="M3" s="1" t="s">
        <v>4</v>
      </c>
      <c r="N3" s="8" t="s">
        <v>6</v>
      </c>
    </row>
    <row r="4" spans="1:14" x14ac:dyDescent="0.35">
      <c r="A4" s="158"/>
      <c r="B4" s="159"/>
      <c r="C4" s="162" t="s">
        <v>21</v>
      </c>
      <c r="D4" s="162" t="s">
        <v>22</v>
      </c>
      <c r="E4" s="162" t="s">
        <v>23</v>
      </c>
      <c r="F4" s="162" t="s">
        <v>24</v>
      </c>
      <c r="G4" s="164" t="s">
        <v>6</v>
      </c>
      <c r="I4" s="21">
        <v>1</v>
      </c>
      <c r="J4" s="21" t="s">
        <v>585</v>
      </c>
      <c r="K4" s="21">
        <v>6</v>
      </c>
      <c r="L4" s="21">
        <v>190</v>
      </c>
      <c r="M4" s="21">
        <v>49</v>
      </c>
      <c r="N4" s="22">
        <f>M4/L4*100%</f>
        <v>0.25789473684210529</v>
      </c>
    </row>
    <row r="5" spans="1:14" x14ac:dyDescent="0.35">
      <c r="A5" s="168"/>
      <c r="B5" s="169"/>
      <c r="C5" s="170"/>
      <c r="D5" s="170"/>
      <c r="E5" s="170"/>
      <c r="F5" s="170"/>
      <c r="G5" s="171"/>
      <c r="I5" s="21">
        <v>2</v>
      </c>
      <c r="J5" s="21" t="s">
        <v>586</v>
      </c>
      <c r="K5" s="21">
        <v>8</v>
      </c>
      <c r="L5" s="21">
        <v>230</v>
      </c>
      <c r="M5" s="21">
        <v>65</v>
      </c>
      <c r="N5" s="22">
        <f>M5/L5*100%</f>
        <v>0.28260869565217389</v>
      </c>
    </row>
    <row r="6" spans="1:14" x14ac:dyDescent="0.35">
      <c r="A6" s="31">
        <v>1</v>
      </c>
      <c r="B6" s="108" t="s">
        <v>569</v>
      </c>
      <c r="C6" s="102" t="s">
        <v>28</v>
      </c>
      <c r="D6" s="102">
        <v>35</v>
      </c>
      <c r="E6" s="102">
        <v>6</v>
      </c>
      <c r="F6" s="31">
        <f>E6-D6</f>
        <v>-29</v>
      </c>
      <c r="G6" s="35">
        <f>E6/D6*100%</f>
        <v>0.17142857142857143</v>
      </c>
    </row>
    <row r="7" spans="1:14" x14ac:dyDescent="0.35">
      <c r="A7" s="31">
        <v>2</v>
      </c>
      <c r="B7" s="125" t="s">
        <v>570</v>
      </c>
      <c r="C7" s="104" t="s">
        <v>30</v>
      </c>
      <c r="D7" s="102">
        <v>25</v>
      </c>
      <c r="E7" s="102">
        <v>7</v>
      </c>
      <c r="F7" s="31">
        <f t="shared" ref="F7:F22" si="0">E7-D7</f>
        <v>-18</v>
      </c>
      <c r="G7" s="35">
        <f t="shared" ref="G7:G22" si="1">E7/D7*100%</f>
        <v>0.28000000000000003</v>
      </c>
    </row>
    <row r="8" spans="1:14" x14ac:dyDescent="0.35">
      <c r="A8" s="31">
        <v>3</v>
      </c>
      <c r="B8" s="125" t="s">
        <v>571</v>
      </c>
      <c r="C8" s="104" t="s">
        <v>30</v>
      </c>
      <c r="D8" s="102">
        <v>25</v>
      </c>
      <c r="E8" s="102">
        <v>7</v>
      </c>
      <c r="F8" s="31">
        <f t="shared" si="0"/>
        <v>-18</v>
      </c>
      <c r="G8" s="35">
        <f t="shared" si="1"/>
        <v>0.28000000000000003</v>
      </c>
    </row>
    <row r="9" spans="1:14" x14ac:dyDescent="0.35">
      <c r="A9" s="31">
        <v>4</v>
      </c>
      <c r="B9" s="125" t="s">
        <v>572</v>
      </c>
      <c r="C9" s="104" t="s">
        <v>30</v>
      </c>
      <c r="D9" s="102">
        <v>25</v>
      </c>
      <c r="E9" s="102">
        <v>9</v>
      </c>
      <c r="F9" s="31">
        <f t="shared" si="0"/>
        <v>-16</v>
      </c>
      <c r="G9" s="35">
        <f t="shared" si="1"/>
        <v>0.36</v>
      </c>
    </row>
    <row r="10" spans="1:14" x14ac:dyDescent="0.35">
      <c r="A10" s="31">
        <v>5</v>
      </c>
      <c r="B10" s="125" t="s">
        <v>573</v>
      </c>
      <c r="C10" s="104" t="s">
        <v>30</v>
      </c>
      <c r="D10" s="102">
        <v>25</v>
      </c>
      <c r="E10" s="102">
        <v>9</v>
      </c>
      <c r="F10" s="31">
        <f t="shared" si="0"/>
        <v>-16</v>
      </c>
      <c r="G10" s="35">
        <f t="shared" si="1"/>
        <v>0.36</v>
      </c>
    </row>
    <row r="11" spans="1:14" x14ac:dyDescent="0.35">
      <c r="A11" s="31">
        <v>6</v>
      </c>
      <c r="B11" s="125" t="s">
        <v>574</v>
      </c>
      <c r="C11" s="104" t="s">
        <v>30</v>
      </c>
      <c r="D11" s="102">
        <v>25</v>
      </c>
      <c r="E11" s="102">
        <v>8</v>
      </c>
      <c r="F11" s="31">
        <f t="shared" si="0"/>
        <v>-17</v>
      </c>
      <c r="G11" s="35">
        <f t="shared" si="1"/>
        <v>0.32</v>
      </c>
    </row>
    <row r="12" spans="1:14" x14ac:dyDescent="0.35">
      <c r="A12" s="31">
        <v>7</v>
      </c>
      <c r="B12" s="125" t="s">
        <v>575</v>
      </c>
      <c r="C12" s="104" t="s">
        <v>30</v>
      </c>
      <c r="D12" s="102">
        <v>25</v>
      </c>
      <c r="E12" s="102">
        <v>3</v>
      </c>
      <c r="F12" s="31">
        <f t="shared" si="0"/>
        <v>-22</v>
      </c>
      <c r="G12" s="35">
        <f t="shared" si="1"/>
        <v>0.12</v>
      </c>
    </row>
    <row r="13" spans="1:14" x14ac:dyDescent="0.35">
      <c r="A13" s="31">
        <v>8</v>
      </c>
      <c r="B13" s="107" t="s">
        <v>576</v>
      </c>
      <c r="C13" s="102" t="s">
        <v>28</v>
      </c>
      <c r="D13" s="102">
        <v>35</v>
      </c>
      <c r="E13" s="102">
        <v>0</v>
      </c>
      <c r="F13" s="31">
        <f t="shared" si="0"/>
        <v>-35</v>
      </c>
      <c r="G13" s="35">
        <f t="shared" si="1"/>
        <v>0</v>
      </c>
    </row>
    <row r="14" spans="1:14" x14ac:dyDescent="0.35">
      <c r="A14" s="31">
        <v>9</v>
      </c>
      <c r="B14" s="107" t="s">
        <v>577</v>
      </c>
      <c r="C14" s="104" t="s">
        <v>30</v>
      </c>
      <c r="D14" s="102">
        <v>25</v>
      </c>
      <c r="E14" s="102">
        <v>12</v>
      </c>
      <c r="F14" s="31">
        <f t="shared" si="0"/>
        <v>-13</v>
      </c>
      <c r="G14" s="35">
        <f t="shared" si="1"/>
        <v>0.48</v>
      </c>
    </row>
    <row r="15" spans="1:14" x14ac:dyDescent="0.35">
      <c r="A15" s="31">
        <v>10</v>
      </c>
      <c r="B15" s="126" t="s">
        <v>578</v>
      </c>
      <c r="C15" s="104" t="s">
        <v>30</v>
      </c>
      <c r="D15" s="102">
        <v>25</v>
      </c>
      <c r="E15" s="102">
        <v>4</v>
      </c>
      <c r="F15" s="31">
        <f t="shared" si="0"/>
        <v>-21</v>
      </c>
      <c r="G15" s="35">
        <f t="shared" si="1"/>
        <v>0.16</v>
      </c>
    </row>
    <row r="16" spans="1:14" x14ac:dyDescent="0.35">
      <c r="A16" s="31">
        <v>11</v>
      </c>
      <c r="B16" s="127" t="s">
        <v>579</v>
      </c>
      <c r="C16" s="104" t="s">
        <v>30</v>
      </c>
      <c r="D16" s="102">
        <v>25</v>
      </c>
      <c r="E16" s="102">
        <v>10</v>
      </c>
      <c r="F16" s="31">
        <f t="shared" si="0"/>
        <v>-15</v>
      </c>
      <c r="G16" s="35">
        <f t="shared" si="1"/>
        <v>0.4</v>
      </c>
    </row>
    <row r="17" spans="1:7" x14ac:dyDescent="0.35">
      <c r="A17" s="31">
        <v>12</v>
      </c>
      <c r="B17" s="127" t="s">
        <v>580</v>
      </c>
      <c r="C17" s="104" t="s">
        <v>30</v>
      </c>
      <c r="D17" s="102">
        <v>25</v>
      </c>
      <c r="E17" s="102">
        <v>5</v>
      </c>
      <c r="F17" s="31">
        <f t="shared" si="0"/>
        <v>-20</v>
      </c>
      <c r="G17" s="35">
        <f t="shared" si="1"/>
        <v>0.2</v>
      </c>
    </row>
    <row r="18" spans="1:7" x14ac:dyDescent="0.35">
      <c r="A18" s="31">
        <v>13</v>
      </c>
      <c r="B18" s="127" t="s">
        <v>581</v>
      </c>
      <c r="C18" s="104" t="s">
        <v>30</v>
      </c>
      <c r="D18" s="102">
        <v>25</v>
      </c>
      <c r="E18" s="102">
        <v>3</v>
      </c>
      <c r="F18" s="31">
        <f t="shared" si="0"/>
        <v>-22</v>
      </c>
      <c r="G18" s="35">
        <f t="shared" si="1"/>
        <v>0.12</v>
      </c>
    </row>
    <row r="19" spans="1:7" x14ac:dyDescent="0.35">
      <c r="A19" s="31">
        <v>14</v>
      </c>
      <c r="B19" s="107" t="s">
        <v>582</v>
      </c>
      <c r="C19" s="104" t="s">
        <v>30</v>
      </c>
      <c r="D19" s="102">
        <v>25</v>
      </c>
      <c r="E19" s="102">
        <v>12</v>
      </c>
      <c r="F19" s="31">
        <f t="shared" si="0"/>
        <v>-13</v>
      </c>
      <c r="G19" s="35">
        <f t="shared" si="1"/>
        <v>0.48</v>
      </c>
    </row>
    <row r="20" spans="1:7" x14ac:dyDescent="0.35">
      <c r="A20" s="31">
        <v>15</v>
      </c>
      <c r="B20" s="126" t="s">
        <v>583</v>
      </c>
      <c r="C20" s="104" t="s">
        <v>30</v>
      </c>
      <c r="D20" s="102">
        <v>25</v>
      </c>
      <c r="E20" s="102">
        <v>15</v>
      </c>
      <c r="F20" s="31">
        <f t="shared" si="0"/>
        <v>-10</v>
      </c>
      <c r="G20" s="35">
        <f t="shared" si="1"/>
        <v>0.6</v>
      </c>
    </row>
    <row r="21" spans="1:7" x14ac:dyDescent="0.35">
      <c r="A21" s="31">
        <v>16</v>
      </c>
      <c r="B21" s="107" t="s">
        <v>584</v>
      </c>
      <c r="C21" s="104" t="s">
        <v>30</v>
      </c>
      <c r="D21" s="102">
        <v>25</v>
      </c>
      <c r="E21" s="102">
        <v>4</v>
      </c>
      <c r="F21" s="31">
        <f t="shared" si="0"/>
        <v>-21</v>
      </c>
      <c r="G21" s="35">
        <f t="shared" si="1"/>
        <v>0.16</v>
      </c>
    </row>
    <row r="22" spans="1:7" x14ac:dyDescent="0.35">
      <c r="A22" s="31"/>
      <c r="B22" s="31" t="s">
        <v>34</v>
      </c>
      <c r="C22" s="31"/>
      <c r="D22" s="31">
        <v>420</v>
      </c>
      <c r="E22" s="31">
        <f>SUM(E6:E21)</f>
        <v>114</v>
      </c>
      <c r="F22" s="31">
        <f t="shared" si="0"/>
        <v>-306</v>
      </c>
      <c r="G22" s="35">
        <f t="shared" si="1"/>
        <v>0.27142857142857141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BEBFD-2995-4ACD-877A-FFDAEF717226}">
  <dimension ref="A1:G12"/>
  <sheetViews>
    <sheetView workbookViewId="0">
      <selection activeCell="C3" sqref="C3:G3"/>
    </sheetView>
  </sheetViews>
  <sheetFormatPr defaultRowHeight="14.5" x14ac:dyDescent="0.35"/>
  <cols>
    <col min="1" max="1" width="5.6328125" customWidth="1"/>
    <col min="2" max="2" width="27.453125" customWidth="1"/>
    <col min="7" max="7" width="8.7265625" style="6"/>
  </cols>
  <sheetData>
    <row r="1" spans="1:7" x14ac:dyDescent="0.35">
      <c r="B1" s="5" t="s">
        <v>51</v>
      </c>
    </row>
    <row r="2" spans="1:7" x14ac:dyDescent="0.35">
      <c r="B2" s="5" t="s">
        <v>527</v>
      </c>
    </row>
    <row r="3" spans="1:7" x14ac:dyDescent="0.35">
      <c r="A3" s="158" t="s">
        <v>19</v>
      </c>
      <c r="B3" s="159" t="s">
        <v>20</v>
      </c>
      <c r="C3" s="160" t="s">
        <v>941</v>
      </c>
      <c r="D3" s="161"/>
      <c r="E3" s="161"/>
      <c r="F3" s="161"/>
      <c r="G3" s="161"/>
    </row>
    <row r="4" spans="1:7" x14ac:dyDescent="0.35">
      <c r="A4" s="158"/>
      <c r="B4" s="159"/>
      <c r="C4" s="162" t="s">
        <v>21</v>
      </c>
      <c r="D4" s="162" t="s">
        <v>22</v>
      </c>
      <c r="E4" s="162" t="s">
        <v>23</v>
      </c>
      <c r="F4" s="162" t="s">
        <v>24</v>
      </c>
      <c r="G4" s="164" t="s">
        <v>6</v>
      </c>
    </row>
    <row r="5" spans="1:7" x14ac:dyDescent="0.35">
      <c r="A5" s="168"/>
      <c r="B5" s="169"/>
      <c r="C5" s="170"/>
      <c r="D5" s="170"/>
      <c r="E5" s="170"/>
      <c r="F5" s="170"/>
      <c r="G5" s="171"/>
    </row>
    <row r="6" spans="1:7" x14ac:dyDescent="0.35">
      <c r="A6" s="31">
        <v>1</v>
      </c>
      <c r="B6" s="128" t="s">
        <v>587</v>
      </c>
      <c r="C6" s="102" t="s">
        <v>28</v>
      </c>
      <c r="D6" s="102">
        <v>35</v>
      </c>
      <c r="E6" s="102">
        <v>0</v>
      </c>
      <c r="F6" s="31">
        <f>E6-D6</f>
        <v>-35</v>
      </c>
      <c r="G6" s="35">
        <f>E6/D6*100%</f>
        <v>0</v>
      </c>
    </row>
    <row r="7" spans="1:7" x14ac:dyDescent="0.35">
      <c r="A7" s="31">
        <v>2</v>
      </c>
      <c r="B7" s="128" t="s">
        <v>588</v>
      </c>
      <c r="C7" s="104" t="s">
        <v>30</v>
      </c>
      <c r="D7" s="102">
        <v>25</v>
      </c>
      <c r="E7" s="102">
        <v>5</v>
      </c>
      <c r="F7" s="31">
        <f t="shared" ref="F7:F12" si="0">E7-D7</f>
        <v>-20</v>
      </c>
      <c r="G7" s="35">
        <f t="shared" ref="G7:G12" si="1">E7/D7*100%</f>
        <v>0.2</v>
      </c>
    </row>
    <row r="8" spans="1:7" x14ac:dyDescent="0.35">
      <c r="A8" s="31">
        <v>3</v>
      </c>
      <c r="B8" s="128" t="s">
        <v>589</v>
      </c>
      <c r="C8" s="104" t="s">
        <v>30</v>
      </c>
      <c r="D8" s="102">
        <v>25</v>
      </c>
      <c r="E8" s="102">
        <v>3</v>
      </c>
      <c r="F8" s="31">
        <f t="shared" si="0"/>
        <v>-22</v>
      </c>
      <c r="G8" s="35">
        <f t="shared" si="1"/>
        <v>0.12</v>
      </c>
    </row>
    <row r="9" spans="1:7" x14ac:dyDescent="0.35">
      <c r="A9" s="31">
        <v>4</v>
      </c>
      <c r="B9" s="128" t="s">
        <v>590</v>
      </c>
      <c r="C9" s="104" t="s">
        <v>30</v>
      </c>
      <c r="D9" s="102">
        <v>25</v>
      </c>
      <c r="E9" s="102">
        <v>1</v>
      </c>
      <c r="F9" s="31">
        <f t="shared" si="0"/>
        <v>-24</v>
      </c>
      <c r="G9" s="35">
        <f t="shared" si="1"/>
        <v>0.04</v>
      </c>
    </row>
    <row r="10" spans="1:7" x14ac:dyDescent="0.35">
      <c r="A10" s="31">
        <v>5</v>
      </c>
      <c r="B10" s="128" t="s">
        <v>591</v>
      </c>
      <c r="C10" s="104" t="s">
        <v>30</v>
      </c>
      <c r="D10" s="102">
        <v>25</v>
      </c>
      <c r="E10" s="102">
        <v>2</v>
      </c>
      <c r="F10" s="31">
        <f t="shared" si="0"/>
        <v>-23</v>
      </c>
      <c r="G10" s="35">
        <f t="shared" si="1"/>
        <v>0.08</v>
      </c>
    </row>
    <row r="11" spans="1:7" x14ac:dyDescent="0.35">
      <c r="A11" s="31">
        <v>6</v>
      </c>
      <c r="B11" s="128" t="s">
        <v>592</v>
      </c>
      <c r="C11" s="104" t="s">
        <v>30</v>
      </c>
      <c r="D11" s="102">
        <v>25</v>
      </c>
      <c r="E11" s="102">
        <v>2</v>
      </c>
      <c r="F11" s="31">
        <f t="shared" si="0"/>
        <v>-23</v>
      </c>
      <c r="G11" s="35">
        <f t="shared" si="1"/>
        <v>0.08</v>
      </c>
    </row>
    <row r="12" spans="1:7" x14ac:dyDescent="0.35">
      <c r="A12" s="31"/>
      <c r="B12" s="31" t="s">
        <v>34</v>
      </c>
      <c r="C12" s="31"/>
      <c r="D12" s="31">
        <v>150</v>
      </c>
      <c r="E12" s="31">
        <f>SUM(E6:E11)</f>
        <v>13</v>
      </c>
      <c r="F12" s="31">
        <f t="shared" si="0"/>
        <v>-137</v>
      </c>
      <c r="G12" s="35">
        <f t="shared" si="1"/>
        <v>8.666666666666667E-2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C9D2-D1C3-4214-995F-D75F6935FF9C}">
  <dimension ref="A1:G6"/>
  <sheetViews>
    <sheetView workbookViewId="0">
      <selection activeCell="C3" sqref="C3:G3"/>
    </sheetView>
  </sheetViews>
  <sheetFormatPr defaultRowHeight="14.5" x14ac:dyDescent="0.35"/>
  <cols>
    <col min="1" max="1" width="6.81640625" customWidth="1"/>
    <col min="2" max="2" width="31.90625" customWidth="1"/>
    <col min="7" max="7" width="8.7265625" style="6"/>
  </cols>
  <sheetData>
    <row r="1" spans="1:7" x14ac:dyDescent="0.35">
      <c r="B1" s="5" t="s">
        <v>51</v>
      </c>
    </row>
    <row r="2" spans="1:7" x14ac:dyDescent="0.35">
      <c r="B2" s="5" t="s">
        <v>527</v>
      </c>
    </row>
    <row r="3" spans="1:7" x14ac:dyDescent="0.35">
      <c r="A3" s="158" t="s">
        <v>19</v>
      </c>
      <c r="B3" s="159" t="s">
        <v>20</v>
      </c>
      <c r="C3" s="160" t="s">
        <v>941</v>
      </c>
      <c r="D3" s="161"/>
      <c r="E3" s="161"/>
      <c r="F3" s="161"/>
      <c r="G3" s="161"/>
    </row>
    <row r="4" spans="1:7" x14ac:dyDescent="0.35">
      <c r="A4" s="158"/>
      <c r="B4" s="159"/>
      <c r="C4" s="162" t="s">
        <v>21</v>
      </c>
      <c r="D4" s="162" t="s">
        <v>22</v>
      </c>
      <c r="E4" s="162" t="s">
        <v>23</v>
      </c>
      <c r="F4" s="162" t="s">
        <v>24</v>
      </c>
      <c r="G4" s="164" t="s">
        <v>6</v>
      </c>
    </row>
    <row r="5" spans="1:7" x14ac:dyDescent="0.35">
      <c r="A5" s="168"/>
      <c r="B5" s="169"/>
      <c r="C5" s="170"/>
      <c r="D5" s="170"/>
      <c r="E5" s="170"/>
      <c r="F5" s="170"/>
      <c r="G5" s="171"/>
    </row>
    <row r="6" spans="1:7" x14ac:dyDescent="0.35">
      <c r="A6" s="9">
        <v>1</v>
      </c>
      <c r="B6" s="122" t="s">
        <v>565</v>
      </c>
      <c r="C6" s="123" t="s">
        <v>30</v>
      </c>
      <c r="D6" s="99">
        <v>25</v>
      </c>
      <c r="E6" s="99">
        <v>7</v>
      </c>
      <c r="F6" s="9">
        <f>E6-D6</f>
        <v>-18</v>
      </c>
      <c r="G6" s="11">
        <f>E6/D6*100%</f>
        <v>0.28000000000000003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E4FC-4724-48BD-9AD3-E41A36E84AEB}">
  <dimension ref="A1:G9"/>
  <sheetViews>
    <sheetView topLeftCell="B1" workbookViewId="0">
      <selection activeCell="C3" sqref="C3:G3"/>
    </sheetView>
  </sheetViews>
  <sheetFormatPr defaultRowHeight="14.5" x14ac:dyDescent="0.35"/>
  <cols>
    <col min="1" max="1" width="6.1796875" customWidth="1"/>
    <col min="2" max="2" width="31.26953125" customWidth="1"/>
    <col min="7" max="7" width="8.7265625" style="6"/>
  </cols>
  <sheetData>
    <row r="1" spans="1:7" x14ac:dyDescent="0.35">
      <c r="B1" s="5" t="s">
        <v>51</v>
      </c>
    </row>
    <row r="2" spans="1:7" x14ac:dyDescent="0.35">
      <c r="B2" s="5" t="s">
        <v>527</v>
      </c>
    </row>
    <row r="3" spans="1:7" x14ac:dyDescent="0.35">
      <c r="A3" s="158" t="s">
        <v>19</v>
      </c>
      <c r="B3" s="159" t="s">
        <v>20</v>
      </c>
      <c r="C3" s="160" t="s">
        <v>941</v>
      </c>
      <c r="D3" s="161"/>
      <c r="E3" s="161"/>
      <c r="F3" s="161"/>
      <c r="G3" s="161"/>
    </row>
    <row r="4" spans="1:7" x14ac:dyDescent="0.35">
      <c r="A4" s="158"/>
      <c r="B4" s="159"/>
      <c r="C4" s="162" t="s">
        <v>21</v>
      </c>
      <c r="D4" s="162" t="s">
        <v>22</v>
      </c>
      <c r="E4" s="162" t="s">
        <v>23</v>
      </c>
      <c r="F4" s="162" t="s">
        <v>24</v>
      </c>
      <c r="G4" s="164" t="s">
        <v>6</v>
      </c>
    </row>
    <row r="5" spans="1:7" x14ac:dyDescent="0.35">
      <c r="A5" s="168"/>
      <c r="B5" s="169"/>
      <c r="C5" s="170"/>
      <c r="D5" s="170"/>
      <c r="E5" s="170"/>
      <c r="F5" s="170"/>
      <c r="G5" s="171"/>
    </row>
    <row r="6" spans="1:7" x14ac:dyDescent="0.35">
      <c r="A6" s="31">
        <v>1</v>
      </c>
      <c r="B6" s="124" t="s">
        <v>566</v>
      </c>
      <c r="C6" s="30" t="s">
        <v>30</v>
      </c>
      <c r="D6" s="30">
        <v>25</v>
      </c>
      <c r="E6" s="30">
        <v>6</v>
      </c>
      <c r="F6" s="31">
        <f>E6-D6</f>
        <v>-19</v>
      </c>
      <c r="G6" s="35">
        <f>E6/D6*100%</f>
        <v>0.24</v>
      </c>
    </row>
    <row r="7" spans="1:7" x14ac:dyDescent="0.35">
      <c r="A7" s="31">
        <v>2</v>
      </c>
      <c r="B7" s="124" t="s">
        <v>567</v>
      </c>
      <c r="C7" s="32" t="s">
        <v>30</v>
      </c>
      <c r="D7" s="30">
        <v>25</v>
      </c>
      <c r="E7" s="30">
        <v>5</v>
      </c>
      <c r="F7" s="31">
        <f t="shared" ref="F7:F9" si="0">E7-D7</f>
        <v>-20</v>
      </c>
      <c r="G7" s="35">
        <f t="shared" ref="G7:G9" si="1">E7/D7*100%</f>
        <v>0.2</v>
      </c>
    </row>
    <row r="8" spans="1:7" x14ac:dyDescent="0.35">
      <c r="A8" s="31">
        <v>3</v>
      </c>
      <c r="B8" s="34" t="s">
        <v>568</v>
      </c>
      <c r="C8" s="32" t="s">
        <v>30</v>
      </c>
      <c r="D8" s="32">
        <v>25</v>
      </c>
      <c r="E8" s="30">
        <v>0</v>
      </c>
      <c r="F8" s="31">
        <f t="shared" si="0"/>
        <v>-25</v>
      </c>
      <c r="G8" s="35">
        <f t="shared" si="1"/>
        <v>0</v>
      </c>
    </row>
    <row r="9" spans="1:7" x14ac:dyDescent="0.35">
      <c r="A9" s="31"/>
      <c r="B9" s="31" t="s">
        <v>34</v>
      </c>
      <c r="C9" s="31"/>
      <c r="D9" s="31">
        <v>75</v>
      </c>
      <c r="E9" s="31">
        <f>SUM(E6:E8)</f>
        <v>11</v>
      </c>
      <c r="F9" s="31">
        <f t="shared" si="0"/>
        <v>-64</v>
      </c>
      <c r="G9" s="35">
        <f t="shared" si="1"/>
        <v>0.14666666666666667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FE9E-9B5C-4DD0-AD78-E476FE408275}">
  <dimension ref="A1:N27"/>
  <sheetViews>
    <sheetView workbookViewId="0">
      <selection activeCell="C4" sqref="C4:G4"/>
    </sheetView>
  </sheetViews>
  <sheetFormatPr defaultRowHeight="14.5" x14ac:dyDescent="0.35"/>
  <cols>
    <col min="1" max="1" width="5.26953125" customWidth="1"/>
    <col min="2" max="2" width="35.453125" customWidth="1"/>
    <col min="7" max="7" width="8.7265625" style="6"/>
    <col min="9" max="9" width="4.1796875" customWidth="1"/>
    <col min="10" max="10" width="14.26953125" customWidth="1"/>
  </cols>
  <sheetData>
    <row r="1" spans="1:14" x14ac:dyDescent="0.35">
      <c r="B1" s="5" t="s">
        <v>25</v>
      </c>
    </row>
    <row r="2" spans="1:14" x14ac:dyDescent="0.35">
      <c r="B2" s="5" t="s">
        <v>793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815</v>
      </c>
      <c r="K5" s="21">
        <v>7</v>
      </c>
      <c r="L5" s="21">
        <v>190</v>
      </c>
      <c r="M5" s="21">
        <v>39</v>
      </c>
      <c r="N5" s="22">
        <f>M5/L5*100%</f>
        <v>0.20526315789473684</v>
      </c>
    </row>
    <row r="6" spans="1:14" x14ac:dyDescent="0.35">
      <c r="A6" s="168"/>
      <c r="B6" s="169"/>
      <c r="C6" s="170"/>
      <c r="D6" s="170"/>
      <c r="E6" s="170"/>
      <c r="F6" s="170"/>
      <c r="G6" s="171"/>
      <c r="I6" s="21">
        <v>2</v>
      </c>
      <c r="J6" s="21" t="s">
        <v>814</v>
      </c>
      <c r="K6" s="21">
        <v>5</v>
      </c>
      <c r="L6" s="21">
        <v>150</v>
      </c>
      <c r="M6" s="21">
        <v>39</v>
      </c>
      <c r="N6" s="22">
        <f t="shared" ref="N6:N7" si="0">M6/L6*100%</f>
        <v>0.26</v>
      </c>
    </row>
    <row r="7" spans="1:14" x14ac:dyDescent="0.35">
      <c r="A7" s="31">
        <v>1</v>
      </c>
      <c r="B7" s="45" t="s">
        <v>794</v>
      </c>
      <c r="C7" s="46" t="s">
        <v>28</v>
      </c>
      <c r="D7" s="46">
        <v>25</v>
      </c>
      <c r="E7" s="46">
        <v>0</v>
      </c>
      <c r="F7" s="31">
        <f>E7-D7</f>
        <v>-25</v>
      </c>
      <c r="G7" s="35">
        <f>E7/D7*100%</f>
        <v>0</v>
      </c>
      <c r="I7" s="21">
        <v>3</v>
      </c>
      <c r="J7" s="21" t="s">
        <v>817</v>
      </c>
      <c r="K7" s="21">
        <v>5</v>
      </c>
      <c r="L7" s="21">
        <v>150</v>
      </c>
      <c r="M7" s="21">
        <v>60</v>
      </c>
      <c r="N7" s="22">
        <f t="shared" si="0"/>
        <v>0.4</v>
      </c>
    </row>
    <row r="8" spans="1:14" x14ac:dyDescent="0.35">
      <c r="A8" s="31">
        <v>2</v>
      </c>
      <c r="B8" s="45" t="s">
        <v>795</v>
      </c>
      <c r="C8" s="46" t="s">
        <v>30</v>
      </c>
      <c r="D8" s="46">
        <v>25</v>
      </c>
      <c r="E8" s="46">
        <v>20</v>
      </c>
      <c r="F8" s="31">
        <f t="shared" ref="F8:F27" si="1">E8-D8</f>
        <v>-5</v>
      </c>
      <c r="G8" s="35">
        <f t="shared" ref="G8:G27" si="2">E8/D8*100%</f>
        <v>0.8</v>
      </c>
    </row>
    <row r="9" spans="1:14" x14ac:dyDescent="0.35">
      <c r="A9" s="31">
        <v>3</v>
      </c>
      <c r="B9" s="45" t="s">
        <v>796</v>
      </c>
      <c r="C9" s="46" t="s">
        <v>30</v>
      </c>
      <c r="D9" s="46">
        <v>25</v>
      </c>
      <c r="E9" s="46">
        <v>11</v>
      </c>
      <c r="F9" s="31">
        <f t="shared" si="1"/>
        <v>-14</v>
      </c>
      <c r="G9" s="35">
        <f t="shared" si="2"/>
        <v>0.44</v>
      </c>
    </row>
    <row r="10" spans="1:14" x14ac:dyDescent="0.35">
      <c r="A10" s="31">
        <v>4</v>
      </c>
      <c r="B10" s="45" t="s">
        <v>797</v>
      </c>
      <c r="C10" s="46" t="s">
        <v>30</v>
      </c>
      <c r="D10" s="46">
        <v>25</v>
      </c>
      <c r="E10" s="46">
        <v>6</v>
      </c>
      <c r="F10" s="31">
        <f t="shared" si="1"/>
        <v>-19</v>
      </c>
      <c r="G10" s="35">
        <f t="shared" si="2"/>
        <v>0.24</v>
      </c>
    </row>
    <row r="11" spans="1:14" x14ac:dyDescent="0.35">
      <c r="A11" s="31">
        <v>5</v>
      </c>
      <c r="B11" s="45" t="s">
        <v>798</v>
      </c>
      <c r="C11" s="46" t="s">
        <v>30</v>
      </c>
      <c r="D11" s="46">
        <v>25</v>
      </c>
      <c r="E11" s="46">
        <v>2</v>
      </c>
      <c r="F11" s="31">
        <f t="shared" si="1"/>
        <v>-23</v>
      </c>
      <c r="G11" s="35">
        <f t="shared" si="2"/>
        <v>0.08</v>
      </c>
    </row>
    <row r="12" spans="1:14" x14ac:dyDescent="0.35">
      <c r="A12" s="31">
        <v>6</v>
      </c>
      <c r="B12" s="45" t="s">
        <v>799</v>
      </c>
      <c r="C12" s="46" t="s">
        <v>30</v>
      </c>
      <c r="D12" s="46">
        <v>25</v>
      </c>
      <c r="E12" s="46">
        <v>0</v>
      </c>
      <c r="F12" s="31">
        <f t="shared" si="1"/>
        <v>-25</v>
      </c>
      <c r="G12" s="35">
        <f t="shared" si="2"/>
        <v>0</v>
      </c>
    </row>
    <row r="13" spans="1:14" x14ac:dyDescent="0.35">
      <c r="A13" s="31">
        <v>7</v>
      </c>
      <c r="B13" s="45" t="s">
        <v>800</v>
      </c>
      <c r="C13" s="46" t="s">
        <v>30</v>
      </c>
      <c r="D13" s="46">
        <v>25</v>
      </c>
      <c r="E13" s="46">
        <v>0</v>
      </c>
      <c r="F13" s="31">
        <f t="shared" si="1"/>
        <v>-25</v>
      </c>
      <c r="G13" s="35">
        <f t="shared" si="2"/>
        <v>0</v>
      </c>
    </row>
    <row r="14" spans="1:14" x14ac:dyDescent="0.35">
      <c r="A14" s="31">
        <v>8</v>
      </c>
      <c r="B14" s="45" t="s">
        <v>801</v>
      </c>
      <c r="C14" s="46" t="s">
        <v>30</v>
      </c>
      <c r="D14" s="46">
        <v>25</v>
      </c>
      <c r="E14" s="46">
        <v>0</v>
      </c>
      <c r="F14" s="31">
        <f t="shared" si="1"/>
        <v>-25</v>
      </c>
      <c r="G14" s="35">
        <f t="shared" si="2"/>
        <v>0</v>
      </c>
    </row>
    <row r="15" spans="1:14" x14ac:dyDescent="0.35">
      <c r="A15" s="31">
        <v>9</v>
      </c>
      <c r="B15" s="45" t="s">
        <v>802</v>
      </c>
      <c r="C15" s="46" t="s">
        <v>28</v>
      </c>
      <c r="D15" s="46">
        <v>25</v>
      </c>
      <c r="E15" s="46">
        <v>0</v>
      </c>
      <c r="F15" s="31">
        <f t="shared" si="1"/>
        <v>-25</v>
      </c>
      <c r="G15" s="35">
        <f t="shared" si="2"/>
        <v>0</v>
      </c>
    </row>
    <row r="16" spans="1:14" x14ac:dyDescent="0.35">
      <c r="A16" s="31">
        <v>10</v>
      </c>
      <c r="B16" s="45" t="s">
        <v>803</v>
      </c>
      <c r="C16" s="46" t="s">
        <v>30</v>
      </c>
      <c r="D16" s="46">
        <v>25</v>
      </c>
      <c r="E16" s="46">
        <v>10</v>
      </c>
      <c r="F16" s="31">
        <f t="shared" si="1"/>
        <v>-15</v>
      </c>
      <c r="G16" s="35">
        <f t="shared" si="2"/>
        <v>0.4</v>
      </c>
    </row>
    <row r="17" spans="1:7" x14ac:dyDescent="0.35">
      <c r="A17" s="31">
        <v>11</v>
      </c>
      <c r="B17" s="45" t="s">
        <v>804</v>
      </c>
      <c r="C17" s="46" t="s">
        <v>30</v>
      </c>
      <c r="D17" s="46">
        <v>25</v>
      </c>
      <c r="E17" s="46">
        <v>13</v>
      </c>
      <c r="F17" s="31">
        <f t="shared" si="1"/>
        <v>-12</v>
      </c>
      <c r="G17" s="35">
        <f t="shared" si="2"/>
        <v>0.52</v>
      </c>
    </row>
    <row r="18" spans="1:7" x14ac:dyDescent="0.35">
      <c r="A18" s="31">
        <v>12</v>
      </c>
      <c r="B18" s="45" t="s">
        <v>805</v>
      </c>
      <c r="C18" s="46" t="s">
        <v>30</v>
      </c>
      <c r="D18" s="46">
        <v>25</v>
      </c>
      <c r="E18" s="46">
        <v>7</v>
      </c>
      <c r="F18" s="31">
        <f t="shared" si="1"/>
        <v>-18</v>
      </c>
      <c r="G18" s="35">
        <f t="shared" si="2"/>
        <v>0.28000000000000003</v>
      </c>
    </row>
    <row r="19" spans="1:7" x14ac:dyDescent="0.35">
      <c r="A19" s="31">
        <v>13</v>
      </c>
      <c r="B19" s="45" t="s">
        <v>806</v>
      </c>
      <c r="C19" s="46" t="s">
        <v>30</v>
      </c>
      <c r="D19" s="46">
        <v>25</v>
      </c>
      <c r="E19" s="46">
        <v>8</v>
      </c>
      <c r="F19" s="31">
        <f t="shared" si="1"/>
        <v>-17</v>
      </c>
      <c r="G19" s="35">
        <f t="shared" si="2"/>
        <v>0.32</v>
      </c>
    </row>
    <row r="20" spans="1:7" x14ac:dyDescent="0.35">
      <c r="A20" s="31">
        <v>14</v>
      </c>
      <c r="B20" s="45" t="s">
        <v>807</v>
      </c>
      <c r="C20" s="46" t="s">
        <v>30</v>
      </c>
      <c r="D20" s="46">
        <v>25</v>
      </c>
      <c r="E20" s="46">
        <v>1</v>
      </c>
      <c r="F20" s="31">
        <f t="shared" si="1"/>
        <v>-24</v>
      </c>
      <c r="G20" s="35">
        <f t="shared" si="2"/>
        <v>0.04</v>
      </c>
    </row>
    <row r="21" spans="1:7" x14ac:dyDescent="0.35">
      <c r="A21" s="31">
        <v>15</v>
      </c>
      <c r="B21" s="45" t="s">
        <v>808</v>
      </c>
      <c r="C21" s="46" t="s">
        <v>28</v>
      </c>
      <c r="D21" s="46">
        <v>25</v>
      </c>
      <c r="E21" s="46">
        <v>0</v>
      </c>
      <c r="F21" s="31">
        <f t="shared" si="1"/>
        <v>-25</v>
      </c>
      <c r="G21" s="35">
        <f t="shared" si="2"/>
        <v>0</v>
      </c>
    </row>
    <row r="22" spans="1:7" x14ac:dyDescent="0.35">
      <c r="A22" s="31">
        <v>16</v>
      </c>
      <c r="B22" s="45" t="s">
        <v>809</v>
      </c>
      <c r="C22" s="46" t="s">
        <v>30</v>
      </c>
      <c r="D22" s="46">
        <v>25</v>
      </c>
      <c r="E22" s="46">
        <v>17</v>
      </c>
      <c r="F22" s="31">
        <f t="shared" si="1"/>
        <v>-8</v>
      </c>
      <c r="G22" s="35">
        <f t="shared" si="2"/>
        <v>0.68</v>
      </c>
    </row>
    <row r="23" spans="1:7" x14ac:dyDescent="0.35">
      <c r="A23" s="31">
        <v>17</v>
      </c>
      <c r="B23" s="45" t="s">
        <v>810</v>
      </c>
      <c r="C23" s="46" t="s">
        <v>30</v>
      </c>
      <c r="D23" s="46">
        <v>25</v>
      </c>
      <c r="E23" s="46">
        <v>15</v>
      </c>
      <c r="F23" s="31">
        <f t="shared" si="1"/>
        <v>-10</v>
      </c>
      <c r="G23" s="35">
        <f t="shared" si="2"/>
        <v>0.6</v>
      </c>
    </row>
    <row r="24" spans="1:7" x14ac:dyDescent="0.35">
      <c r="A24" s="31">
        <v>18</v>
      </c>
      <c r="B24" s="45" t="s">
        <v>811</v>
      </c>
      <c r="C24" s="46" t="s">
        <v>30</v>
      </c>
      <c r="D24" s="46">
        <v>25</v>
      </c>
      <c r="E24" s="46">
        <v>26</v>
      </c>
      <c r="F24" s="31">
        <f t="shared" si="1"/>
        <v>1</v>
      </c>
      <c r="G24" s="35">
        <f t="shared" si="2"/>
        <v>1.04</v>
      </c>
    </row>
    <row r="25" spans="1:7" x14ac:dyDescent="0.35">
      <c r="A25" s="31">
        <v>19</v>
      </c>
      <c r="B25" s="45" t="s">
        <v>812</v>
      </c>
      <c r="C25" s="46" t="s">
        <v>30</v>
      </c>
      <c r="D25" s="46">
        <v>25</v>
      </c>
      <c r="E25" s="46">
        <v>1</v>
      </c>
      <c r="F25" s="31">
        <f t="shared" si="1"/>
        <v>-24</v>
      </c>
      <c r="G25" s="35">
        <f t="shared" si="2"/>
        <v>0.04</v>
      </c>
    </row>
    <row r="26" spans="1:7" x14ac:dyDescent="0.35">
      <c r="A26" s="31">
        <v>20</v>
      </c>
      <c r="B26" s="45" t="s">
        <v>813</v>
      </c>
      <c r="C26" s="46" t="s">
        <v>30</v>
      </c>
      <c r="D26" s="46">
        <v>25</v>
      </c>
      <c r="E26" s="46">
        <v>1</v>
      </c>
      <c r="F26" s="31">
        <f t="shared" si="1"/>
        <v>-24</v>
      </c>
      <c r="G26" s="35">
        <f t="shared" si="2"/>
        <v>0.04</v>
      </c>
    </row>
    <row r="27" spans="1:7" x14ac:dyDescent="0.35">
      <c r="A27" s="31"/>
      <c r="B27" s="31" t="s">
        <v>34</v>
      </c>
      <c r="C27" s="31"/>
      <c r="D27" s="31">
        <v>490</v>
      </c>
      <c r="E27" s="31">
        <f>SUM(E7:E26)</f>
        <v>138</v>
      </c>
      <c r="F27" s="31">
        <f t="shared" si="1"/>
        <v>-352</v>
      </c>
      <c r="G27" s="35">
        <f t="shared" si="2"/>
        <v>0.28163265306122448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9141-4CE7-4868-B8C7-8B2B1F8A94F0}">
  <dimension ref="A1:N29"/>
  <sheetViews>
    <sheetView workbookViewId="0">
      <selection activeCell="C4" sqref="C4:G4"/>
    </sheetView>
  </sheetViews>
  <sheetFormatPr defaultRowHeight="14.5" x14ac:dyDescent="0.35"/>
  <cols>
    <col min="1" max="1" width="4.453125" customWidth="1"/>
    <col min="2" max="2" width="36.08984375" customWidth="1"/>
    <col min="7" max="7" width="8.7265625" style="6"/>
    <col min="9" max="9" width="3.36328125" customWidth="1"/>
    <col min="10" max="10" width="16.90625" customWidth="1"/>
    <col min="11" max="11" width="11.453125" customWidth="1"/>
  </cols>
  <sheetData>
    <row r="1" spans="1:14" x14ac:dyDescent="0.35">
      <c r="B1" s="5" t="s">
        <v>25</v>
      </c>
    </row>
    <row r="2" spans="1:14" x14ac:dyDescent="0.35">
      <c r="B2" s="5" t="s">
        <v>818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819</v>
      </c>
      <c r="K5" s="21">
        <v>4</v>
      </c>
      <c r="L5" s="21">
        <v>150</v>
      </c>
      <c r="M5" s="21">
        <v>100</v>
      </c>
      <c r="N5" s="22">
        <f>M5/L5*100%</f>
        <v>0.66666666666666663</v>
      </c>
    </row>
    <row r="6" spans="1:14" x14ac:dyDescent="0.35">
      <c r="A6" s="168"/>
      <c r="B6" s="169"/>
      <c r="C6" s="170"/>
      <c r="D6" s="170"/>
      <c r="E6" s="170"/>
      <c r="F6" s="170"/>
      <c r="G6" s="171"/>
      <c r="I6" s="21">
        <v>2</v>
      </c>
      <c r="J6" s="21" t="s">
        <v>820</v>
      </c>
      <c r="K6" s="21">
        <v>5</v>
      </c>
      <c r="L6" s="21">
        <v>150</v>
      </c>
      <c r="M6" s="21">
        <v>100</v>
      </c>
      <c r="N6" s="22">
        <f t="shared" ref="N6:N8" si="0">M6/L6*100%</f>
        <v>0.66666666666666663</v>
      </c>
    </row>
    <row r="7" spans="1:14" x14ac:dyDescent="0.35">
      <c r="A7" s="31">
        <v>1</v>
      </c>
      <c r="B7" s="135" t="s">
        <v>821</v>
      </c>
      <c r="C7" s="133" t="s">
        <v>28</v>
      </c>
      <c r="D7" s="133">
        <v>35</v>
      </c>
      <c r="E7" s="133">
        <v>0</v>
      </c>
      <c r="F7" s="31">
        <f>E7-D7</f>
        <v>-35</v>
      </c>
      <c r="G7" s="35">
        <f>E7/D7*100%</f>
        <v>0</v>
      </c>
      <c r="I7" s="21">
        <v>3</v>
      </c>
      <c r="J7" s="21" t="s">
        <v>816</v>
      </c>
      <c r="K7" s="21">
        <v>5</v>
      </c>
      <c r="L7" s="21">
        <v>150</v>
      </c>
      <c r="M7" s="21">
        <v>15</v>
      </c>
      <c r="N7" s="22">
        <f t="shared" si="0"/>
        <v>0.1</v>
      </c>
    </row>
    <row r="8" spans="1:14" x14ac:dyDescent="0.35">
      <c r="A8" s="31">
        <v>2</v>
      </c>
      <c r="B8" s="151" t="s">
        <v>822</v>
      </c>
      <c r="C8" s="133" t="s">
        <v>823</v>
      </c>
      <c r="D8" s="133">
        <v>25</v>
      </c>
      <c r="E8" s="133">
        <v>10</v>
      </c>
      <c r="F8" s="31">
        <f t="shared" ref="F8:F29" si="1">E8-D8</f>
        <v>-15</v>
      </c>
      <c r="G8" s="35">
        <f t="shared" ref="G8:G29" si="2">E8/D8*100%</f>
        <v>0.4</v>
      </c>
      <c r="I8" s="21">
        <v>4</v>
      </c>
      <c r="J8" s="21" t="s">
        <v>844</v>
      </c>
      <c r="K8" s="21">
        <v>4</v>
      </c>
      <c r="L8" s="21">
        <v>150</v>
      </c>
      <c r="M8" s="21">
        <v>30</v>
      </c>
      <c r="N8" s="22">
        <f t="shared" si="0"/>
        <v>0.2</v>
      </c>
    </row>
    <row r="9" spans="1:14" x14ac:dyDescent="0.35">
      <c r="A9" s="31">
        <v>3</v>
      </c>
      <c r="B9" s="152" t="s">
        <v>824</v>
      </c>
      <c r="C9" s="133" t="s">
        <v>823</v>
      </c>
      <c r="D9" s="133">
        <v>25</v>
      </c>
      <c r="E9" s="133">
        <v>56</v>
      </c>
      <c r="F9" s="31">
        <f t="shared" si="1"/>
        <v>31</v>
      </c>
      <c r="G9" s="35">
        <f t="shared" si="2"/>
        <v>2.2400000000000002</v>
      </c>
    </row>
    <row r="10" spans="1:14" x14ac:dyDescent="0.35">
      <c r="A10" s="31">
        <v>4</v>
      </c>
      <c r="B10" s="151" t="s">
        <v>825</v>
      </c>
      <c r="C10" s="146" t="s">
        <v>823</v>
      </c>
      <c r="D10" s="146">
        <v>25</v>
      </c>
      <c r="E10" s="146">
        <v>16</v>
      </c>
      <c r="F10" s="31">
        <f t="shared" si="1"/>
        <v>-9</v>
      </c>
      <c r="G10" s="35">
        <f t="shared" si="2"/>
        <v>0.64</v>
      </c>
    </row>
    <row r="11" spans="1:14" x14ac:dyDescent="0.35">
      <c r="A11" s="31">
        <v>5</v>
      </c>
      <c r="B11" s="151" t="s">
        <v>826</v>
      </c>
      <c r="C11" s="146" t="s">
        <v>823</v>
      </c>
      <c r="D11" s="147">
        <v>25</v>
      </c>
      <c r="E11" s="147">
        <v>18</v>
      </c>
      <c r="F11" s="31">
        <f t="shared" si="1"/>
        <v>-7</v>
      </c>
      <c r="G11" s="35">
        <f t="shared" si="2"/>
        <v>0.72</v>
      </c>
    </row>
    <row r="12" spans="1:14" x14ac:dyDescent="0.35">
      <c r="A12" s="31">
        <v>6</v>
      </c>
      <c r="B12" s="135" t="s">
        <v>827</v>
      </c>
      <c r="C12" s="133" t="s">
        <v>28</v>
      </c>
      <c r="D12" s="133">
        <v>25</v>
      </c>
      <c r="E12" s="133">
        <v>0</v>
      </c>
      <c r="F12" s="31">
        <f t="shared" si="1"/>
        <v>-25</v>
      </c>
      <c r="G12" s="35">
        <f t="shared" si="2"/>
        <v>0</v>
      </c>
    </row>
    <row r="13" spans="1:14" x14ac:dyDescent="0.35">
      <c r="A13" s="31">
        <v>7</v>
      </c>
      <c r="B13" s="151" t="s">
        <v>828</v>
      </c>
      <c r="C13" s="133" t="s">
        <v>823</v>
      </c>
      <c r="D13" s="133">
        <v>25</v>
      </c>
      <c r="E13" s="133">
        <v>30</v>
      </c>
      <c r="F13" s="31">
        <f t="shared" si="1"/>
        <v>5</v>
      </c>
      <c r="G13" s="35">
        <f t="shared" si="2"/>
        <v>1.2</v>
      </c>
    </row>
    <row r="14" spans="1:14" x14ac:dyDescent="0.35">
      <c r="A14" s="31">
        <v>8</v>
      </c>
      <c r="B14" s="151" t="s">
        <v>829</v>
      </c>
      <c r="C14" s="133" t="s">
        <v>823</v>
      </c>
      <c r="D14" s="133">
        <v>25</v>
      </c>
      <c r="E14" s="133">
        <v>12</v>
      </c>
      <c r="F14" s="31">
        <f t="shared" si="1"/>
        <v>-13</v>
      </c>
      <c r="G14" s="35">
        <f t="shared" si="2"/>
        <v>0.48</v>
      </c>
    </row>
    <row r="15" spans="1:14" x14ac:dyDescent="0.35">
      <c r="A15" s="31">
        <v>9</v>
      </c>
      <c r="B15" s="151" t="s">
        <v>830</v>
      </c>
      <c r="C15" s="147" t="s">
        <v>823</v>
      </c>
      <c r="D15" s="147">
        <v>25</v>
      </c>
      <c r="E15" s="147">
        <v>13</v>
      </c>
      <c r="F15" s="31">
        <f t="shared" si="1"/>
        <v>-12</v>
      </c>
      <c r="G15" s="35">
        <f t="shared" si="2"/>
        <v>0.52</v>
      </c>
    </row>
    <row r="16" spans="1:14" x14ac:dyDescent="0.35">
      <c r="A16" s="31">
        <v>10</v>
      </c>
      <c r="B16" s="151" t="s">
        <v>831</v>
      </c>
      <c r="C16" s="133" t="s">
        <v>823</v>
      </c>
      <c r="D16" s="133">
        <v>25</v>
      </c>
      <c r="E16" s="133">
        <v>29</v>
      </c>
      <c r="F16" s="31">
        <f t="shared" si="1"/>
        <v>4</v>
      </c>
      <c r="G16" s="35">
        <f t="shared" si="2"/>
        <v>1.1599999999999999</v>
      </c>
    </row>
    <row r="17" spans="1:7" x14ac:dyDescent="0.35">
      <c r="A17" s="31">
        <v>11</v>
      </c>
      <c r="B17" s="151" t="s">
        <v>832</v>
      </c>
      <c r="C17" s="153" t="s">
        <v>823</v>
      </c>
      <c r="D17" s="147">
        <v>25</v>
      </c>
      <c r="E17" s="147">
        <v>16</v>
      </c>
      <c r="F17" s="31">
        <f t="shared" si="1"/>
        <v>-9</v>
      </c>
      <c r="G17" s="35">
        <f t="shared" si="2"/>
        <v>0.64</v>
      </c>
    </row>
    <row r="18" spans="1:7" x14ac:dyDescent="0.35">
      <c r="A18" s="31">
        <v>12</v>
      </c>
      <c r="B18" s="154" t="s">
        <v>833</v>
      </c>
      <c r="C18" s="133" t="s">
        <v>28</v>
      </c>
      <c r="D18" s="133">
        <v>35</v>
      </c>
      <c r="E18" s="133">
        <v>0</v>
      </c>
      <c r="F18" s="31">
        <f t="shared" si="1"/>
        <v>-35</v>
      </c>
      <c r="G18" s="35">
        <f t="shared" si="2"/>
        <v>0</v>
      </c>
    </row>
    <row r="19" spans="1:7" x14ac:dyDescent="0.35">
      <c r="A19" s="31">
        <v>13</v>
      </c>
      <c r="B19" s="154" t="s">
        <v>834</v>
      </c>
      <c r="C19" s="133" t="s">
        <v>823</v>
      </c>
      <c r="D19" s="133">
        <v>25</v>
      </c>
      <c r="E19" s="133">
        <v>2</v>
      </c>
      <c r="F19" s="31">
        <f t="shared" si="1"/>
        <v>-23</v>
      </c>
      <c r="G19" s="35">
        <f t="shared" si="2"/>
        <v>0.08</v>
      </c>
    </row>
    <row r="20" spans="1:7" x14ac:dyDescent="0.35">
      <c r="A20" s="31">
        <v>14</v>
      </c>
      <c r="B20" s="154" t="s">
        <v>835</v>
      </c>
      <c r="C20" s="133" t="s">
        <v>30</v>
      </c>
      <c r="D20" s="133">
        <v>25</v>
      </c>
      <c r="E20" s="133">
        <v>1</v>
      </c>
      <c r="F20" s="31">
        <f t="shared" si="1"/>
        <v>-24</v>
      </c>
      <c r="G20" s="35">
        <f t="shared" si="2"/>
        <v>0.04</v>
      </c>
    </row>
    <row r="21" spans="1:7" x14ac:dyDescent="0.35">
      <c r="A21" s="31">
        <v>15</v>
      </c>
      <c r="B21" s="154" t="s">
        <v>836</v>
      </c>
      <c r="C21" s="133" t="s">
        <v>823</v>
      </c>
      <c r="D21" s="133">
        <v>25</v>
      </c>
      <c r="E21" s="133">
        <v>9</v>
      </c>
      <c r="F21" s="31">
        <f t="shared" si="1"/>
        <v>-16</v>
      </c>
      <c r="G21" s="35">
        <f t="shared" si="2"/>
        <v>0.36</v>
      </c>
    </row>
    <row r="22" spans="1:7" x14ac:dyDescent="0.35">
      <c r="A22" s="31">
        <v>16</v>
      </c>
      <c r="B22" s="154" t="s">
        <v>837</v>
      </c>
      <c r="C22" s="133" t="s">
        <v>823</v>
      </c>
      <c r="D22" s="133">
        <v>25</v>
      </c>
      <c r="E22" s="133">
        <v>1</v>
      </c>
      <c r="F22" s="31">
        <f t="shared" si="1"/>
        <v>-24</v>
      </c>
      <c r="G22" s="35">
        <f t="shared" si="2"/>
        <v>0.04</v>
      </c>
    </row>
    <row r="23" spans="1:7" x14ac:dyDescent="0.35">
      <c r="A23" s="31">
        <v>17</v>
      </c>
      <c r="B23" s="155" t="s">
        <v>838</v>
      </c>
      <c r="C23" s="133" t="s">
        <v>823</v>
      </c>
      <c r="D23" s="133">
        <v>25</v>
      </c>
      <c r="E23" s="133">
        <v>2</v>
      </c>
      <c r="F23" s="31">
        <f t="shared" si="1"/>
        <v>-23</v>
      </c>
      <c r="G23" s="35">
        <f t="shared" si="2"/>
        <v>0.08</v>
      </c>
    </row>
    <row r="24" spans="1:7" x14ac:dyDescent="0.35">
      <c r="A24" s="31">
        <v>18</v>
      </c>
      <c r="B24" s="156" t="s">
        <v>839</v>
      </c>
      <c r="C24" s="133" t="s">
        <v>28</v>
      </c>
      <c r="D24" s="133">
        <v>25</v>
      </c>
      <c r="E24" s="133">
        <v>0</v>
      </c>
      <c r="F24" s="31">
        <f t="shared" si="1"/>
        <v>-25</v>
      </c>
      <c r="G24" s="35">
        <f t="shared" si="2"/>
        <v>0</v>
      </c>
    </row>
    <row r="25" spans="1:7" x14ac:dyDescent="0.35">
      <c r="A25" s="31">
        <v>19</v>
      </c>
      <c r="B25" s="151" t="s">
        <v>840</v>
      </c>
      <c r="C25" s="146" t="s">
        <v>823</v>
      </c>
      <c r="D25" s="146">
        <v>25</v>
      </c>
      <c r="E25" s="146">
        <v>5</v>
      </c>
      <c r="F25" s="31">
        <f t="shared" si="1"/>
        <v>-20</v>
      </c>
      <c r="G25" s="35">
        <f t="shared" si="2"/>
        <v>0.2</v>
      </c>
    </row>
    <row r="26" spans="1:7" x14ac:dyDescent="0.35">
      <c r="A26" s="31">
        <v>20</v>
      </c>
      <c r="B26" s="157" t="s">
        <v>841</v>
      </c>
      <c r="C26" s="135"/>
      <c r="D26" s="148">
        <v>25</v>
      </c>
      <c r="E26" s="148">
        <v>0</v>
      </c>
      <c r="F26" s="31">
        <f t="shared" si="1"/>
        <v>-25</v>
      </c>
      <c r="G26" s="35">
        <f t="shared" si="2"/>
        <v>0</v>
      </c>
    </row>
    <row r="27" spans="1:7" x14ac:dyDescent="0.35">
      <c r="A27" s="31">
        <v>21</v>
      </c>
      <c r="B27" s="152" t="s">
        <v>842</v>
      </c>
      <c r="C27" s="149" t="s">
        <v>30</v>
      </c>
      <c r="D27" s="150">
        <v>25</v>
      </c>
      <c r="E27" s="148">
        <v>10</v>
      </c>
      <c r="F27" s="31">
        <f t="shared" si="1"/>
        <v>-15</v>
      </c>
      <c r="G27" s="35">
        <f t="shared" si="2"/>
        <v>0.4</v>
      </c>
    </row>
    <row r="28" spans="1:7" x14ac:dyDescent="0.35">
      <c r="A28" s="31">
        <v>22</v>
      </c>
      <c r="B28" s="152" t="s">
        <v>843</v>
      </c>
      <c r="C28" s="149" t="s">
        <v>30</v>
      </c>
      <c r="D28" s="150">
        <v>25</v>
      </c>
      <c r="E28" s="148">
        <v>15</v>
      </c>
      <c r="F28" s="31">
        <f t="shared" si="1"/>
        <v>-10</v>
      </c>
      <c r="G28" s="35">
        <f t="shared" si="2"/>
        <v>0.6</v>
      </c>
    </row>
    <row r="29" spans="1:7" x14ac:dyDescent="0.35">
      <c r="A29" s="31"/>
      <c r="B29" s="31" t="s">
        <v>34</v>
      </c>
      <c r="C29" s="31"/>
      <c r="D29" s="31">
        <v>600</v>
      </c>
      <c r="E29" s="31">
        <f>SUM(E7:E28)</f>
        <v>245</v>
      </c>
      <c r="F29" s="31">
        <f t="shared" si="1"/>
        <v>-355</v>
      </c>
      <c r="G29" s="35">
        <f t="shared" si="2"/>
        <v>0.40833333333333333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7E59-E8E5-4C42-9AC7-999C5C44F21C}">
  <dimension ref="A1:G12"/>
  <sheetViews>
    <sheetView workbookViewId="0">
      <selection activeCell="C4" sqref="C4:G4"/>
    </sheetView>
  </sheetViews>
  <sheetFormatPr defaultRowHeight="14.5" x14ac:dyDescent="0.35"/>
  <cols>
    <col min="1" max="1" width="4.7265625" customWidth="1"/>
    <col min="2" max="2" width="27.90625" customWidth="1"/>
    <col min="7" max="7" width="8.7265625" style="6"/>
  </cols>
  <sheetData>
    <row r="1" spans="1:7" x14ac:dyDescent="0.35">
      <c r="B1" s="5" t="s">
        <v>25</v>
      </c>
    </row>
    <row r="2" spans="1:7" x14ac:dyDescent="0.35">
      <c r="B2" s="5" t="s">
        <v>26</v>
      </c>
    </row>
    <row r="4" spans="1:7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</row>
    <row r="5" spans="1:7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</row>
    <row r="6" spans="1:7" x14ac:dyDescent="0.35">
      <c r="A6" s="168"/>
      <c r="B6" s="169"/>
      <c r="C6" s="170"/>
      <c r="D6" s="170"/>
      <c r="E6" s="170"/>
      <c r="F6" s="170"/>
      <c r="G6" s="171"/>
    </row>
    <row r="7" spans="1:7" x14ac:dyDescent="0.35">
      <c r="A7" s="9">
        <v>1</v>
      </c>
      <c r="B7" s="12" t="s">
        <v>27</v>
      </c>
      <c r="C7" s="17" t="s">
        <v>28</v>
      </c>
      <c r="D7" s="18">
        <v>35</v>
      </c>
      <c r="E7" s="13">
        <v>6</v>
      </c>
      <c r="F7" s="9">
        <f>E7-D7</f>
        <v>-29</v>
      </c>
      <c r="G7" s="11">
        <f>E7/D7*100%</f>
        <v>0.17142857142857143</v>
      </c>
    </row>
    <row r="8" spans="1:7" x14ac:dyDescent="0.35">
      <c r="A8" s="9">
        <v>2</v>
      </c>
      <c r="B8" s="12" t="s">
        <v>29</v>
      </c>
      <c r="C8" s="19" t="s">
        <v>30</v>
      </c>
      <c r="D8" s="10">
        <v>25</v>
      </c>
      <c r="E8" s="13">
        <v>18</v>
      </c>
      <c r="F8" s="9">
        <f t="shared" ref="F8:F12" si="0">E8-D8</f>
        <v>-7</v>
      </c>
      <c r="G8" s="11">
        <f t="shared" ref="G8:G12" si="1">E8/D8*100%</f>
        <v>0.72</v>
      </c>
    </row>
    <row r="9" spans="1:7" x14ac:dyDescent="0.35">
      <c r="A9" s="9">
        <v>3</v>
      </c>
      <c r="B9" s="14" t="s">
        <v>31</v>
      </c>
      <c r="C9" s="17" t="s">
        <v>30</v>
      </c>
      <c r="D9" s="15">
        <v>25</v>
      </c>
      <c r="E9" s="13">
        <v>8</v>
      </c>
      <c r="F9" s="9">
        <f t="shared" si="0"/>
        <v>-17</v>
      </c>
      <c r="G9" s="11">
        <f t="shared" si="1"/>
        <v>0.32</v>
      </c>
    </row>
    <row r="10" spans="1:7" x14ac:dyDescent="0.35">
      <c r="A10" s="9">
        <v>4</v>
      </c>
      <c r="B10" s="14" t="s">
        <v>32</v>
      </c>
      <c r="C10" s="20" t="s">
        <v>30</v>
      </c>
      <c r="D10" s="15">
        <v>25</v>
      </c>
      <c r="E10" s="13">
        <v>3</v>
      </c>
      <c r="F10" s="9">
        <f t="shared" si="0"/>
        <v>-22</v>
      </c>
      <c r="G10" s="11">
        <f t="shared" si="1"/>
        <v>0.12</v>
      </c>
    </row>
    <row r="11" spans="1:7" x14ac:dyDescent="0.35">
      <c r="A11" s="9">
        <v>5</v>
      </c>
      <c r="B11" s="12" t="s">
        <v>33</v>
      </c>
      <c r="C11" s="20" t="s">
        <v>30</v>
      </c>
      <c r="D11" s="10">
        <v>25</v>
      </c>
      <c r="E11" s="16">
        <v>9</v>
      </c>
      <c r="F11" s="9">
        <f t="shared" si="0"/>
        <v>-16</v>
      </c>
      <c r="G11" s="11">
        <f t="shared" si="1"/>
        <v>0.36</v>
      </c>
    </row>
    <row r="12" spans="1:7" x14ac:dyDescent="0.35">
      <c r="A12" s="9"/>
      <c r="B12" s="9" t="s">
        <v>34</v>
      </c>
      <c r="C12" s="9"/>
      <c r="D12" s="9">
        <v>150</v>
      </c>
      <c r="E12" s="9">
        <f>SUM(E7:E11)</f>
        <v>44</v>
      </c>
      <c r="F12" s="9">
        <f t="shared" si="0"/>
        <v>-106</v>
      </c>
      <c r="G12" s="11">
        <f t="shared" si="1"/>
        <v>0.29333333333333333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horizontalDpi="360" verticalDpi="36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96E5-8D0A-4EE3-9891-7CB5B350D1DE}">
  <dimension ref="A1:N21"/>
  <sheetViews>
    <sheetView workbookViewId="0">
      <selection activeCell="C4" sqref="C4:G4"/>
    </sheetView>
  </sheetViews>
  <sheetFormatPr defaultRowHeight="14.5" x14ac:dyDescent="0.35"/>
  <cols>
    <col min="1" max="1" width="3.54296875" customWidth="1"/>
    <col min="2" max="2" width="25" customWidth="1"/>
    <col min="7" max="7" width="8.7265625" style="6"/>
    <col min="9" max="9" width="4.6328125" customWidth="1"/>
    <col min="10" max="10" width="16.26953125" customWidth="1"/>
    <col min="11" max="11" width="10.26953125" style="4" customWidth="1"/>
    <col min="14" max="14" width="8.7265625" style="6"/>
  </cols>
  <sheetData>
    <row r="1" spans="1:14" x14ac:dyDescent="0.35">
      <c r="B1" s="5" t="s">
        <v>25</v>
      </c>
    </row>
    <row r="2" spans="1:14" x14ac:dyDescent="0.35">
      <c r="B2" s="5" t="s">
        <v>26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9">
        <v>1</v>
      </c>
      <c r="J5" s="21" t="s">
        <v>49</v>
      </c>
      <c r="K5" s="26">
        <v>7</v>
      </c>
      <c r="L5" s="21">
        <v>190</v>
      </c>
      <c r="M5" s="9">
        <v>111</v>
      </c>
      <c r="N5" s="11">
        <f>M5/L5*100%</f>
        <v>0.58421052631578951</v>
      </c>
    </row>
    <row r="6" spans="1:14" x14ac:dyDescent="0.35">
      <c r="A6" s="168"/>
      <c r="B6" s="169"/>
      <c r="C6" s="170"/>
      <c r="D6" s="170"/>
      <c r="E6" s="170"/>
      <c r="F6" s="170"/>
      <c r="G6" s="171"/>
      <c r="I6" s="9">
        <v>2</v>
      </c>
      <c r="J6" s="21" t="s">
        <v>50</v>
      </c>
      <c r="K6" s="26">
        <v>5</v>
      </c>
      <c r="L6" s="21">
        <v>150</v>
      </c>
      <c r="M6" s="9">
        <v>94</v>
      </c>
      <c r="N6" s="11">
        <f>M6/L6*100%</f>
        <v>0.62666666666666671</v>
      </c>
    </row>
    <row r="7" spans="1:14" x14ac:dyDescent="0.35">
      <c r="A7" s="9">
        <v>1</v>
      </c>
      <c r="B7" s="14" t="s">
        <v>35</v>
      </c>
      <c r="C7" s="23" t="s">
        <v>28</v>
      </c>
      <c r="D7" s="18">
        <v>35</v>
      </c>
      <c r="E7" s="13">
        <v>0</v>
      </c>
      <c r="F7" s="9">
        <f>E7-D7</f>
        <v>-35</v>
      </c>
      <c r="G7" s="11">
        <f>E7/D7*100%</f>
        <v>0</v>
      </c>
    </row>
    <row r="8" spans="1:14" x14ac:dyDescent="0.35">
      <c r="A8" s="9">
        <v>2</v>
      </c>
      <c r="B8" s="14" t="s">
        <v>36</v>
      </c>
      <c r="C8" s="24" t="s">
        <v>30</v>
      </c>
      <c r="D8" s="25">
        <v>25</v>
      </c>
      <c r="E8" s="13">
        <v>37</v>
      </c>
      <c r="F8" s="9">
        <f t="shared" ref="F8:F21" si="0">E8-D8</f>
        <v>12</v>
      </c>
      <c r="G8" s="11">
        <f t="shared" ref="G8:G21" si="1">E8/D8*100%</f>
        <v>1.48</v>
      </c>
    </row>
    <row r="9" spans="1:14" x14ac:dyDescent="0.35">
      <c r="A9" s="9">
        <v>3</v>
      </c>
      <c r="B9" s="14" t="s">
        <v>37</v>
      </c>
      <c r="C9" s="24" t="s">
        <v>30</v>
      </c>
      <c r="D9" s="25">
        <v>25</v>
      </c>
      <c r="E9" s="13">
        <v>21</v>
      </c>
      <c r="F9" s="9">
        <f t="shared" si="0"/>
        <v>-4</v>
      </c>
      <c r="G9" s="11">
        <f t="shared" si="1"/>
        <v>0.84</v>
      </c>
    </row>
    <row r="10" spans="1:14" x14ac:dyDescent="0.35">
      <c r="A10" s="9">
        <v>4</v>
      </c>
      <c r="B10" s="14" t="s">
        <v>38</v>
      </c>
      <c r="C10" s="24" t="s">
        <v>30</v>
      </c>
      <c r="D10" s="25">
        <v>25</v>
      </c>
      <c r="E10" s="13">
        <v>8</v>
      </c>
      <c r="F10" s="9">
        <f t="shared" si="0"/>
        <v>-17</v>
      </c>
      <c r="G10" s="11">
        <f t="shared" si="1"/>
        <v>0.32</v>
      </c>
    </row>
    <row r="11" spans="1:14" x14ac:dyDescent="0.35">
      <c r="A11" s="9">
        <v>5</v>
      </c>
      <c r="B11" s="14" t="s">
        <v>39</v>
      </c>
      <c r="C11" s="24" t="s">
        <v>30</v>
      </c>
      <c r="D11" s="25">
        <v>25</v>
      </c>
      <c r="E11" s="13">
        <v>3</v>
      </c>
      <c r="F11" s="9">
        <f t="shared" si="0"/>
        <v>-22</v>
      </c>
      <c r="G11" s="11">
        <f t="shared" si="1"/>
        <v>0.12</v>
      </c>
    </row>
    <row r="12" spans="1:14" ht="29" x14ac:dyDescent="0.35">
      <c r="A12" s="9">
        <v>6</v>
      </c>
      <c r="B12" s="14" t="s">
        <v>40</v>
      </c>
      <c r="C12" s="24" t="s">
        <v>30</v>
      </c>
      <c r="D12" s="25">
        <v>25</v>
      </c>
      <c r="E12" s="13">
        <v>17</v>
      </c>
      <c r="F12" s="9">
        <f t="shared" si="0"/>
        <v>-8</v>
      </c>
      <c r="G12" s="11">
        <f t="shared" si="1"/>
        <v>0.68</v>
      </c>
    </row>
    <row r="13" spans="1:14" x14ac:dyDescent="0.35">
      <c r="A13" s="9">
        <v>7</v>
      </c>
      <c r="B13" s="14" t="s">
        <v>41</v>
      </c>
      <c r="C13" s="24" t="s">
        <v>30</v>
      </c>
      <c r="D13" s="25">
        <v>25</v>
      </c>
      <c r="E13" s="13">
        <v>19</v>
      </c>
      <c r="F13" s="9">
        <f t="shared" si="0"/>
        <v>-6</v>
      </c>
      <c r="G13" s="11">
        <f t="shared" si="1"/>
        <v>0.76</v>
      </c>
    </row>
    <row r="14" spans="1:14" x14ac:dyDescent="0.35">
      <c r="A14" s="9">
        <v>8</v>
      </c>
      <c r="B14" s="14" t="s">
        <v>42</v>
      </c>
      <c r="C14" s="24" t="s">
        <v>30</v>
      </c>
      <c r="D14" s="25">
        <v>25</v>
      </c>
      <c r="E14" s="13">
        <v>6</v>
      </c>
      <c r="F14" s="9">
        <f t="shared" si="0"/>
        <v>-19</v>
      </c>
      <c r="G14" s="11">
        <f t="shared" si="1"/>
        <v>0.24</v>
      </c>
    </row>
    <row r="15" spans="1:14" ht="29" x14ac:dyDescent="0.35">
      <c r="A15" s="9">
        <v>9</v>
      </c>
      <c r="B15" s="14" t="s">
        <v>43</v>
      </c>
      <c r="C15" s="23" t="s">
        <v>28</v>
      </c>
      <c r="D15" s="18">
        <v>35</v>
      </c>
      <c r="E15" s="13">
        <v>0</v>
      </c>
      <c r="F15" s="9">
        <f t="shared" si="0"/>
        <v>-35</v>
      </c>
      <c r="G15" s="11">
        <f t="shared" si="1"/>
        <v>0</v>
      </c>
    </row>
    <row r="16" spans="1:14" x14ac:dyDescent="0.35">
      <c r="A16" s="9">
        <v>10</v>
      </c>
      <c r="B16" s="14" t="s">
        <v>44</v>
      </c>
      <c r="C16" s="24" t="s">
        <v>30</v>
      </c>
      <c r="D16" s="25">
        <v>25</v>
      </c>
      <c r="E16" s="13">
        <v>23</v>
      </c>
      <c r="F16" s="9">
        <f t="shared" si="0"/>
        <v>-2</v>
      </c>
      <c r="G16" s="11">
        <f t="shared" si="1"/>
        <v>0.92</v>
      </c>
    </row>
    <row r="17" spans="1:7" x14ac:dyDescent="0.35">
      <c r="A17" s="9">
        <v>11</v>
      </c>
      <c r="B17" s="14" t="s">
        <v>45</v>
      </c>
      <c r="C17" s="24" t="s">
        <v>30</v>
      </c>
      <c r="D17" s="25">
        <v>25</v>
      </c>
      <c r="E17" s="13">
        <v>21</v>
      </c>
      <c r="F17" s="9">
        <f t="shared" si="0"/>
        <v>-4</v>
      </c>
      <c r="G17" s="11">
        <f t="shared" si="1"/>
        <v>0.84</v>
      </c>
    </row>
    <row r="18" spans="1:7" x14ac:dyDescent="0.35">
      <c r="A18" s="9">
        <v>12</v>
      </c>
      <c r="B18" s="14" t="s">
        <v>46</v>
      </c>
      <c r="C18" s="24" t="s">
        <v>30</v>
      </c>
      <c r="D18" s="25">
        <v>25</v>
      </c>
      <c r="E18" s="13">
        <v>10</v>
      </c>
      <c r="F18" s="9">
        <f t="shared" si="0"/>
        <v>-15</v>
      </c>
      <c r="G18" s="11">
        <f t="shared" si="1"/>
        <v>0.4</v>
      </c>
    </row>
    <row r="19" spans="1:7" x14ac:dyDescent="0.35">
      <c r="A19" s="9">
        <v>13</v>
      </c>
      <c r="B19" s="14" t="s">
        <v>47</v>
      </c>
      <c r="C19" s="24" t="s">
        <v>30</v>
      </c>
      <c r="D19" s="25">
        <v>25</v>
      </c>
      <c r="E19" s="13">
        <v>36</v>
      </c>
      <c r="F19" s="9">
        <f t="shared" si="0"/>
        <v>11</v>
      </c>
      <c r="G19" s="11">
        <f t="shared" si="1"/>
        <v>1.44</v>
      </c>
    </row>
    <row r="20" spans="1:7" x14ac:dyDescent="0.35">
      <c r="A20" s="9">
        <v>14</v>
      </c>
      <c r="B20" s="12" t="s">
        <v>48</v>
      </c>
      <c r="C20" s="24" t="s">
        <v>30</v>
      </c>
      <c r="D20" s="25">
        <v>25</v>
      </c>
      <c r="E20" s="13">
        <v>4</v>
      </c>
      <c r="F20" s="9">
        <f t="shared" si="0"/>
        <v>-21</v>
      </c>
      <c r="G20" s="11">
        <f t="shared" si="1"/>
        <v>0.16</v>
      </c>
    </row>
    <row r="21" spans="1:7" x14ac:dyDescent="0.35">
      <c r="A21" s="9"/>
      <c r="B21" s="9" t="s">
        <v>34</v>
      </c>
      <c r="C21" s="9"/>
      <c r="D21" s="9">
        <v>340</v>
      </c>
      <c r="E21" s="9">
        <f>SUM(E7:E20)</f>
        <v>205</v>
      </c>
      <c r="F21" s="9">
        <f t="shared" si="0"/>
        <v>-135</v>
      </c>
      <c r="G21" s="11">
        <f t="shared" si="1"/>
        <v>0.6029411764705882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BF93-5CB6-4159-B55C-56CD97BA8DC3}">
  <dimension ref="A1:N31"/>
  <sheetViews>
    <sheetView workbookViewId="0">
      <selection activeCell="C4" sqref="C4:G4"/>
    </sheetView>
  </sheetViews>
  <sheetFormatPr defaultRowHeight="14.5" x14ac:dyDescent="0.35"/>
  <cols>
    <col min="1" max="1" width="4.90625" customWidth="1"/>
    <col min="2" max="2" width="35.90625" customWidth="1"/>
    <col min="7" max="7" width="8.7265625" style="6"/>
    <col min="9" max="9" width="3.36328125" customWidth="1"/>
    <col min="10" max="10" width="16.26953125" customWidth="1"/>
  </cols>
  <sheetData>
    <row r="1" spans="1:14" x14ac:dyDescent="0.35">
      <c r="B1" s="5" t="s">
        <v>497</v>
      </c>
    </row>
    <row r="2" spans="1:14" x14ac:dyDescent="0.35">
      <c r="B2" s="5" t="s">
        <v>498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75" t="s">
        <v>21</v>
      </c>
      <c r="D5" s="175" t="s">
        <v>22</v>
      </c>
      <c r="E5" s="175" t="s">
        <v>23</v>
      </c>
      <c r="F5" s="175" t="s">
        <v>24</v>
      </c>
      <c r="G5" s="177" t="s">
        <v>6</v>
      </c>
      <c r="I5" s="21">
        <v>1</v>
      </c>
      <c r="J5" s="21" t="s">
        <v>525</v>
      </c>
      <c r="K5" s="21">
        <v>5</v>
      </c>
      <c r="L5" s="21">
        <v>150</v>
      </c>
      <c r="M5" s="21">
        <v>125</v>
      </c>
      <c r="N5" s="22">
        <f>M5/L5*100%</f>
        <v>0.83333333333333337</v>
      </c>
    </row>
    <row r="6" spans="1:14" x14ac:dyDescent="0.35">
      <c r="A6" s="168"/>
      <c r="B6" s="169"/>
      <c r="C6" s="176"/>
      <c r="D6" s="176"/>
      <c r="E6" s="176"/>
      <c r="F6" s="176"/>
      <c r="G6" s="178"/>
      <c r="I6" s="21">
        <v>2</v>
      </c>
      <c r="J6" s="21" t="s">
        <v>523</v>
      </c>
      <c r="K6" s="21">
        <v>5</v>
      </c>
      <c r="L6" s="21">
        <v>150</v>
      </c>
      <c r="M6" s="21">
        <v>132</v>
      </c>
      <c r="N6" s="22">
        <f t="shared" ref="N6:N8" si="0">M6/L6*100%</f>
        <v>0.88</v>
      </c>
    </row>
    <row r="7" spans="1:14" x14ac:dyDescent="0.35">
      <c r="A7" s="31">
        <v>1</v>
      </c>
      <c r="B7" s="31" t="s">
        <v>499</v>
      </c>
      <c r="C7" s="15" t="s">
        <v>28</v>
      </c>
      <c r="D7" s="15">
        <v>25</v>
      </c>
      <c r="E7" s="112">
        <v>0</v>
      </c>
      <c r="F7" s="31">
        <f>E7-D7</f>
        <v>-25</v>
      </c>
      <c r="G7" s="35">
        <f>E7/D7*100%</f>
        <v>0</v>
      </c>
      <c r="I7" s="21">
        <v>3</v>
      </c>
      <c r="J7" s="21" t="s">
        <v>526</v>
      </c>
      <c r="K7" s="21">
        <v>5</v>
      </c>
      <c r="L7" s="21">
        <v>150</v>
      </c>
      <c r="M7" s="21">
        <v>97</v>
      </c>
      <c r="N7" s="22">
        <f t="shared" si="0"/>
        <v>0.64666666666666661</v>
      </c>
    </row>
    <row r="8" spans="1:14" x14ac:dyDescent="0.35">
      <c r="A8" s="31">
        <v>2</v>
      </c>
      <c r="B8" s="31" t="s">
        <v>500</v>
      </c>
      <c r="C8" s="15" t="s">
        <v>30</v>
      </c>
      <c r="D8" s="15">
        <v>25</v>
      </c>
      <c r="E8" s="112">
        <v>27</v>
      </c>
      <c r="F8" s="31">
        <f t="shared" ref="F8:F31" si="1">E8-D8</f>
        <v>2</v>
      </c>
      <c r="G8" s="35">
        <f t="shared" ref="G8:G31" si="2">E8/D8*100%</f>
        <v>1.08</v>
      </c>
      <c r="I8" s="21">
        <v>4</v>
      </c>
      <c r="J8" s="21" t="s">
        <v>524</v>
      </c>
      <c r="K8" s="21">
        <v>5</v>
      </c>
      <c r="L8" s="21">
        <v>150</v>
      </c>
      <c r="M8" s="21">
        <v>87</v>
      </c>
      <c r="N8" s="22">
        <f t="shared" si="0"/>
        <v>0.57999999999999996</v>
      </c>
    </row>
    <row r="9" spans="1:14" x14ac:dyDescent="0.35">
      <c r="A9" s="31">
        <v>3</v>
      </c>
      <c r="B9" s="31" t="s">
        <v>501</v>
      </c>
      <c r="C9" s="15" t="s">
        <v>30</v>
      </c>
      <c r="D9" s="15">
        <v>25</v>
      </c>
      <c r="E9" s="112">
        <v>26</v>
      </c>
      <c r="F9" s="31">
        <f t="shared" si="1"/>
        <v>1</v>
      </c>
      <c r="G9" s="35">
        <f t="shared" si="2"/>
        <v>1.04</v>
      </c>
    </row>
    <row r="10" spans="1:14" x14ac:dyDescent="0.35">
      <c r="A10" s="31">
        <v>4</v>
      </c>
      <c r="B10" s="31" t="s">
        <v>502</v>
      </c>
      <c r="C10" s="15" t="s">
        <v>30</v>
      </c>
      <c r="D10" s="15">
        <v>25</v>
      </c>
      <c r="E10" s="112">
        <v>22</v>
      </c>
      <c r="F10" s="31">
        <f t="shared" si="1"/>
        <v>-3</v>
      </c>
      <c r="G10" s="35">
        <f t="shared" si="2"/>
        <v>0.88</v>
      </c>
    </row>
    <row r="11" spans="1:14" x14ac:dyDescent="0.35">
      <c r="A11" s="31">
        <v>5</v>
      </c>
      <c r="B11" s="31" t="s">
        <v>503</v>
      </c>
      <c r="C11" s="15" t="s">
        <v>30</v>
      </c>
      <c r="D11" s="15">
        <v>25</v>
      </c>
      <c r="E11" s="112">
        <v>24</v>
      </c>
      <c r="F11" s="31">
        <f t="shared" si="1"/>
        <v>-1</v>
      </c>
      <c r="G11" s="35">
        <f t="shared" si="2"/>
        <v>0.96</v>
      </c>
    </row>
    <row r="12" spans="1:14" x14ac:dyDescent="0.35">
      <c r="A12" s="31">
        <v>6</v>
      </c>
      <c r="B12" s="31" t="s">
        <v>504</v>
      </c>
      <c r="C12" s="15" t="s">
        <v>30</v>
      </c>
      <c r="D12" s="15">
        <v>25</v>
      </c>
      <c r="E12" s="112">
        <v>26</v>
      </c>
      <c r="F12" s="31">
        <f t="shared" si="1"/>
        <v>1</v>
      </c>
      <c r="G12" s="35">
        <f t="shared" si="2"/>
        <v>1.04</v>
      </c>
    </row>
    <row r="13" spans="1:14" x14ac:dyDescent="0.35">
      <c r="A13" s="31">
        <v>7</v>
      </c>
      <c r="B13" s="113" t="s">
        <v>505</v>
      </c>
      <c r="C13" s="15" t="s">
        <v>28</v>
      </c>
      <c r="D13" s="15">
        <v>25</v>
      </c>
      <c r="E13" s="112">
        <v>0</v>
      </c>
      <c r="F13" s="31">
        <f t="shared" si="1"/>
        <v>-25</v>
      </c>
      <c r="G13" s="35">
        <f t="shared" si="2"/>
        <v>0</v>
      </c>
    </row>
    <row r="14" spans="1:14" x14ac:dyDescent="0.35">
      <c r="A14" s="31">
        <v>8</v>
      </c>
      <c r="B14" s="31" t="s">
        <v>506</v>
      </c>
      <c r="C14" s="15" t="s">
        <v>30</v>
      </c>
      <c r="D14" s="15">
        <v>25</v>
      </c>
      <c r="E14" s="112">
        <v>28</v>
      </c>
      <c r="F14" s="31">
        <f t="shared" si="1"/>
        <v>3</v>
      </c>
      <c r="G14" s="35">
        <f t="shared" si="2"/>
        <v>1.1200000000000001</v>
      </c>
    </row>
    <row r="15" spans="1:14" x14ac:dyDescent="0.35">
      <c r="A15" s="31">
        <v>9</v>
      </c>
      <c r="B15" s="31" t="s">
        <v>507</v>
      </c>
      <c r="C15" s="15" t="s">
        <v>30</v>
      </c>
      <c r="D15" s="15">
        <v>25</v>
      </c>
      <c r="E15" s="112">
        <v>20</v>
      </c>
      <c r="F15" s="31">
        <f t="shared" si="1"/>
        <v>-5</v>
      </c>
      <c r="G15" s="35">
        <f t="shared" si="2"/>
        <v>0.8</v>
      </c>
    </row>
    <row r="16" spans="1:14" x14ac:dyDescent="0.35">
      <c r="A16" s="31">
        <v>10</v>
      </c>
      <c r="B16" s="31" t="s">
        <v>508</v>
      </c>
      <c r="C16" s="15" t="s">
        <v>30</v>
      </c>
      <c r="D16" s="15">
        <v>25</v>
      </c>
      <c r="E16" s="112">
        <v>26</v>
      </c>
      <c r="F16" s="31">
        <f t="shared" si="1"/>
        <v>1</v>
      </c>
      <c r="G16" s="35">
        <f t="shared" si="2"/>
        <v>1.04</v>
      </c>
    </row>
    <row r="17" spans="1:7" x14ac:dyDescent="0.35">
      <c r="A17" s="31">
        <v>11</v>
      </c>
      <c r="B17" s="31" t="s">
        <v>509</v>
      </c>
      <c r="C17" s="15" t="s">
        <v>30</v>
      </c>
      <c r="D17" s="15">
        <v>25</v>
      </c>
      <c r="E17" s="112">
        <v>32</v>
      </c>
      <c r="F17" s="31">
        <f t="shared" si="1"/>
        <v>7</v>
      </c>
      <c r="G17" s="35">
        <f t="shared" si="2"/>
        <v>1.28</v>
      </c>
    </row>
    <row r="18" spans="1:7" x14ac:dyDescent="0.35">
      <c r="A18" s="31">
        <v>12</v>
      </c>
      <c r="B18" s="31" t="s">
        <v>510</v>
      </c>
      <c r="C18" s="15" t="s">
        <v>30</v>
      </c>
      <c r="D18" s="15">
        <v>25</v>
      </c>
      <c r="E18" s="112">
        <v>26</v>
      </c>
      <c r="F18" s="31">
        <f t="shared" si="1"/>
        <v>1</v>
      </c>
      <c r="G18" s="35">
        <f t="shared" si="2"/>
        <v>1.04</v>
      </c>
    </row>
    <row r="19" spans="1:7" x14ac:dyDescent="0.35">
      <c r="A19" s="31">
        <v>13</v>
      </c>
      <c r="B19" s="113" t="s">
        <v>511</v>
      </c>
      <c r="C19" s="15" t="s">
        <v>28</v>
      </c>
      <c r="D19" s="15">
        <v>25</v>
      </c>
      <c r="E19" s="112">
        <v>0</v>
      </c>
      <c r="F19" s="31">
        <f t="shared" si="1"/>
        <v>-25</v>
      </c>
      <c r="G19" s="35">
        <f t="shared" si="2"/>
        <v>0</v>
      </c>
    </row>
    <row r="20" spans="1:7" x14ac:dyDescent="0.35">
      <c r="A20" s="31">
        <v>14</v>
      </c>
      <c r="B20" s="31" t="s">
        <v>512</v>
      </c>
      <c r="C20" s="15" t="s">
        <v>30</v>
      </c>
      <c r="D20" s="15">
        <v>25</v>
      </c>
      <c r="E20" s="112">
        <v>27</v>
      </c>
      <c r="F20" s="31">
        <f t="shared" si="1"/>
        <v>2</v>
      </c>
      <c r="G20" s="35">
        <f t="shared" si="2"/>
        <v>1.08</v>
      </c>
    </row>
    <row r="21" spans="1:7" x14ac:dyDescent="0.35">
      <c r="A21" s="31">
        <v>15</v>
      </c>
      <c r="B21" s="108" t="s">
        <v>513</v>
      </c>
      <c r="C21" s="15" t="s">
        <v>30</v>
      </c>
      <c r="D21" s="15">
        <v>25</v>
      </c>
      <c r="E21" s="112">
        <v>17</v>
      </c>
      <c r="F21" s="31">
        <f t="shared" si="1"/>
        <v>-8</v>
      </c>
      <c r="G21" s="35">
        <f t="shared" si="2"/>
        <v>0.68</v>
      </c>
    </row>
    <row r="22" spans="1:7" x14ac:dyDescent="0.35">
      <c r="A22" s="31">
        <v>16</v>
      </c>
      <c r="B22" s="31" t="s">
        <v>514</v>
      </c>
      <c r="C22" s="15" t="s">
        <v>30</v>
      </c>
      <c r="D22" s="15">
        <v>25</v>
      </c>
      <c r="E22" s="112">
        <v>28</v>
      </c>
      <c r="F22" s="31">
        <f t="shared" si="1"/>
        <v>3</v>
      </c>
      <c r="G22" s="35">
        <f t="shared" si="2"/>
        <v>1.1200000000000001</v>
      </c>
    </row>
    <row r="23" spans="1:7" x14ac:dyDescent="0.35">
      <c r="A23" s="31">
        <v>17</v>
      </c>
      <c r="B23" s="31" t="s">
        <v>515</v>
      </c>
      <c r="C23" s="15" t="s">
        <v>30</v>
      </c>
      <c r="D23" s="15">
        <v>25</v>
      </c>
      <c r="E23" s="112">
        <v>16</v>
      </c>
      <c r="F23" s="31">
        <f t="shared" si="1"/>
        <v>-9</v>
      </c>
      <c r="G23" s="35">
        <f t="shared" si="2"/>
        <v>0.64</v>
      </c>
    </row>
    <row r="24" spans="1:7" x14ac:dyDescent="0.35">
      <c r="A24" s="31">
        <v>18</v>
      </c>
      <c r="B24" s="108" t="s">
        <v>516</v>
      </c>
      <c r="C24" s="15" t="s">
        <v>30</v>
      </c>
      <c r="D24" s="15">
        <v>25</v>
      </c>
      <c r="E24" s="112">
        <v>9</v>
      </c>
      <c r="F24" s="31">
        <f t="shared" si="1"/>
        <v>-16</v>
      </c>
      <c r="G24" s="35">
        <f t="shared" si="2"/>
        <v>0.36</v>
      </c>
    </row>
    <row r="25" spans="1:7" x14ac:dyDescent="0.35">
      <c r="A25" s="31">
        <v>19</v>
      </c>
      <c r="B25" s="113" t="s">
        <v>517</v>
      </c>
      <c r="C25" s="15" t="s">
        <v>28</v>
      </c>
      <c r="D25" s="15">
        <v>25</v>
      </c>
      <c r="E25" s="112">
        <v>0</v>
      </c>
      <c r="F25" s="31">
        <f t="shared" si="1"/>
        <v>-25</v>
      </c>
      <c r="G25" s="35">
        <f t="shared" si="2"/>
        <v>0</v>
      </c>
    </row>
    <row r="26" spans="1:7" x14ac:dyDescent="0.35">
      <c r="A26" s="31">
        <v>20</v>
      </c>
      <c r="B26" s="31" t="s">
        <v>518</v>
      </c>
      <c r="C26" s="15" t="s">
        <v>30</v>
      </c>
      <c r="D26" s="15">
        <v>25</v>
      </c>
      <c r="E26" s="112">
        <v>14</v>
      </c>
      <c r="F26" s="31">
        <f t="shared" si="1"/>
        <v>-11</v>
      </c>
      <c r="G26" s="35">
        <f t="shared" si="2"/>
        <v>0.56000000000000005</v>
      </c>
    </row>
    <row r="27" spans="1:7" x14ac:dyDescent="0.35">
      <c r="A27" s="31">
        <v>21</v>
      </c>
      <c r="B27" s="31" t="s">
        <v>519</v>
      </c>
      <c r="C27" s="15" t="s">
        <v>30</v>
      </c>
      <c r="D27" s="15">
        <v>25</v>
      </c>
      <c r="E27" s="112">
        <v>18</v>
      </c>
      <c r="F27" s="31">
        <f t="shared" si="1"/>
        <v>-7</v>
      </c>
      <c r="G27" s="35">
        <f t="shared" si="2"/>
        <v>0.72</v>
      </c>
    </row>
    <row r="28" spans="1:7" x14ac:dyDescent="0.35">
      <c r="A28" s="31">
        <v>22</v>
      </c>
      <c r="B28" s="31" t="s">
        <v>520</v>
      </c>
      <c r="C28" s="15" t="s">
        <v>30</v>
      </c>
      <c r="D28" s="15">
        <v>25</v>
      </c>
      <c r="E28" s="112">
        <v>9</v>
      </c>
      <c r="F28" s="31">
        <f t="shared" si="1"/>
        <v>-16</v>
      </c>
      <c r="G28" s="35">
        <f t="shared" si="2"/>
        <v>0.36</v>
      </c>
    </row>
    <row r="29" spans="1:7" x14ac:dyDescent="0.35">
      <c r="A29" s="31">
        <v>23</v>
      </c>
      <c r="B29" s="31" t="s">
        <v>521</v>
      </c>
      <c r="C29" s="15" t="s">
        <v>30</v>
      </c>
      <c r="D29" s="15">
        <v>25</v>
      </c>
      <c r="E29" s="112">
        <v>26</v>
      </c>
      <c r="F29" s="31">
        <f t="shared" si="1"/>
        <v>1</v>
      </c>
      <c r="G29" s="35">
        <f t="shared" si="2"/>
        <v>1.04</v>
      </c>
    </row>
    <row r="30" spans="1:7" x14ac:dyDescent="0.35">
      <c r="A30" s="31">
        <v>24</v>
      </c>
      <c r="B30" s="31" t="s">
        <v>522</v>
      </c>
      <c r="C30" s="15" t="s">
        <v>30</v>
      </c>
      <c r="D30" s="15">
        <v>25</v>
      </c>
      <c r="E30" s="112">
        <v>20</v>
      </c>
      <c r="F30" s="31">
        <f t="shared" si="1"/>
        <v>-5</v>
      </c>
      <c r="G30" s="35">
        <f t="shared" si="2"/>
        <v>0.8</v>
      </c>
    </row>
    <row r="31" spans="1:7" x14ac:dyDescent="0.35">
      <c r="A31" s="31"/>
      <c r="B31" s="31" t="s">
        <v>34</v>
      </c>
      <c r="C31" s="31"/>
      <c r="D31" s="31">
        <v>600</v>
      </c>
      <c r="E31" s="31">
        <f>SUM(E7:E30)</f>
        <v>441</v>
      </c>
      <c r="F31" s="31">
        <f t="shared" si="1"/>
        <v>-159</v>
      </c>
      <c r="G31" s="35">
        <f t="shared" si="2"/>
        <v>0.73499999999999999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DE53-7EFC-400D-8B16-95A4A7F76FCC}">
  <dimension ref="A1:N23"/>
  <sheetViews>
    <sheetView workbookViewId="0">
      <selection activeCell="I11" sqref="I11"/>
    </sheetView>
  </sheetViews>
  <sheetFormatPr defaultRowHeight="14.5" x14ac:dyDescent="0.35"/>
  <cols>
    <col min="1" max="1" width="6" customWidth="1"/>
    <col min="2" max="2" width="28.26953125" customWidth="1"/>
    <col min="7" max="7" width="8.7265625" style="6"/>
    <col min="9" max="9" width="4.90625" customWidth="1"/>
    <col min="10" max="10" width="16.54296875" customWidth="1"/>
    <col min="11" max="11" width="12.54296875" customWidth="1"/>
  </cols>
  <sheetData>
    <row r="1" spans="1:14" x14ac:dyDescent="0.35">
      <c r="B1" s="5" t="s">
        <v>497</v>
      </c>
    </row>
    <row r="2" spans="1:14" x14ac:dyDescent="0.35">
      <c r="B2" s="5" t="s">
        <v>546</v>
      </c>
    </row>
    <row r="4" spans="1:14" x14ac:dyDescent="0.35">
      <c r="A4" s="158" t="s">
        <v>19</v>
      </c>
      <c r="B4" s="159" t="s">
        <v>20</v>
      </c>
      <c r="C4" s="160" t="s">
        <v>941</v>
      </c>
      <c r="D4" s="161"/>
      <c r="E4" s="161"/>
      <c r="F4" s="161"/>
      <c r="G4" s="161"/>
      <c r="I4" s="7" t="s">
        <v>7</v>
      </c>
      <c r="J4" s="1" t="s">
        <v>9</v>
      </c>
      <c r="K4" s="1" t="s">
        <v>10</v>
      </c>
      <c r="L4" s="1" t="s">
        <v>3</v>
      </c>
      <c r="M4" s="1" t="s">
        <v>4</v>
      </c>
      <c r="N4" s="8" t="s">
        <v>6</v>
      </c>
    </row>
    <row r="5" spans="1:14" x14ac:dyDescent="0.35">
      <c r="A5" s="158"/>
      <c r="B5" s="159"/>
      <c r="C5" s="162" t="s">
        <v>21</v>
      </c>
      <c r="D5" s="162" t="s">
        <v>22</v>
      </c>
      <c r="E5" s="162" t="s">
        <v>23</v>
      </c>
      <c r="F5" s="162" t="s">
        <v>24</v>
      </c>
      <c r="G5" s="164" t="s">
        <v>6</v>
      </c>
      <c r="I5" s="21">
        <v>1</v>
      </c>
      <c r="J5" s="21" t="s">
        <v>547</v>
      </c>
      <c r="K5" s="21">
        <v>5</v>
      </c>
      <c r="L5" s="21">
        <v>150</v>
      </c>
      <c r="M5" s="21">
        <v>121</v>
      </c>
      <c r="N5" s="22">
        <f>M5/L5*100%</f>
        <v>0.80666666666666664</v>
      </c>
    </row>
    <row r="6" spans="1:14" x14ac:dyDescent="0.35">
      <c r="A6" s="168"/>
      <c r="B6" s="169"/>
      <c r="C6" s="170"/>
      <c r="D6" s="170"/>
      <c r="E6" s="170"/>
      <c r="F6" s="170"/>
      <c r="G6" s="171"/>
      <c r="I6" s="21">
        <v>2</v>
      </c>
      <c r="J6" s="21" t="s">
        <v>548</v>
      </c>
      <c r="K6" s="21">
        <v>9</v>
      </c>
      <c r="L6" s="21">
        <v>230</v>
      </c>
      <c r="M6" s="21">
        <v>160</v>
      </c>
      <c r="N6" s="22">
        <f t="shared" ref="N6" si="0">M6/L6*100%</f>
        <v>0.69565217391304346</v>
      </c>
    </row>
    <row r="7" spans="1:14" x14ac:dyDescent="0.35">
      <c r="A7" s="31">
        <v>1</v>
      </c>
      <c r="B7" s="115" t="s">
        <v>549</v>
      </c>
      <c r="C7" s="116" t="s">
        <v>28</v>
      </c>
      <c r="D7" s="116">
        <v>35</v>
      </c>
      <c r="E7" s="120">
        <v>3</v>
      </c>
      <c r="F7" s="31">
        <f>E7-D7</f>
        <v>-32</v>
      </c>
      <c r="G7" s="35">
        <f>E7/D7*100%</f>
        <v>8.5714285714285715E-2</v>
      </c>
      <c r="I7" s="21"/>
      <c r="J7" s="21"/>
      <c r="K7" s="21"/>
      <c r="L7" s="21"/>
      <c r="M7" s="21"/>
      <c r="N7" s="22"/>
    </row>
    <row r="8" spans="1:14" x14ac:dyDescent="0.35">
      <c r="A8" s="31">
        <v>2</v>
      </c>
      <c r="B8" s="117" t="s">
        <v>550</v>
      </c>
      <c r="C8" s="118" t="s">
        <v>30</v>
      </c>
      <c r="D8" s="116">
        <v>25</v>
      </c>
      <c r="E8" s="120">
        <v>34</v>
      </c>
      <c r="F8" s="31">
        <f t="shared" ref="F8:F23" si="1">E8-D8</f>
        <v>9</v>
      </c>
      <c r="G8" s="35">
        <f t="shared" ref="G8:G23" si="2">E8/D8*100%</f>
        <v>1.36</v>
      </c>
    </row>
    <row r="9" spans="1:14" x14ac:dyDescent="0.35">
      <c r="A9" s="31">
        <v>3</v>
      </c>
      <c r="B9" s="115" t="s">
        <v>551</v>
      </c>
      <c r="C9" s="118" t="s">
        <v>30</v>
      </c>
      <c r="D9" s="116">
        <v>25</v>
      </c>
      <c r="E9" s="120">
        <v>40</v>
      </c>
      <c r="F9" s="31">
        <f t="shared" si="1"/>
        <v>15</v>
      </c>
      <c r="G9" s="35">
        <f t="shared" si="2"/>
        <v>1.6</v>
      </c>
    </row>
    <row r="10" spans="1:14" x14ac:dyDescent="0.35">
      <c r="A10" s="31">
        <v>4</v>
      </c>
      <c r="B10" s="115" t="s">
        <v>552</v>
      </c>
      <c r="C10" s="118" t="s">
        <v>30</v>
      </c>
      <c r="D10" s="116">
        <v>25</v>
      </c>
      <c r="E10" s="120">
        <v>17</v>
      </c>
      <c r="F10" s="31">
        <f t="shared" si="1"/>
        <v>-8</v>
      </c>
      <c r="G10" s="35">
        <f t="shared" si="2"/>
        <v>0.68</v>
      </c>
    </row>
    <row r="11" spans="1:14" x14ac:dyDescent="0.35">
      <c r="A11" s="31">
        <v>5</v>
      </c>
      <c r="B11" s="115" t="s">
        <v>553</v>
      </c>
      <c r="C11" s="118" t="s">
        <v>30</v>
      </c>
      <c r="D11" s="116">
        <v>25</v>
      </c>
      <c r="E11" s="120">
        <v>23</v>
      </c>
      <c r="F11" s="31">
        <f t="shared" si="1"/>
        <v>-2</v>
      </c>
      <c r="G11" s="35">
        <f t="shared" si="2"/>
        <v>0.92</v>
      </c>
    </row>
    <row r="12" spans="1:14" x14ac:dyDescent="0.35">
      <c r="A12" s="31">
        <v>6</v>
      </c>
      <c r="B12" s="115" t="s">
        <v>554</v>
      </c>
      <c r="C12" s="118" t="s">
        <v>30</v>
      </c>
      <c r="D12" s="116">
        <v>25</v>
      </c>
      <c r="E12" s="120">
        <v>4</v>
      </c>
      <c r="F12" s="31">
        <f t="shared" si="1"/>
        <v>-21</v>
      </c>
      <c r="G12" s="35">
        <f t="shared" si="2"/>
        <v>0.16</v>
      </c>
    </row>
    <row r="13" spans="1:14" x14ac:dyDescent="0.35">
      <c r="A13" s="31">
        <v>7</v>
      </c>
      <c r="B13" s="117" t="s">
        <v>555</v>
      </c>
      <c r="C13" s="116" t="s">
        <v>28</v>
      </c>
      <c r="D13" s="116">
        <v>35</v>
      </c>
      <c r="E13" s="120">
        <v>3</v>
      </c>
      <c r="F13" s="31">
        <f t="shared" si="1"/>
        <v>-32</v>
      </c>
      <c r="G13" s="35">
        <f t="shared" si="2"/>
        <v>8.5714285714285715E-2</v>
      </c>
    </row>
    <row r="14" spans="1:14" x14ac:dyDescent="0.35">
      <c r="A14" s="31">
        <v>8</v>
      </c>
      <c r="B14" s="117" t="s">
        <v>556</v>
      </c>
      <c r="C14" s="118" t="s">
        <v>30</v>
      </c>
      <c r="D14" s="118">
        <v>25</v>
      </c>
      <c r="E14" s="120">
        <v>17</v>
      </c>
      <c r="F14" s="31">
        <f t="shared" si="1"/>
        <v>-8</v>
      </c>
      <c r="G14" s="35">
        <f t="shared" si="2"/>
        <v>0.68</v>
      </c>
    </row>
    <row r="15" spans="1:14" x14ac:dyDescent="0.35">
      <c r="A15" s="31">
        <v>9</v>
      </c>
      <c r="B15" s="117" t="s">
        <v>557</v>
      </c>
      <c r="C15" s="118" t="s">
        <v>30</v>
      </c>
      <c r="D15" s="118">
        <v>25</v>
      </c>
      <c r="E15" s="120">
        <v>25</v>
      </c>
      <c r="F15" s="31">
        <f t="shared" si="1"/>
        <v>0</v>
      </c>
      <c r="G15" s="35">
        <f t="shared" si="2"/>
        <v>1</v>
      </c>
    </row>
    <row r="16" spans="1:14" x14ac:dyDescent="0.35">
      <c r="A16" s="31">
        <v>10</v>
      </c>
      <c r="B16" s="117" t="s">
        <v>558</v>
      </c>
      <c r="C16" s="118" t="s">
        <v>30</v>
      </c>
      <c r="D16" s="118">
        <v>25</v>
      </c>
      <c r="E16" s="120">
        <v>12</v>
      </c>
      <c r="F16" s="31">
        <f t="shared" si="1"/>
        <v>-13</v>
      </c>
      <c r="G16" s="35">
        <f t="shared" si="2"/>
        <v>0.48</v>
      </c>
    </row>
    <row r="17" spans="1:7" x14ac:dyDescent="0.35">
      <c r="A17" s="31">
        <v>11</v>
      </c>
      <c r="B17" s="115" t="s">
        <v>559</v>
      </c>
      <c r="C17" s="118" t="s">
        <v>30</v>
      </c>
      <c r="D17" s="118">
        <v>25</v>
      </c>
      <c r="E17" s="120">
        <v>18</v>
      </c>
      <c r="F17" s="31">
        <f t="shared" si="1"/>
        <v>-7</v>
      </c>
      <c r="G17" s="35">
        <f t="shared" si="2"/>
        <v>0.72</v>
      </c>
    </row>
    <row r="18" spans="1:7" x14ac:dyDescent="0.35">
      <c r="A18" s="31">
        <v>12</v>
      </c>
      <c r="B18" s="115" t="s">
        <v>560</v>
      </c>
      <c r="C18" s="118" t="s">
        <v>30</v>
      </c>
      <c r="D18" s="118">
        <v>25</v>
      </c>
      <c r="E18" s="120">
        <v>28</v>
      </c>
      <c r="F18" s="31">
        <f t="shared" si="1"/>
        <v>3</v>
      </c>
      <c r="G18" s="35">
        <f t="shared" si="2"/>
        <v>1.1200000000000001</v>
      </c>
    </row>
    <row r="19" spans="1:7" x14ac:dyDescent="0.35">
      <c r="A19" s="31">
        <v>13</v>
      </c>
      <c r="B19" s="115" t="s">
        <v>561</v>
      </c>
      <c r="C19" s="118" t="s">
        <v>30</v>
      </c>
      <c r="D19" s="118">
        <v>25</v>
      </c>
      <c r="E19" s="120">
        <v>14</v>
      </c>
      <c r="F19" s="31">
        <f t="shared" si="1"/>
        <v>-11</v>
      </c>
      <c r="G19" s="35">
        <f t="shared" si="2"/>
        <v>0.56000000000000005</v>
      </c>
    </row>
    <row r="20" spans="1:7" x14ac:dyDescent="0.35">
      <c r="A20" s="31">
        <v>14</v>
      </c>
      <c r="B20" s="117" t="s">
        <v>562</v>
      </c>
      <c r="C20" s="118" t="s">
        <v>30</v>
      </c>
      <c r="D20" s="118">
        <v>25</v>
      </c>
      <c r="E20" s="120">
        <v>25</v>
      </c>
      <c r="F20" s="31">
        <f t="shared" si="1"/>
        <v>0</v>
      </c>
      <c r="G20" s="35">
        <f t="shared" si="2"/>
        <v>1</v>
      </c>
    </row>
    <row r="21" spans="1:7" x14ac:dyDescent="0.35">
      <c r="A21" s="31">
        <v>15</v>
      </c>
      <c r="B21" s="121" t="s">
        <v>563</v>
      </c>
      <c r="C21" s="120" t="s">
        <v>30</v>
      </c>
      <c r="D21" s="120">
        <v>25</v>
      </c>
      <c r="E21" s="120">
        <v>2</v>
      </c>
      <c r="F21" s="31">
        <f t="shared" si="1"/>
        <v>-23</v>
      </c>
      <c r="G21" s="35">
        <f t="shared" si="2"/>
        <v>0.08</v>
      </c>
    </row>
    <row r="22" spans="1:7" x14ac:dyDescent="0.35">
      <c r="A22" s="31">
        <v>16</v>
      </c>
      <c r="B22" s="117" t="s">
        <v>564</v>
      </c>
      <c r="C22" s="118" t="s">
        <v>30</v>
      </c>
      <c r="D22" s="118">
        <v>25</v>
      </c>
      <c r="E22" s="120">
        <v>16</v>
      </c>
      <c r="F22" s="31">
        <f t="shared" si="1"/>
        <v>-9</v>
      </c>
      <c r="G22" s="35">
        <f t="shared" si="2"/>
        <v>0.64</v>
      </c>
    </row>
    <row r="23" spans="1:7" x14ac:dyDescent="0.35">
      <c r="A23" s="31"/>
      <c r="B23" s="31" t="s">
        <v>34</v>
      </c>
      <c r="C23" s="31"/>
      <c r="D23" s="31">
        <v>380</v>
      </c>
      <c r="E23" s="31">
        <f>SUM(E7:E22)</f>
        <v>281</v>
      </c>
      <c r="F23" s="31">
        <f t="shared" si="1"/>
        <v>-99</v>
      </c>
      <c r="G23" s="35">
        <f t="shared" si="2"/>
        <v>0.73947368421052628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3C83-6AC5-4AE0-8C0A-92F71DE9671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PENCAPAIAN KOTA</vt:lpstr>
      <vt:lpstr>PERSENTASE TIM</vt:lpstr>
      <vt:lpstr>BEST SPV DAN DS</vt:lpstr>
      <vt:lpstr>SERANG</vt:lpstr>
      <vt:lpstr>KAB PANDEGLANG</vt:lpstr>
      <vt:lpstr>CILEGON</vt:lpstr>
      <vt:lpstr>TANGERANG SELATAN</vt:lpstr>
      <vt:lpstr>KAB TANGGERANG</vt:lpstr>
      <vt:lpstr>TANGGERANG KOTA</vt:lpstr>
      <vt:lpstr>KLAPANUNGGAL</vt:lpstr>
      <vt:lpstr>CILEUNGSI</vt:lpstr>
      <vt:lpstr>PARUNG</vt:lpstr>
      <vt:lpstr>BEKASI</vt:lpstr>
      <vt:lpstr>JAKARTA</vt:lpstr>
      <vt:lpstr>DEPOK</vt:lpstr>
      <vt:lpstr>CENGKARENG</vt:lpstr>
      <vt:lpstr>BANDUNG</vt:lpstr>
      <vt:lpstr>SUKABUMI</vt:lpstr>
      <vt:lpstr>CIREBON</vt:lpstr>
      <vt:lpstr>SUBANG</vt:lpstr>
      <vt:lpstr>KARAWANG</vt:lpstr>
      <vt:lpstr>PURWAKARTA</vt:lpstr>
      <vt:lpstr>TASIKMALAYA</vt:lpstr>
      <vt:lpstr>KAB TASIK</vt:lpstr>
      <vt:lpstr>GARUT</vt:lpstr>
      <vt:lpstr>BANJAR</vt:lpstr>
      <vt:lpstr>CIAMIS</vt:lpstr>
      <vt:lpstr>CIAWI</vt:lpstr>
      <vt:lpstr>CIANJUR</vt:lpstr>
      <vt:lpstr>BANJARSARI</vt:lpstr>
      <vt:lpstr>MAJALENGKA</vt:lpstr>
      <vt:lpstr>SEMARANG</vt:lpstr>
      <vt:lpstr>SALATIGA</vt:lpstr>
      <vt:lpstr>CILACAP</vt:lpstr>
      <vt:lpstr>KEBUMEN</vt:lpstr>
      <vt:lpstr>PURWOKERTO</vt:lpstr>
      <vt:lpstr>TEGAL</vt:lpstr>
      <vt:lpstr>KENDAL</vt:lpstr>
      <vt:lpstr>DEMAK</vt:lpstr>
      <vt:lpstr>KUDUS</vt:lpstr>
      <vt:lpstr>JOGJA</vt:lpstr>
      <vt:lpstr>KLATEN</vt:lpstr>
      <vt:lpstr>SOLO</vt:lpstr>
      <vt:lpstr>KEDIRI</vt:lpstr>
      <vt:lpstr>SURABAYA</vt:lpstr>
      <vt:lpstr>SIDOARJO</vt:lpstr>
      <vt:lpstr>MALANG</vt:lpstr>
      <vt:lpstr>PONOROGO</vt:lpstr>
      <vt:lpstr>DENPASAR</vt:lpstr>
      <vt:lpstr>BADUNG</vt:lpstr>
      <vt:lpstr>TABANAN</vt:lpstr>
      <vt:lpstr>NEGARA</vt:lpstr>
      <vt:lpstr>MEDAN</vt:lpstr>
      <vt:lpstr>BANGKA BELITUNG</vt:lpstr>
      <vt:lpstr>Sheet33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2024-12-21T02:27:34Z</dcterms:created>
  <dcterms:modified xsi:type="dcterms:W3CDTF">2024-12-21T08:54:19Z</dcterms:modified>
</cp:coreProperties>
</file>