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F8328013-7554-4552-99D2-11F07B2CBEBF}" xr6:coauthVersionLast="47" xr6:coauthVersionMax="47" xr10:uidLastSave="{00000000-0000-0000-0000-000000000000}"/>
  <bookViews>
    <workbookView xWindow="-110" yWindow="-110" windowWidth="19420" windowHeight="10300" activeTab="2" xr2:uid="{007DC744-4C39-432C-8F3B-1EF1829048D0}"/>
  </bookViews>
  <sheets>
    <sheet name="PENCAPAIAN KOTA" sheetId="6" r:id="rId1"/>
    <sheet name="BEST DS &amp; BEST SPV" sheetId="7" r:id="rId2"/>
    <sheet name="PEERSENTASE TIM" sheetId="43" r:id="rId3"/>
    <sheet name="BANTEN" sheetId="21" r:id="rId4"/>
    <sheet name="TANGGERANG" sheetId="10" r:id="rId5"/>
    <sheet name="JAKARTA" sheetId="11" r:id="rId6"/>
    <sheet name="DEPOK" sheetId="12" r:id="rId7"/>
    <sheet name="BOGOR" sheetId="34" r:id="rId8"/>
    <sheet name="CIREBON" sheetId="22" r:id="rId9"/>
    <sheet name="SUBANG" sheetId="23" r:id="rId10"/>
    <sheet name="KARAWANG" sheetId="24" r:id="rId11"/>
    <sheet name="PURWAKARTA" sheetId="25" r:id="rId12"/>
    <sheet name="CISOLOK" sheetId="26" r:id="rId13"/>
    <sheet name="TASIKMALAYA" sheetId="13" r:id="rId14"/>
    <sheet name="KAB TASIK" sheetId="14" r:id="rId15"/>
    <sheet name="CIAWI" sheetId="15" r:id="rId16"/>
    <sheet name="CIAMIS" sheetId="16" r:id="rId17"/>
    <sheet name="BANJAR" sheetId="17" r:id="rId18"/>
    <sheet name="GARUT" sheetId="18" r:id="rId19"/>
    <sheet name="BANDUNG" sheetId="19" r:id="rId20"/>
    <sheet name="CIANJUR" sheetId="20" r:id="rId21"/>
    <sheet name="SEMARANG" sheetId="39" r:id="rId22"/>
    <sheet name="KENDAL" sheetId="42" r:id="rId23"/>
    <sheet name="DEMAK" sheetId="40" r:id="rId24"/>
    <sheet name="KUDUS" sheetId="41" r:id="rId25"/>
    <sheet name="CILACAP" sheetId="4" r:id="rId26"/>
    <sheet name="KEBUMEN" sheetId="5" r:id="rId27"/>
    <sheet name="PURWOKERTO" sheetId="8" r:id="rId28"/>
    <sheet name="TEGAL" sheetId="9" r:id="rId29"/>
    <sheet name="JOGJA" sheetId="1" r:id="rId30"/>
    <sheet name="KLATEN" sheetId="2" r:id="rId31"/>
    <sheet name="SOLO" sheetId="3" r:id="rId32"/>
    <sheet name="KEDIRI" sheetId="32" r:id="rId33"/>
    <sheet name="PONOROGO" sheetId="28" r:id="rId34"/>
    <sheet name="SURABAYA" sheetId="30" r:id="rId35"/>
    <sheet name="SIDOARJO" sheetId="31" r:id="rId36"/>
    <sheet name="MALANG" sheetId="29" r:id="rId37"/>
    <sheet name="DENPASAR" sheetId="35" r:id="rId38"/>
    <sheet name="BADUNG" sheetId="36" r:id="rId39"/>
    <sheet name="TABANAN" sheetId="37" r:id="rId40"/>
    <sheet name="NEGARA" sheetId="38" r:id="rId41"/>
    <sheet name="BANGKA BELITUNG" sheetId="33" r:id="rId42"/>
    <sheet name="MEDAN" sheetId="27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7" l="1"/>
  <c r="K4" i="7"/>
  <c r="K3" i="7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" i="43"/>
  <c r="I11" i="43"/>
  <c r="I8" i="43"/>
  <c r="I9" i="43"/>
  <c r="I6" i="43"/>
  <c r="I7" i="43"/>
  <c r="I3" i="43"/>
  <c r="I4" i="43"/>
  <c r="I5" i="43"/>
  <c r="I2" i="43"/>
  <c r="M6" i="35"/>
  <c r="M7" i="35"/>
  <c r="M5" i="35"/>
  <c r="M6" i="40"/>
  <c r="M7" i="40"/>
  <c r="M5" i="40"/>
  <c r="E10" i="41"/>
  <c r="G5" i="41"/>
  <c r="G6" i="41"/>
  <c r="G7" i="41"/>
  <c r="G8" i="41"/>
  <c r="G9" i="41"/>
  <c r="G10" i="41"/>
  <c r="G4" i="41"/>
  <c r="F5" i="41"/>
  <c r="F6" i="41"/>
  <c r="F7" i="41"/>
  <c r="F8" i="41"/>
  <c r="F9" i="41"/>
  <c r="F10" i="41"/>
  <c r="F4" i="41"/>
  <c r="E21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4" i="40"/>
  <c r="M6" i="42"/>
  <c r="M5" i="42"/>
  <c r="E17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4" i="42"/>
  <c r="M6" i="38"/>
  <c r="M5" i="38"/>
  <c r="E17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4" i="38"/>
  <c r="E10" i="37"/>
  <c r="G5" i="37"/>
  <c r="G6" i="37"/>
  <c r="G7" i="37"/>
  <c r="G8" i="37"/>
  <c r="G9" i="37"/>
  <c r="G10" i="37"/>
  <c r="G4" i="37"/>
  <c r="F5" i="37"/>
  <c r="F6" i="37"/>
  <c r="F7" i="37"/>
  <c r="F8" i="37"/>
  <c r="F9" i="37"/>
  <c r="F10" i="37"/>
  <c r="F4" i="37"/>
  <c r="M7" i="36"/>
  <c r="M8" i="36"/>
  <c r="M9" i="36"/>
  <c r="M6" i="36"/>
  <c r="E29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4" i="36"/>
  <c r="E22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4" i="35"/>
  <c r="F5" i="35"/>
  <c r="F6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4" i="35"/>
  <c r="M6" i="39"/>
  <c r="M7" i="39"/>
  <c r="M8" i="39"/>
  <c r="M9" i="39"/>
  <c r="M10" i="39"/>
  <c r="M11" i="39"/>
  <c r="M12" i="39"/>
  <c r="M5" i="39"/>
  <c r="E58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4" i="39"/>
  <c r="G51" i="6"/>
  <c r="F51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4" i="6"/>
  <c r="M48" i="34"/>
  <c r="M47" i="34"/>
  <c r="E57" i="34"/>
  <c r="G51" i="34"/>
  <c r="G52" i="34"/>
  <c r="G53" i="34"/>
  <c r="G54" i="34"/>
  <c r="G55" i="34"/>
  <c r="G56" i="34"/>
  <c r="G57" i="34"/>
  <c r="F51" i="34"/>
  <c r="F52" i="34"/>
  <c r="F53" i="34"/>
  <c r="F54" i="34"/>
  <c r="F55" i="34"/>
  <c r="F56" i="34"/>
  <c r="F57" i="34"/>
  <c r="G46" i="34"/>
  <c r="G47" i="34"/>
  <c r="G48" i="34"/>
  <c r="G49" i="34"/>
  <c r="G50" i="34"/>
  <c r="G45" i="34"/>
  <c r="F46" i="34"/>
  <c r="F47" i="34"/>
  <c r="F48" i="34"/>
  <c r="F49" i="34"/>
  <c r="F50" i="34"/>
  <c r="F45" i="34"/>
  <c r="E39" i="34"/>
  <c r="G30" i="34"/>
  <c r="G31" i="34"/>
  <c r="G32" i="34"/>
  <c r="G33" i="34"/>
  <c r="G34" i="34"/>
  <c r="G35" i="34"/>
  <c r="G36" i="34"/>
  <c r="G37" i="34"/>
  <c r="G38" i="34"/>
  <c r="G39" i="34"/>
  <c r="G29" i="34"/>
  <c r="F30" i="34"/>
  <c r="F31" i="34"/>
  <c r="F32" i="34"/>
  <c r="F33" i="34"/>
  <c r="F34" i="34"/>
  <c r="F35" i="34"/>
  <c r="F36" i="34"/>
  <c r="F37" i="34"/>
  <c r="F38" i="34"/>
  <c r="F39" i="34"/>
  <c r="F29" i="34"/>
  <c r="E23" i="34"/>
  <c r="G18" i="34"/>
  <c r="G19" i="34"/>
  <c r="G20" i="34"/>
  <c r="G21" i="34"/>
  <c r="G22" i="34"/>
  <c r="G23" i="34"/>
  <c r="G17" i="34"/>
  <c r="F18" i="34"/>
  <c r="F19" i="34"/>
  <c r="F20" i="34"/>
  <c r="F21" i="34"/>
  <c r="F22" i="34"/>
  <c r="F23" i="34"/>
  <c r="F17" i="34"/>
  <c r="E11" i="34"/>
  <c r="G6" i="34"/>
  <c r="G7" i="34"/>
  <c r="G8" i="34"/>
  <c r="G9" i="34"/>
  <c r="G10" i="34"/>
  <c r="G11" i="34"/>
  <c r="G5" i="34"/>
  <c r="F6" i="34"/>
  <c r="F7" i="34"/>
  <c r="F8" i="34"/>
  <c r="F9" i="34"/>
  <c r="F10" i="34"/>
  <c r="F11" i="34"/>
  <c r="F5" i="34"/>
  <c r="M6" i="33"/>
  <c r="M7" i="33"/>
  <c r="M5" i="33"/>
  <c r="E20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4" i="33"/>
  <c r="M7" i="32"/>
  <c r="M6" i="32"/>
  <c r="E20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4" i="32"/>
  <c r="E11" i="31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M7" i="30"/>
  <c r="M6" i="30"/>
  <c r="E18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4" i="30"/>
  <c r="E7" i="29"/>
  <c r="G5" i="29"/>
  <c r="G6" i="29"/>
  <c r="G7" i="29"/>
  <c r="G4" i="29"/>
  <c r="F5" i="29"/>
  <c r="F6" i="29"/>
  <c r="F7" i="29"/>
  <c r="F4" i="29"/>
  <c r="E7" i="28"/>
  <c r="G5" i="28"/>
  <c r="G6" i="28"/>
  <c r="G7" i="28"/>
  <c r="G4" i="28"/>
  <c r="F5" i="28"/>
  <c r="F6" i="28"/>
  <c r="F7" i="28"/>
  <c r="F4" i="28"/>
  <c r="M6" i="27"/>
  <c r="M7" i="27"/>
  <c r="M8" i="27"/>
  <c r="M5" i="27"/>
  <c r="E28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4" i="27"/>
  <c r="E9" i="26"/>
  <c r="G5" i="26"/>
  <c r="G6" i="26"/>
  <c r="G7" i="26"/>
  <c r="G8" i="26"/>
  <c r="G9" i="26"/>
  <c r="G4" i="26"/>
  <c r="F5" i="26"/>
  <c r="F6" i="26"/>
  <c r="F7" i="26"/>
  <c r="F8" i="26"/>
  <c r="F9" i="26"/>
  <c r="F4" i="26"/>
  <c r="E8" i="25"/>
  <c r="G5" i="25"/>
  <c r="G6" i="25"/>
  <c r="G7" i="25"/>
  <c r="G8" i="25"/>
  <c r="G4" i="25"/>
  <c r="F5" i="25"/>
  <c r="F6" i="25"/>
  <c r="F7" i="25"/>
  <c r="F8" i="25"/>
  <c r="F4" i="25"/>
  <c r="E8" i="24"/>
  <c r="G5" i="24"/>
  <c r="G6" i="24"/>
  <c r="G7" i="24"/>
  <c r="G8" i="24"/>
  <c r="G4" i="24"/>
  <c r="F5" i="24"/>
  <c r="F6" i="24"/>
  <c r="F7" i="24"/>
  <c r="F8" i="24"/>
  <c r="F4" i="24"/>
  <c r="M6" i="23"/>
  <c r="M5" i="23"/>
  <c r="E20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4" i="23"/>
  <c r="M6" i="22"/>
  <c r="M7" i="22"/>
  <c r="M5" i="22"/>
  <c r="E28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4" i="22"/>
  <c r="E58" i="21"/>
  <c r="G52" i="21"/>
  <c r="G53" i="21"/>
  <c r="G54" i="21"/>
  <c r="G55" i="21"/>
  <c r="G56" i="21"/>
  <c r="G57" i="21"/>
  <c r="G58" i="21"/>
  <c r="G51" i="21"/>
  <c r="F52" i="21"/>
  <c r="F53" i="21"/>
  <c r="F54" i="21"/>
  <c r="F55" i="21"/>
  <c r="F56" i="21"/>
  <c r="F57" i="21"/>
  <c r="F58" i="21"/>
  <c r="F51" i="21"/>
  <c r="E44" i="21"/>
  <c r="G37" i="21"/>
  <c r="G38" i="21"/>
  <c r="G39" i="21"/>
  <c r="G40" i="21"/>
  <c r="G41" i="21"/>
  <c r="G42" i="21"/>
  <c r="G43" i="21"/>
  <c r="G44" i="21"/>
  <c r="G36" i="21"/>
  <c r="F37" i="21"/>
  <c r="F38" i="21"/>
  <c r="F39" i="21"/>
  <c r="F40" i="21"/>
  <c r="F41" i="21"/>
  <c r="F42" i="21"/>
  <c r="F43" i="21"/>
  <c r="F44" i="21"/>
  <c r="F36" i="21"/>
  <c r="M6" i="21"/>
  <c r="M7" i="21"/>
  <c r="M8" i="21"/>
  <c r="M5" i="21"/>
  <c r="E29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4" i="21"/>
  <c r="E10" i="20"/>
  <c r="G5" i="20"/>
  <c r="G6" i="20"/>
  <c r="G7" i="20"/>
  <c r="G8" i="20"/>
  <c r="G9" i="20"/>
  <c r="G10" i="20"/>
  <c r="G4" i="20"/>
  <c r="F5" i="20"/>
  <c r="F6" i="20"/>
  <c r="F7" i="20"/>
  <c r="F8" i="20"/>
  <c r="F9" i="20"/>
  <c r="F10" i="20"/>
  <c r="F4" i="20"/>
  <c r="M6" i="19"/>
  <c r="M7" i="19"/>
  <c r="M8" i="19"/>
  <c r="M5" i="19"/>
  <c r="E29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4" i="19"/>
  <c r="M6" i="18"/>
  <c r="M7" i="18"/>
  <c r="M5" i="18"/>
  <c r="E28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4" i="18"/>
  <c r="M6" i="17"/>
  <c r="M7" i="17"/>
  <c r="M5" i="17"/>
  <c r="E2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4" i="17"/>
  <c r="M6" i="16"/>
  <c r="M7" i="16"/>
  <c r="M5" i="16"/>
  <c r="E2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4" i="16"/>
  <c r="M8" i="15"/>
  <c r="M7" i="15"/>
  <c r="E16" i="15"/>
  <c r="G5" i="15"/>
  <c r="G6" i="15"/>
  <c r="G7" i="15"/>
  <c r="G8" i="15"/>
  <c r="G9" i="15"/>
  <c r="G10" i="15"/>
  <c r="G11" i="15"/>
  <c r="G12" i="15"/>
  <c r="G13" i="15"/>
  <c r="G14" i="15"/>
  <c r="G15" i="15"/>
  <c r="G16" i="15"/>
  <c r="G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4" i="15"/>
  <c r="E12" i="14"/>
  <c r="G5" i="14"/>
  <c r="G6" i="14"/>
  <c r="G7" i="14"/>
  <c r="G8" i="14"/>
  <c r="G9" i="14"/>
  <c r="G10" i="14"/>
  <c r="G11" i="14"/>
  <c r="G12" i="14"/>
  <c r="G4" i="14"/>
  <c r="F5" i="14"/>
  <c r="F6" i="14"/>
  <c r="F7" i="14"/>
  <c r="F8" i="14"/>
  <c r="F9" i="14"/>
  <c r="F10" i="14"/>
  <c r="F11" i="14"/>
  <c r="F12" i="14"/>
  <c r="F4" i="14"/>
  <c r="M6" i="13"/>
  <c r="M7" i="13"/>
  <c r="M5" i="13"/>
  <c r="E28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4" i="13"/>
  <c r="M6" i="12"/>
  <c r="M7" i="12"/>
  <c r="M5" i="12"/>
  <c r="E2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4" i="12"/>
  <c r="M6" i="11"/>
  <c r="M7" i="11"/>
  <c r="M8" i="11"/>
  <c r="M9" i="11"/>
  <c r="M5" i="11"/>
  <c r="E30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4" i="11"/>
  <c r="E46" i="10"/>
  <c r="E14" i="5"/>
  <c r="G6" i="5"/>
  <c r="G7" i="5"/>
  <c r="G8" i="5"/>
  <c r="G9" i="5"/>
  <c r="G10" i="5"/>
  <c r="G11" i="5"/>
  <c r="G12" i="5"/>
  <c r="G13" i="5"/>
  <c r="G14" i="5"/>
  <c r="G5" i="5"/>
  <c r="F6" i="5"/>
  <c r="F7" i="5"/>
  <c r="F8" i="5"/>
  <c r="F9" i="5"/>
  <c r="F10" i="5"/>
  <c r="F11" i="5"/>
  <c r="F12" i="5"/>
  <c r="F13" i="5"/>
  <c r="F14" i="5"/>
  <c r="F5" i="5"/>
  <c r="G41" i="10"/>
  <c r="G42" i="10"/>
  <c r="G43" i="10"/>
  <c r="G44" i="10"/>
  <c r="G45" i="10"/>
  <c r="G46" i="10"/>
  <c r="G40" i="10"/>
  <c r="F41" i="10"/>
  <c r="F42" i="10"/>
  <c r="F43" i="10"/>
  <c r="F44" i="10"/>
  <c r="F45" i="10"/>
  <c r="F46" i="10"/>
  <c r="F40" i="10"/>
  <c r="E33" i="10"/>
  <c r="G28" i="10"/>
  <c r="G29" i="10"/>
  <c r="G30" i="10"/>
  <c r="G31" i="10"/>
  <c r="G32" i="10"/>
  <c r="G33" i="10"/>
  <c r="G27" i="10"/>
  <c r="F28" i="10"/>
  <c r="F29" i="10"/>
  <c r="F30" i="10"/>
  <c r="F31" i="10"/>
  <c r="F32" i="10"/>
  <c r="F33" i="10"/>
  <c r="F27" i="10"/>
  <c r="M7" i="10"/>
  <c r="M6" i="10"/>
  <c r="E21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5" i="10"/>
  <c r="M8" i="1"/>
  <c r="M9" i="1"/>
  <c r="M7" i="1"/>
  <c r="N6" i="3"/>
  <c r="N7" i="3"/>
  <c r="N8" i="3"/>
  <c r="N5" i="3"/>
  <c r="E10" i="8"/>
  <c r="G5" i="8"/>
  <c r="G6" i="8"/>
  <c r="G7" i="8"/>
  <c r="G8" i="8"/>
  <c r="G9" i="8"/>
  <c r="G10" i="8"/>
  <c r="G4" i="8"/>
  <c r="F5" i="8"/>
  <c r="F6" i="8"/>
  <c r="F7" i="8"/>
  <c r="F8" i="8"/>
  <c r="F9" i="8"/>
  <c r="F10" i="8"/>
  <c r="F4" i="8"/>
  <c r="E23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5" i="4"/>
  <c r="M7" i="4"/>
  <c r="M8" i="4"/>
  <c r="M6" i="4"/>
  <c r="M8" i="5"/>
  <c r="M7" i="5"/>
  <c r="M3" i="9"/>
  <c r="M4" i="9"/>
  <c r="M2" i="9"/>
  <c r="E22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4" i="9"/>
  <c r="E26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4" i="3"/>
  <c r="E10" i="2"/>
  <c r="G5" i="2"/>
  <c r="G6" i="2"/>
  <c r="G7" i="2"/>
  <c r="G8" i="2"/>
  <c r="G9" i="2"/>
  <c r="G10" i="2"/>
  <c r="G4" i="2"/>
  <c r="F5" i="2"/>
  <c r="F6" i="2"/>
  <c r="F7" i="2"/>
  <c r="F8" i="2"/>
  <c r="F9" i="2"/>
  <c r="F10" i="2"/>
  <c r="F4" i="2"/>
  <c r="E26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5" i="1"/>
</calcChain>
</file>

<file path=xl/sharedStrings.xml><?xml version="1.0" encoding="utf-8"?>
<sst xmlns="http://schemas.openxmlformats.org/spreadsheetml/2006/main" count="2300" uniqueCount="879">
  <si>
    <t>NO.</t>
  </si>
  <si>
    <t>NAMA DS</t>
  </si>
  <si>
    <t>Grade</t>
  </si>
  <si>
    <t>Target</t>
  </si>
  <si>
    <t>Sales</t>
  </si>
  <si>
    <t>Minus/plus</t>
  </si>
  <si>
    <t>%</t>
  </si>
  <si>
    <t>PENCAPAIAN 21 SEP- 20 OKT</t>
  </si>
  <si>
    <t>THERESIA OKTAVIA</t>
  </si>
  <si>
    <t>SPV</t>
  </si>
  <si>
    <t>SAFII</t>
  </si>
  <si>
    <t>DS</t>
  </si>
  <si>
    <t>MUHAMAD IKSAN</t>
  </si>
  <si>
    <t>DINA LISTIANA</t>
  </si>
  <si>
    <t>ANDEG LALA</t>
  </si>
  <si>
    <t>MIRA SUKMA DEWI ISKANDAR PUTRI</t>
  </si>
  <si>
    <t>DEMISA ZAI</t>
  </si>
  <si>
    <t>NUR HIDAYAT SULISTYA</t>
  </si>
  <si>
    <t>CHARISMA PRIYA PURNOMO</t>
  </si>
  <si>
    <t>ESTHI NUGROHO DEWI</t>
  </si>
  <si>
    <t>MARYADI</t>
  </si>
  <si>
    <t>R. SUHARJONO</t>
  </si>
  <si>
    <t>MUHAMMAD BIMA ARYAN SAPUTRA</t>
  </si>
  <si>
    <t>JULES SJARIF PARMONANGAN</t>
  </si>
  <si>
    <t xml:space="preserve">SUMARYADI </t>
  </si>
  <si>
    <t>AHLISH HIDAYATULLOH</t>
  </si>
  <si>
    <t>YOGI PUTRO WASKITO</t>
  </si>
  <si>
    <t>ARIS KURNIANTORO</t>
  </si>
  <si>
    <t>RORI PUJI ASTUTI</t>
  </si>
  <si>
    <t>NOVI EFENDI</t>
  </si>
  <si>
    <t>MATIAS NOPRYANTO RAUNGKU</t>
  </si>
  <si>
    <t>TOTAL</t>
  </si>
  <si>
    <t>Muammal Iqbal</t>
  </si>
  <si>
    <t>Fendi Yuliyanto</t>
  </si>
  <si>
    <t>Hariyanto</t>
  </si>
  <si>
    <t>Beastrice Arum Sekarwangi</t>
  </si>
  <si>
    <t>Salsa Nur Fitria</t>
  </si>
  <si>
    <t>Agus Subyantoro</t>
  </si>
  <si>
    <t>No</t>
  </si>
  <si>
    <t>Area Sales</t>
  </si>
  <si>
    <t xml:space="preserve">Status </t>
  </si>
  <si>
    <t>TARGET</t>
  </si>
  <si>
    <t>CA</t>
  </si>
  <si>
    <t>MINUS/PLUS</t>
  </si>
  <si>
    <t>JAKARTA</t>
  </si>
  <si>
    <t>Active</t>
  </si>
  <si>
    <t xml:space="preserve">DEPOK </t>
  </si>
  <si>
    <t>TANGGERANG SELATAN(CIPUTAT)</t>
  </si>
  <si>
    <t>KOTA TANGGERANG (PORIS)</t>
  </si>
  <si>
    <t>KAB TANGGERANG(LEGOK CIKASUNGKA)</t>
  </si>
  <si>
    <t>KLAPANUNGGAL</t>
  </si>
  <si>
    <t>CILEUNGSI</t>
  </si>
  <si>
    <t>CIANJUR</t>
  </si>
  <si>
    <t>PARUNG BOGOR</t>
  </si>
  <si>
    <t xml:space="preserve">TAMBUN </t>
  </si>
  <si>
    <t>SERANG</t>
  </si>
  <si>
    <t>KAB PANDEGLANG</t>
  </si>
  <si>
    <t>CILEGON</t>
  </si>
  <si>
    <t>CIREBON</t>
  </si>
  <si>
    <t>SUBANG</t>
  </si>
  <si>
    <t>KARAWANG</t>
  </si>
  <si>
    <t>PURWAKARTA</t>
  </si>
  <si>
    <t>CISOLOK</t>
  </si>
  <si>
    <t>TASIKMALAYA</t>
  </si>
  <si>
    <t>KAB. TASIK</t>
  </si>
  <si>
    <t>CIAMIS</t>
  </si>
  <si>
    <t>CIAWI</t>
  </si>
  <si>
    <t>BANDUNG</t>
  </si>
  <si>
    <t>GARUT</t>
  </si>
  <si>
    <t>BANJAR</t>
  </si>
  <si>
    <t>SEMARANG</t>
  </si>
  <si>
    <t>KUDUS</t>
  </si>
  <si>
    <t>KENDAL</t>
  </si>
  <si>
    <t>DEMAK</t>
  </si>
  <si>
    <t>SOLO</t>
  </si>
  <si>
    <t>PURWOKERTO</t>
  </si>
  <si>
    <t>JOGJA</t>
  </si>
  <si>
    <t>KLATEN</t>
  </si>
  <si>
    <t>KEBUMEN</t>
  </si>
  <si>
    <t>CILACAP</t>
  </si>
  <si>
    <t>TEGAL</t>
  </si>
  <si>
    <t>KEDIRI</t>
  </si>
  <si>
    <t>MALANG</t>
  </si>
  <si>
    <t>PONOROGO</t>
  </si>
  <si>
    <t>BADUNG</t>
  </si>
  <si>
    <t>TABANAN</t>
  </si>
  <si>
    <t>DENPASAR</t>
  </si>
  <si>
    <t>NEGARA</t>
  </si>
  <si>
    <t>BANGKA BELITUNG</t>
  </si>
  <si>
    <t>MEDAN</t>
  </si>
  <si>
    <t>SURABAYA</t>
  </si>
  <si>
    <t>SIDOARJO</t>
  </si>
  <si>
    <t>NO</t>
  </si>
  <si>
    <t>NAMA SALES</t>
  </si>
  <si>
    <t>PENCAPAIAN</t>
  </si>
  <si>
    <t>KOTA</t>
  </si>
  <si>
    <t>NAMA SPV</t>
  </si>
  <si>
    <t>ANSI PUTRI LORENZA</t>
  </si>
  <si>
    <t>RYAN PRAMASDA PUTRA</t>
  </si>
  <si>
    <t>ANTIK SULISTYOWATI</t>
  </si>
  <si>
    <t>SISWANTI</t>
  </si>
  <si>
    <t>MIFTA HASBI HARIRI</t>
  </si>
  <si>
    <t>MARIA AVIANTI</t>
  </si>
  <si>
    <t>JOKO BINTORO</t>
  </si>
  <si>
    <t>SUGIYONO</t>
  </si>
  <si>
    <t>RAHMA PRASETYAWATI</t>
  </si>
  <si>
    <t>EDWIN CHRISTIAN ISHUANTO</t>
  </si>
  <si>
    <t>GUGUT JULI PRAYITNO</t>
  </si>
  <si>
    <t>IMAM MULADI</t>
  </si>
  <si>
    <t>AWAN AFANOVA</t>
  </si>
  <si>
    <t>SUSILO</t>
  </si>
  <si>
    <t>YULIANTO</t>
  </si>
  <si>
    <t>PONCO SULISTIYONO</t>
  </si>
  <si>
    <t>DANANG SETYAWAN</t>
  </si>
  <si>
    <t>BUDI KRISTIAWAN</t>
  </si>
  <si>
    <t>DENY AJI WIBOWO</t>
  </si>
  <si>
    <t>RIZKI BETA KURNIAWAN</t>
  </si>
  <si>
    <t>DODY WAHYU PRANOTO, SE</t>
  </si>
  <si>
    <t>ARDIANTO ARIF PRAMONO</t>
  </si>
  <si>
    <t>Agus Widodo</t>
  </si>
  <si>
    <t>Anggia Ikma Dewi</t>
  </si>
  <si>
    <t>Hendri Listiono</t>
  </si>
  <si>
    <t>Sarwoto</t>
  </si>
  <si>
    <t>Ilham Pristiwa Inka</t>
  </si>
  <si>
    <t>Dwi Jayanti Lestari</t>
  </si>
  <si>
    <t>Bayu Pambudi</t>
  </si>
  <si>
    <t>Aji Prayoga</t>
  </si>
  <si>
    <t>Lukis Rucira Arundati</t>
  </si>
  <si>
    <t>RIZKI WINDU SANCOYO</t>
  </si>
  <si>
    <t>Sherenita Trias Yuliana</t>
  </si>
  <si>
    <t>Pandu Dwi Kusuma</t>
  </si>
  <si>
    <t>Linda Pangestika</t>
  </si>
  <si>
    <t>Puput Farida</t>
  </si>
  <si>
    <t>Titik Puspitasari</t>
  </si>
  <si>
    <t>Amelia Rahma Dewi</t>
  </si>
  <si>
    <t>Septian Firman Hidayat</t>
  </si>
  <si>
    <t>David Tri Hidayat</t>
  </si>
  <si>
    <t>Donny Dharmawan</t>
  </si>
  <si>
    <t>Slamet Arifin</t>
  </si>
  <si>
    <t>Saeful Aziz</t>
  </si>
  <si>
    <t>Solihat Sobari</t>
  </si>
  <si>
    <t>Roisul Anam</t>
  </si>
  <si>
    <t>Achmad Budiman</t>
  </si>
  <si>
    <t>Amad Saefudin</t>
  </si>
  <si>
    <t>Ahmad Rubianto</t>
  </si>
  <si>
    <t>Rudiharto</t>
  </si>
  <si>
    <t>Suhendi</t>
  </si>
  <si>
    <t>Sigit Puji Astuti</t>
  </si>
  <si>
    <t>Hari Purnomo</t>
  </si>
  <si>
    <t>Bayu Tri Raharjo</t>
  </si>
  <si>
    <t>Ikkas Rerichaldehida Nur Fauzi</t>
  </si>
  <si>
    <t>Budi Setiawan</t>
  </si>
  <si>
    <t>Prastika Wigatining Pangestuti</t>
  </si>
  <si>
    <t>Hamzah Fahmi</t>
  </si>
  <si>
    <t>Lathif Muttaqin</t>
  </si>
  <si>
    <t>Hijrah Sabila</t>
  </si>
  <si>
    <t>Khadziqul Humam Munfi</t>
  </si>
  <si>
    <t>Fauzan Maulana Adi</t>
  </si>
  <si>
    <t>Mita Lestari</t>
  </si>
  <si>
    <t>Eko Krismanto</t>
  </si>
  <si>
    <t>Triyadi</t>
  </si>
  <si>
    <t>Muhammad Rizqy</t>
  </si>
  <si>
    <t>Hengki Surya Eka Putra</t>
  </si>
  <si>
    <t>Hanif Supriyono</t>
  </si>
  <si>
    <t>Nur Haeni</t>
  </si>
  <si>
    <t>Mohamad Thoni Farkhan</t>
  </si>
  <si>
    <t>Indra Wijaya</t>
  </si>
  <si>
    <t>Erry Kristiyanto</t>
  </si>
  <si>
    <t>Aan Yuliyanto</t>
  </si>
  <si>
    <t>Feriyanto</t>
  </si>
  <si>
    <t>NAMA TIM</t>
  </si>
  <si>
    <t>TIM PRASTIKA</t>
  </si>
  <si>
    <t>TIM DONNY</t>
  </si>
  <si>
    <t>TIM AGUS  WIDODO</t>
  </si>
  <si>
    <t>TIM BAYU BAYU PAMBUDI</t>
  </si>
  <si>
    <t>TIM LINDA PANGESTIKA</t>
  </si>
  <si>
    <t xml:space="preserve">TOTAL </t>
  </si>
  <si>
    <t>TIM ANSI PUTRI</t>
  </si>
  <si>
    <t>TIM MARIA AVIANTI</t>
  </si>
  <si>
    <t>TIM GUGUT JULI</t>
  </si>
  <si>
    <t>TIM DANANG SETYAWAN</t>
  </si>
  <si>
    <t>TIM THERESIA</t>
  </si>
  <si>
    <t>TIM DEMISA ZAI</t>
  </si>
  <si>
    <t>TIM SUMARYADI</t>
  </si>
  <si>
    <t>CIPUTAT</t>
  </si>
  <si>
    <t>Budi Sambodo</t>
  </si>
  <si>
    <t xml:space="preserve">Muhamad Setiawan </t>
  </si>
  <si>
    <t>Muhammad Noval Ramadhan</t>
  </si>
  <si>
    <t>Ukasah</t>
  </si>
  <si>
    <t xml:space="preserve">Widi Widayat </t>
  </si>
  <si>
    <t xml:space="preserve">Erland Erlangga </t>
  </si>
  <si>
    <t>Muhamad Riski</t>
  </si>
  <si>
    <t>Melina</t>
  </si>
  <si>
    <t xml:space="preserve">Monalisa Sipahutar </t>
  </si>
  <si>
    <t xml:space="preserve">Sudarmanto </t>
  </si>
  <si>
    <t xml:space="preserve">Sella Rizkia </t>
  </si>
  <si>
    <t xml:space="preserve">Aprina Siagian </t>
  </si>
  <si>
    <t>Dian Sri Andryani</t>
  </si>
  <si>
    <t xml:space="preserve">Selsa Bella Hutabarat </t>
  </si>
  <si>
    <t xml:space="preserve"> Neinah Damaisari</t>
  </si>
  <si>
    <t xml:space="preserve">Mika Wanti Nainggolan </t>
  </si>
  <si>
    <t>TIM BUDI SAMBODO</t>
  </si>
  <si>
    <t>TIM MONALISA</t>
  </si>
  <si>
    <t>KAB TANGGERANG(LEGOK-CIKASUNGKA)</t>
  </si>
  <si>
    <t xml:space="preserve">Suhardiansyah </t>
  </si>
  <si>
    <t>Dea Maulidah</t>
  </si>
  <si>
    <t>M Azriel Haznam S</t>
  </si>
  <si>
    <t xml:space="preserve">Ayulia Khaerunnisa  </t>
  </si>
  <si>
    <t xml:space="preserve">Rahmawati </t>
  </si>
  <si>
    <t xml:space="preserve">Rizal Fauzi </t>
  </si>
  <si>
    <t xml:space="preserve">Daniel Matius Kolondam </t>
  </si>
  <si>
    <t>Dita Cahyani</t>
  </si>
  <si>
    <t xml:space="preserve">Indah Noviyanti </t>
  </si>
  <si>
    <t xml:space="preserve">Bukhori </t>
  </si>
  <si>
    <t>M Soleh</t>
  </si>
  <si>
    <t xml:space="preserve">Rizki Lazuardi </t>
  </si>
  <si>
    <t>Santoso Nainggolan</t>
  </si>
  <si>
    <t>Santo Yahya Purba</t>
  </si>
  <si>
    <t>Ibbe Arfiah Ambarita</t>
  </si>
  <si>
    <t>Rokhayati BT Wain</t>
  </si>
  <si>
    <t>Bastian Ronaldo Butar Butar</t>
  </si>
  <si>
    <t>Leo Hermansyah</t>
  </si>
  <si>
    <t>Hendrik Pandapotan</t>
  </si>
  <si>
    <t xml:space="preserve">Ninton Silitonga </t>
  </si>
  <si>
    <t>Irwan Panjaitan</t>
  </si>
  <si>
    <t>Deliah Erfaniah</t>
  </si>
  <si>
    <t>Muhamad Rifki Anugrah</t>
  </si>
  <si>
    <t>Eneng Alindah</t>
  </si>
  <si>
    <t>Rehan Apriandra</t>
  </si>
  <si>
    <t>Rico Gabriel Oktavianus</t>
  </si>
  <si>
    <t>Dimposma Hutagalung</t>
  </si>
  <si>
    <t>Hinando Praya Saragih</t>
  </si>
  <si>
    <t>Julietta Winar Pasha</t>
  </si>
  <si>
    <t>Lely Meyana</t>
  </si>
  <si>
    <t>Suriati T.Situmeang</t>
  </si>
  <si>
    <t>Rani Martina Samosir</t>
  </si>
  <si>
    <t>Devi Leni Chrisna</t>
  </si>
  <si>
    <t>Alvin Jon Raya S</t>
  </si>
  <si>
    <t>Bruno Mario</t>
  </si>
  <si>
    <t>Daniel Toni Sagala</t>
  </si>
  <si>
    <t>Irwanto</t>
  </si>
  <si>
    <t>Nia Sapriyanti Wulandari</t>
  </si>
  <si>
    <t>TIM SANTOSO NAINGGOLAN</t>
  </si>
  <si>
    <t>TIM HENDRIK PANDAPOTAN</t>
  </si>
  <si>
    <t>TIM DIMPOSMA HUTAGALUNG</t>
  </si>
  <si>
    <t>TIM ALVIN JON R</t>
  </si>
  <si>
    <t>TIM DANIEL PARLINDUNGAN</t>
  </si>
  <si>
    <t>Fanda Waty Sry Ayu  manalu</t>
  </si>
  <si>
    <t>Gresintia Samosir</t>
  </si>
  <si>
    <t>Sari Nopita Sipahutar</t>
  </si>
  <si>
    <t>Delima Sihotang</t>
  </si>
  <si>
    <t>Fitrianingsih Siregar</t>
  </si>
  <si>
    <t>Aji Prio</t>
  </si>
  <si>
    <t>Melyana Samosir</t>
  </si>
  <si>
    <t>Nova Indriani</t>
  </si>
  <si>
    <t>Nanda Amalia Febriani</t>
  </si>
  <si>
    <t>Lewi Indriyani Panggabean</t>
  </si>
  <si>
    <t>Haryanti</t>
  </si>
  <si>
    <t>Lia Rahmawati</t>
  </si>
  <si>
    <t>Yandira Cahaya Putri</t>
  </si>
  <si>
    <t>Douglas sinaga</t>
  </si>
  <si>
    <t>Abdul zaki</t>
  </si>
  <si>
    <t>Rafika Khoirul</t>
  </si>
  <si>
    <t>Asya Amalia</t>
  </si>
  <si>
    <t>Muhammad Rifal</t>
  </si>
  <si>
    <t>Nurul Fitri</t>
  </si>
  <si>
    <t>Dentya Herdyyanti Gantini</t>
  </si>
  <si>
    <t>TIM FANDA WATY</t>
  </si>
  <si>
    <t>TIM MELYANA SAMOSIR</t>
  </si>
  <si>
    <t>TIM ABDUL ZAKI</t>
  </si>
  <si>
    <t>Bangbang Himun H, S.Kom</t>
  </si>
  <si>
    <t>Hengki Permana</t>
  </si>
  <si>
    <t>Ahmad Syahriar Irawan</t>
  </si>
  <si>
    <t>Falhan Basya</t>
  </si>
  <si>
    <t>Devina Ruslan Se</t>
  </si>
  <si>
    <t>Dudi Gandana</t>
  </si>
  <si>
    <t>Hanifatus Syaidah Zahara</t>
  </si>
  <si>
    <t>Asep Suparman</t>
  </si>
  <si>
    <t>Raisa Siti Ainiyah</t>
  </si>
  <si>
    <t>Hendar Suhendar</t>
  </si>
  <si>
    <t>Davin Alim</t>
  </si>
  <si>
    <t>Agung Dwi Laksono</t>
  </si>
  <si>
    <t>Ari Hidayat</t>
  </si>
  <si>
    <t>Cucu Komarudin</t>
  </si>
  <si>
    <t>Acep Rizal</t>
  </si>
  <si>
    <t>Piki Badarudin</t>
  </si>
  <si>
    <t>Berent Fariz</t>
  </si>
  <si>
    <t>Muhammad Fajar Siddiq</t>
  </si>
  <si>
    <t>Entis</t>
  </si>
  <si>
    <t>Dadang Dimyati</t>
  </si>
  <si>
    <t>Dicky Fauzi Nurhidayat</t>
  </si>
  <si>
    <t>Veri Septiana</t>
  </si>
  <si>
    <t>Feri Ramadhani</t>
  </si>
  <si>
    <t>Yulistia Cahya Kurnia</t>
  </si>
  <si>
    <t>TIM BANGBANG HIMUN</t>
  </si>
  <si>
    <t>TIM RAISA SITI</t>
  </si>
  <si>
    <t>TIM BERENT FARIZ</t>
  </si>
  <si>
    <t>Iman Firman</t>
  </si>
  <si>
    <t>Dian Hernanda</t>
  </si>
  <si>
    <t>Trisna Juliansyah</t>
  </si>
  <si>
    <t>Abdul Koharudin</t>
  </si>
  <si>
    <t>Dasep Abdul Gopur</t>
  </si>
  <si>
    <t>Rudiansyah Moch Azhar</t>
  </si>
  <si>
    <t>Vicky Azhar</t>
  </si>
  <si>
    <t>Jajang Miftah Farid</t>
  </si>
  <si>
    <t>Heri Nurdin J</t>
  </si>
  <si>
    <t>Dede Duhan</t>
  </si>
  <si>
    <t>Dimas Kurnia Asprilla</t>
  </si>
  <si>
    <t>Akbar Pranoto Wibowo</t>
  </si>
  <si>
    <t>Dadang Mulyana</t>
  </si>
  <si>
    <t>Zhehan Thansaharyana</t>
  </si>
  <si>
    <t>Sukma Permana Kusumah</t>
  </si>
  <si>
    <t>Hendra Irawan</t>
  </si>
  <si>
    <t>Deni Wilantara</t>
  </si>
  <si>
    <t>Didi Junaedi</t>
  </si>
  <si>
    <t>Jopi Safari</t>
  </si>
  <si>
    <t>Sopyan Maulana</t>
  </si>
  <si>
    <t>TIM HERI NURDIN</t>
  </si>
  <si>
    <t>TIM SUKMA PERMANA KUSUMAH</t>
  </si>
  <si>
    <t>Agnes Jatnika</t>
  </si>
  <si>
    <t>Ega Imam Syuhada</t>
  </si>
  <si>
    <t>Fuji Firmansyah Saputra</t>
  </si>
  <si>
    <t>Pizki Astrid Desianti</t>
  </si>
  <si>
    <t>Denny Tri Sutendi</t>
  </si>
  <si>
    <t>Iwan Setiawan</t>
  </si>
  <si>
    <t>Eky Al Faruky Mukti</t>
  </si>
  <si>
    <t>Agus sutedi</t>
  </si>
  <si>
    <t>Osa Usman Rusmana</t>
  </si>
  <si>
    <t>Sandi Rustandi</t>
  </si>
  <si>
    <t>Santi Mulyanti</t>
  </si>
  <si>
    <t>Insan Saeful Anwar</t>
  </si>
  <si>
    <t>Eka Kartika</t>
  </si>
  <si>
    <t>Mulyamin Aziz</t>
  </si>
  <si>
    <t>Muchamad Haerudin</t>
  </si>
  <si>
    <t>Arifin</t>
  </si>
  <si>
    <t>Sophan Soleh</t>
  </si>
  <si>
    <t>Edi Sudrajat</t>
  </si>
  <si>
    <t>Dadang Dikdik</t>
  </si>
  <si>
    <t>Iskandar</t>
  </si>
  <si>
    <t>TIM AGNES JATNIKA</t>
  </si>
  <si>
    <t>TIM OSA USMAN</t>
  </si>
  <si>
    <t>TIM MUCHAMAD HAERUDIN</t>
  </si>
  <si>
    <t>Rendra Dudia Sugara, S.T</t>
  </si>
  <si>
    <t>Lusy Krisbiyanti</t>
  </si>
  <si>
    <t>Yayan Sugiana</t>
  </si>
  <si>
    <t>Ujang Yanto Priyanto</t>
  </si>
  <si>
    <t>Yuyun Nugraha</t>
  </si>
  <si>
    <t>Kris Ardianto</t>
  </si>
  <si>
    <t>Dindin Solehudin</t>
  </si>
  <si>
    <t>Sachir Adam Nurba</t>
  </si>
  <si>
    <t>Ipan Sopyan</t>
  </si>
  <si>
    <t>Yulius Hilman</t>
  </si>
  <si>
    <t>Deny Irawan</t>
  </si>
  <si>
    <t>Adi Suryadi</t>
  </si>
  <si>
    <t>Herdin Budiawan</t>
  </si>
  <si>
    <t>Aditya Abdul Muhyi</t>
  </si>
  <si>
    <t>Nanang Supriatna</t>
  </si>
  <si>
    <t>Angga Merdiana</t>
  </si>
  <si>
    <t>Mahmud</t>
  </si>
  <si>
    <t>Ahmad Arif Satriono</t>
  </si>
  <si>
    <t>Deri Kusdiana</t>
  </si>
  <si>
    <t>Yeni Hardiyani</t>
  </si>
  <si>
    <t>TIM RENDRA DUDIA</t>
  </si>
  <si>
    <t>TIM IPAN SOPYAN</t>
  </si>
  <si>
    <t>TIM NANANG SUPRIATNA</t>
  </si>
  <si>
    <t>Gungun Gunawan</t>
  </si>
  <si>
    <t>Enur Husni Mubarok</t>
  </si>
  <si>
    <t>Teten Solehudin</t>
  </si>
  <si>
    <t>Musadad Alfaris</t>
  </si>
  <si>
    <t>Nuri Nuryanti</t>
  </si>
  <si>
    <t>Rifqi Sofwandi</t>
  </si>
  <si>
    <t>Fahmi</t>
  </si>
  <si>
    <t>Aditia Paturohman</t>
  </si>
  <si>
    <t>Trisna Dwinanda</t>
  </si>
  <si>
    <t>Yadi Budiman</t>
  </si>
  <si>
    <t>Rohmat Yusup</t>
  </si>
  <si>
    <t>Wandi Rizki Mauludin</t>
  </si>
  <si>
    <t>Aditya Yuda Pratama</t>
  </si>
  <si>
    <t>Yeyen Yudaningsih</t>
  </si>
  <si>
    <t>Muhammad Husby Mubarok</t>
  </si>
  <si>
    <t>Heri Mulyana</t>
  </si>
  <si>
    <t>Mia Kurniawan</t>
  </si>
  <si>
    <t>Muhammad Al - Barra</t>
  </si>
  <si>
    <t>Nurul Nurbaeti</t>
  </si>
  <si>
    <t>Diki Somantri</t>
  </si>
  <si>
    <t>Boma Jaya Priatna</t>
  </si>
  <si>
    <t>Riki Suganda</t>
  </si>
  <si>
    <t>Alda setiawan</t>
  </si>
  <si>
    <t>Muhamad Rifki Herdiansyah</t>
  </si>
  <si>
    <t>TIM GUNGUN GUNAWAN</t>
  </si>
  <si>
    <t>TIM TRISNA DWINANDA</t>
  </si>
  <si>
    <t>TIM MIA KURNIAWAN</t>
  </si>
  <si>
    <t>Robyana</t>
  </si>
  <si>
    <t>Samsudin</t>
  </si>
  <si>
    <t>Agus Adi Nurhidayat</t>
  </si>
  <si>
    <t>Irsyad Abidin</t>
  </si>
  <si>
    <t>Aep Yudi</t>
  </si>
  <si>
    <t>Muhammad Rafi</t>
  </si>
  <si>
    <t>Septiandi Rohanda</t>
  </si>
  <si>
    <t>Dena Sukandar</t>
  </si>
  <si>
    <t>Soni Lesmana</t>
  </si>
  <si>
    <t>Yendi Herdian</t>
  </si>
  <si>
    <t>Wahyu Agus Santoso</t>
  </si>
  <si>
    <t xml:space="preserve"> Ferry Irawan</t>
  </si>
  <si>
    <t>Riki Ardiyus</t>
  </si>
  <si>
    <t>Roni Herlani</t>
  </si>
  <si>
    <t>Asep Junjun Abdilah</t>
  </si>
  <si>
    <t>Toni Herlani</t>
  </si>
  <si>
    <t>Dimas Eka Pratama</t>
  </si>
  <si>
    <t>Desta Agung Gumelar</t>
  </si>
  <si>
    <t>Irman Sudirman</t>
  </si>
  <si>
    <t>Angga Saputra</t>
  </si>
  <si>
    <t>Rustiana Putra</t>
  </si>
  <si>
    <t>Indra Agung Permana</t>
  </si>
  <si>
    <t>Riyadi Wijaya</t>
  </si>
  <si>
    <t>Hanny Mufridha Sari</t>
  </si>
  <si>
    <t>Tegar Arini</t>
  </si>
  <si>
    <t>TIM ROBYANA</t>
  </si>
  <si>
    <t>TIM SEPTIANDI ROHANDA</t>
  </si>
  <si>
    <t>TIM RONI HERLANI</t>
  </si>
  <si>
    <t>TIM ANGGA SAPUTRA</t>
  </si>
  <si>
    <t>Joni M. Fajar</t>
  </si>
  <si>
    <t>Hendra Darmawan</t>
  </si>
  <si>
    <t>Deni Kurniawan</t>
  </si>
  <si>
    <t>Yeni Sri Ismiati</t>
  </si>
  <si>
    <t>Iki Muhammad Rizky</t>
  </si>
  <si>
    <t>Arief Rachman Hakim</t>
  </si>
  <si>
    <t>Abdul Rachim</t>
  </si>
  <si>
    <t xml:space="preserve">Sri Lestari Butar Butar </t>
  </si>
  <si>
    <t>Purwanto</t>
  </si>
  <si>
    <t>Sutrisno</t>
  </si>
  <si>
    <t>Nyoto</t>
  </si>
  <si>
    <t>Shodik Bagus Setiawan</t>
  </si>
  <si>
    <t>Daffalda Krismonica Septia</t>
  </si>
  <si>
    <t>Osra Adrizal</t>
  </si>
  <si>
    <t>Denita Hulu</t>
  </si>
  <si>
    <t>Ahmad Yani</t>
  </si>
  <si>
    <t>Jalaludin</t>
  </si>
  <si>
    <t>Arif Permana</t>
  </si>
  <si>
    <t>Jafar Sidik</t>
  </si>
  <si>
    <t>Arya Mandzalika</t>
  </si>
  <si>
    <t>Irwan Saputra</t>
  </si>
  <si>
    <t>Asep Hermawan</t>
  </si>
  <si>
    <t>Sarah</t>
  </si>
  <si>
    <t>A. Yuyun</t>
  </si>
  <si>
    <t>Trisna Jumhanadin</t>
  </si>
  <si>
    <t>Sahroni</t>
  </si>
  <si>
    <t>Rohman</t>
  </si>
  <si>
    <t>Yusron Saputra</t>
  </si>
  <si>
    <t>Mohamad karom</t>
  </si>
  <si>
    <t>Surya Harjaya</t>
  </si>
  <si>
    <t>TIM ABDUL RACHIM</t>
  </si>
  <si>
    <t>TIM OSRA ADRIZAL</t>
  </si>
  <si>
    <t>TIM ASEP HERMAWAN</t>
  </si>
  <si>
    <t>TANPA SPV(3 DS)</t>
  </si>
  <si>
    <t>Alviar Yoka Pratama</t>
  </si>
  <si>
    <t xml:space="preserve">Dwi Ega Pamungkas </t>
  </si>
  <si>
    <t>M Fazril Darussalam</t>
  </si>
  <si>
    <t>Nurmalasari</t>
  </si>
  <si>
    <t>Dimas Adianto</t>
  </si>
  <si>
    <t>Dhitya Andhini Nadillah</t>
  </si>
  <si>
    <t>Abu Sidik</t>
  </si>
  <si>
    <t>Asti Agustiani</t>
  </si>
  <si>
    <t>Dede Irwan Setiawiguna</t>
  </si>
  <si>
    <t>Nurdin</t>
  </si>
  <si>
    <t>Ulfah Meilani</t>
  </si>
  <si>
    <t>Burhanudin</t>
  </si>
  <si>
    <t>Iip Sutisna</t>
  </si>
  <si>
    <t>Rosman</t>
  </si>
  <si>
    <t>Yana</t>
  </si>
  <si>
    <t>ACHMADUN</t>
  </si>
  <si>
    <t>MAILAN</t>
  </si>
  <si>
    <t>TRI WAHYONO</t>
  </si>
  <si>
    <t>HARYONO</t>
  </si>
  <si>
    <t>DESI KUSRIYANTI</t>
  </si>
  <si>
    <t>ABDUL RAJAB</t>
  </si>
  <si>
    <t>AJIS SAPTORI</t>
  </si>
  <si>
    <t>ASTRI RAHMAWATI</t>
  </si>
  <si>
    <t>TEGUH PRABOWO</t>
  </si>
  <si>
    <t>SUTAN ALI SOBANA</t>
  </si>
  <si>
    <t>HAFID SANGIDUN</t>
  </si>
  <si>
    <t>SUJA SUDIRJA</t>
  </si>
  <si>
    <t>RD UJANG OTAN HARTANTO</t>
  </si>
  <si>
    <t>UYAT ULI HIDAYAT</t>
  </si>
  <si>
    <t>NEELAM AMALIA</t>
  </si>
  <si>
    <t>ANDI WASNADI</t>
  </si>
  <si>
    <t>UNTUNG WIBOWO</t>
  </si>
  <si>
    <t>CUT SALSABILAH SUCIANI</t>
  </si>
  <si>
    <t>MUHAMAD ALFANI</t>
  </si>
  <si>
    <t>DHANI RAMADON</t>
  </si>
  <si>
    <t>ZULMI RAMADHAN</t>
  </si>
  <si>
    <t>HERU SAPUTRA</t>
  </si>
  <si>
    <t>RAHMAT GUMILANG</t>
  </si>
  <si>
    <t>RIFFAN MUBAROK</t>
  </si>
  <si>
    <t>TIM ACHMADUN</t>
  </si>
  <si>
    <t>TIM TEGUH PRABOWO</t>
  </si>
  <si>
    <t>TIM UNTUNG WIBOWO</t>
  </si>
  <si>
    <t>BAGAS PERMANA</t>
  </si>
  <si>
    <t>RAHMAT HIDAYAT</t>
  </si>
  <si>
    <t>JENAR NURJANI</t>
  </si>
  <si>
    <t>MUHAMMAD JAKA NUGRAHA</t>
  </si>
  <si>
    <t>LILI WARNALI</t>
  </si>
  <si>
    <t>AHMAD BUCHORI</t>
  </si>
  <si>
    <t>YOGI HERMAWAN</t>
  </si>
  <si>
    <t>GILANG BAHTIAR</t>
  </si>
  <si>
    <t>NAZAR YAHYA</t>
  </si>
  <si>
    <t>ARDEN ZUHDI</t>
  </si>
  <si>
    <t>RONI CAHYANI</t>
  </si>
  <si>
    <t>UCI SANUSI</t>
  </si>
  <si>
    <t>DENI WAHYUDIN</t>
  </si>
  <si>
    <t>MOCHAMAD ALEK LESMANA</t>
  </si>
  <si>
    <t>SOLEH SUHADA</t>
  </si>
  <si>
    <t>GANI MAULANA</t>
  </si>
  <si>
    <t>TIM BAGAS PERMANA</t>
  </si>
  <si>
    <t>TIM NAZAR YAHYA</t>
  </si>
  <si>
    <t>PANDI</t>
  </si>
  <si>
    <t>FERRY MAHALIO SUDADI</t>
  </si>
  <si>
    <t>RIDWAN MAULANA</t>
  </si>
  <si>
    <t>PENDI APANDI</t>
  </si>
  <si>
    <t>HERDIANSYAH FAUZAN</t>
  </si>
  <si>
    <t>FERDINAND EKO DEWA</t>
  </si>
  <si>
    <t>AGUNG SURYANINGRAT</t>
  </si>
  <si>
    <t>JONATHAN RIRIHENA</t>
  </si>
  <si>
    <t>DEFFAN KAHFI ADHIGUNA</t>
  </si>
  <si>
    <t>GITUS GISMANA</t>
  </si>
  <si>
    <t>YULI YULIANA</t>
  </si>
  <si>
    <t>YOGI</t>
  </si>
  <si>
    <t>SAKTI</t>
  </si>
  <si>
    <t>Yon Sidek Sagala</t>
  </si>
  <si>
    <t>Delvi Putri Irawanda</t>
  </si>
  <si>
    <t>Ahmad Iqbal Nugroho</t>
  </si>
  <si>
    <t>Tengku Riri Handayani</t>
  </si>
  <si>
    <t>Fredrick Gerhad Sitorus</t>
  </si>
  <si>
    <t>Ticky Pinata Lingga</t>
  </si>
  <si>
    <t>Muhammad Fasha</t>
  </si>
  <si>
    <t>Ival Yoga Sara</t>
  </si>
  <si>
    <t>Imam Ali Abber Harahap</t>
  </si>
  <si>
    <t>Iqbal Ramadhan</t>
  </si>
  <si>
    <t>Fahmi Nur Ikhlas</t>
  </si>
  <si>
    <t>Mhd Hepriandika</t>
  </si>
  <si>
    <t>Hotmauli Simaremare</t>
  </si>
  <si>
    <t>Bahtra Manalu</t>
  </si>
  <si>
    <t>Dian Lestari</t>
  </si>
  <si>
    <t>Gideon Mangaratua Sitanggang</t>
  </si>
  <si>
    <t>Jamot Parningotan Manalu</t>
  </si>
  <si>
    <t>Muhammad Fadhil</t>
  </si>
  <si>
    <t>Dian Adi Putra Hasibuan</t>
  </si>
  <si>
    <t>Raymond Hendrikus Sitanggang</t>
  </si>
  <si>
    <t>Feri Pratama</t>
  </si>
  <si>
    <t>Mhd.Dandi Pratama</t>
  </si>
  <si>
    <t>Pradhana Gani</t>
  </si>
  <si>
    <t>Tasya Fadillah</t>
  </si>
  <si>
    <t>TIM YON SINDEK</t>
  </si>
  <si>
    <t>TIM MUHAMMAD FASHA</t>
  </si>
  <si>
    <t>TIM HOTMAULI</t>
  </si>
  <si>
    <t>TIM DIAN ADI</t>
  </si>
  <si>
    <t>SYAIFUDDIN</t>
  </si>
  <si>
    <t>MAMAN FIRMANSYAH</t>
  </si>
  <si>
    <t>ARYO ADHITYAS SETYO</t>
  </si>
  <si>
    <t>Swardana Arie Ardiansyah</t>
  </si>
  <si>
    <t>Redy Deny Triharyanto</t>
  </si>
  <si>
    <t>Sri Mawarni</t>
  </si>
  <si>
    <t>Gatot Tri Widodo</t>
  </si>
  <si>
    <t>Achmad Bahak Udin</t>
  </si>
  <si>
    <t>Ayok Setiyawan</t>
  </si>
  <si>
    <t>Titik Winarsih</t>
  </si>
  <si>
    <t>Ichwan Rosadi</t>
  </si>
  <si>
    <t>Sugeng Prasetyo</t>
  </si>
  <si>
    <t>Emier Wira Duhita</t>
  </si>
  <si>
    <t>Viky Ferdian</t>
  </si>
  <si>
    <t>Dedy Purnomo</t>
  </si>
  <si>
    <t>Ahmad Saiful</t>
  </si>
  <si>
    <t>Natalia Kurniasari</t>
  </si>
  <si>
    <t>Vincent Hadinata Kosasih</t>
  </si>
  <si>
    <t>Mochamad Andri Sutrisno</t>
  </si>
  <si>
    <t>M Fiqih Hanafi</t>
  </si>
  <si>
    <t>TIM GATOT</t>
  </si>
  <si>
    <t>TIM EMIER</t>
  </si>
  <si>
    <t>Moh Dendron Sekundratmo</t>
  </si>
  <si>
    <t>Andhika Fahmi Wibawa</t>
  </si>
  <si>
    <t>Aufar Ahmad Fadillah Al Islami</t>
  </si>
  <si>
    <t>Bima Sakti</t>
  </si>
  <si>
    <t>Erni Indah Nurfitri</t>
  </si>
  <si>
    <t>Muhammad Faris Agung Fajar</t>
  </si>
  <si>
    <t>Ainun Nafi'</t>
  </si>
  <si>
    <t>TEGUH JUNNARTO</t>
  </si>
  <si>
    <t>NUR BUDI FEBRIANTO</t>
  </si>
  <si>
    <t>DEWI YUNANIK</t>
  </si>
  <si>
    <t>IMA PUSPITASARI</t>
  </si>
  <si>
    <t>DIMAS RAMADHANA</t>
  </si>
  <si>
    <t>VIRDIAS FATKA PRATAMA</t>
  </si>
  <si>
    <t>KHOIRUL SULTONI</t>
  </si>
  <si>
    <t>ARIEF SETYAJI</t>
  </si>
  <si>
    <t>IVON DENSI YOUS MARLINA</t>
  </si>
  <si>
    <t>RAMADHAN VICKO RAFSANJANI</t>
  </si>
  <si>
    <t>LUTFI HIDAYAT</t>
  </si>
  <si>
    <t>TRI LESTARI</t>
  </si>
  <si>
    <t>CAHYO WICAKSONO</t>
  </si>
  <si>
    <t>DAFIT PRASETIO</t>
  </si>
  <si>
    <t>REDIAN NANANG DARMOKO</t>
  </si>
  <si>
    <t>IMAM FATONI</t>
  </si>
  <si>
    <t>TIM TEGUH JUNNARTO</t>
  </si>
  <si>
    <t>TIM ARUEF SETYAJI</t>
  </si>
  <si>
    <t>Riski Ade Wijaya</t>
  </si>
  <si>
    <t>Egi Prasetyo</t>
  </si>
  <si>
    <t>Akhmad Ferdiawan Riansah</t>
  </si>
  <si>
    <t>Riskomar</t>
  </si>
  <si>
    <t>Agusti Ranzaka</t>
  </si>
  <si>
    <t>Djunas Agung Priharda</t>
  </si>
  <si>
    <t>Dahlia</t>
  </si>
  <si>
    <t>Selviani Utami</t>
  </si>
  <si>
    <t>Amanda Desika</t>
  </si>
  <si>
    <t>Yudi Damanhuri</t>
  </si>
  <si>
    <t>Nuryani</t>
  </si>
  <si>
    <t>Maryadi</t>
  </si>
  <si>
    <t>Herlina Maulita</t>
  </si>
  <si>
    <t>Jopiter</t>
  </si>
  <si>
    <t>Zulfikar</t>
  </si>
  <si>
    <t>Silvia Loren</t>
  </si>
  <si>
    <t>TIM RISKI ADE</t>
  </si>
  <si>
    <t>TIM DJUNAS AGUNG</t>
  </si>
  <si>
    <t>TIM YUDI DAMANHURI</t>
  </si>
  <si>
    <t xml:space="preserve">Susanto Hidayat </t>
  </si>
  <si>
    <t xml:space="preserve">Imey meliawati </t>
  </si>
  <si>
    <t>S2</t>
  </si>
  <si>
    <t>Atma Hayyu fitrianti</t>
  </si>
  <si>
    <t xml:space="preserve">Widya Rahma </t>
  </si>
  <si>
    <t xml:space="preserve">Dhea Aprilia </t>
  </si>
  <si>
    <t>Vely friyanti djohan</t>
  </si>
  <si>
    <t xml:space="preserve">Wilson Manalu </t>
  </si>
  <si>
    <t xml:space="preserve">Ira Ismaya </t>
  </si>
  <si>
    <t xml:space="preserve">Sumiati </t>
  </si>
  <si>
    <t>Muhamad alparizi</t>
  </si>
  <si>
    <t xml:space="preserve">Riska Tasya montania Girsang </t>
  </si>
  <si>
    <t xml:space="preserve">Dearren heazel revialy </t>
  </si>
  <si>
    <t>Yogi agusranda</t>
  </si>
  <si>
    <t>Nasa Naurah safwah</t>
  </si>
  <si>
    <t xml:space="preserve">Vivi Yanti Sirait </t>
  </si>
  <si>
    <t>Hapitza albar</t>
  </si>
  <si>
    <t>Sukma anjali</t>
  </si>
  <si>
    <t xml:space="preserve">Aditya fieroz Pratama </t>
  </si>
  <si>
    <t>Muhammad hafi ramzi</t>
  </si>
  <si>
    <t xml:space="preserve">Indah Rahmawati </t>
  </si>
  <si>
    <t xml:space="preserve">Lingga anugrah </t>
  </si>
  <si>
    <t>Atma Hayyu fitriani</t>
  </si>
  <si>
    <t>TAMBUN</t>
  </si>
  <si>
    <t>Binsar Sudarmono S</t>
  </si>
  <si>
    <t xml:space="preserve">Marliana </t>
  </si>
  <si>
    <t xml:space="preserve">Nahum Winardi Putra S </t>
  </si>
  <si>
    <t>Nunung Seftiani</t>
  </si>
  <si>
    <t xml:space="preserve">Friska Olivia Sihaloho </t>
  </si>
  <si>
    <t xml:space="preserve">M. Syahrul </t>
  </si>
  <si>
    <t xml:space="preserve">Boyke Suhendra </t>
  </si>
  <si>
    <t>Mayang Putri</t>
  </si>
  <si>
    <t xml:space="preserve">Exaudi Parulian S </t>
  </si>
  <si>
    <t xml:space="preserve">Iqbal Maulana </t>
  </si>
  <si>
    <t xml:space="preserve">Nurdiansyah Atmanagara </t>
  </si>
  <si>
    <t xml:space="preserve">Ratna Tusyadiyah </t>
  </si>
  <si>
    <t xml:space="preserve">TIM BINSAR </t>
  </si>
  <si>
    <t>TIM BOYKE</t>
  </si>
  <si>
    <t>PARUNG</t>
  </si>
  <si>
    <t>Ahksani Takwin</t>
  </si>
  <si>
    <t>IDA BAGUS KAMAJAYA</t>
  </si>
  <si>
    <t>Aris Supriyadi</t>
  </si>
  <si>
    <t>Muhammad Abidin Ardiyanto</t>
  </si>
  <si>
    <t>Putri puspitasari</t>
  </si>
  <si>
    <t>Nendra dewa kurniawan</t>
  </si>
  <si>
    <t>Andri afrizal</t>
  </si>
  <si>
    <t>Thomas Herdyanto Bagus Prasojo</t>
  </si>
  <si>
    <t>Alifian Aji Adewinata</t>
  </si>
  <si>
    <t>PRANA BRAHMANTYA</t>
  </si>
  <si>
    <t>Antonia Widya</t>
  </si>
  <si>
    <t>Khofsah Noor</t>
  </si>
  <si>
    <t>Francois Febriyanto</t>
  </si>
  <si>
    <t xml:space="preserve">Ardianto Arif Pramono </t>
  </si>
  <si>
    <t>Muhammad Sidqi Kamal</t>
  </si>
  <si>
    <t>Rifka Nailil Muna</t>
  </si>
  <si>
    <t>Nur Salim</t>
  </si>
  <si>
    <t xml:space="preserve">Ahmad Syaikhu </t>
  </si>
  <si>
    <t xml:space="preserve">Taufik Jorgi Kurniawan </t>
  </si>
  <si>
    <t xml:space="preserve">Pramunita Kristianti </t>
  </si>
  <si>
    <t xml:space="preserve">Rindi Adi Pratama </t>
  </si>
  <si>
    <t>HELMY AS'ARY</t>
  </si>
  <si>
    <t>Aries sulistiyanto</t>
  </si>
  <si>
    <t>Habib Akbar</t>
  </si>
  <si>
    <t>Rezki Irwandy</t>
  </si>
  <si>
    <t>Rifqi Mubarak</t>
  </si>
  <si>
    <t>Bayu Satria Putra</t>
  </si>
  <si>
    <t>NUR HADI</t>
  </si>
  <si>
    <t>Yusuf Rani</t>
  </si>
  <si>
    <t>Siti Nurjanah</t>
  </si>
  <si>
    <t>Lilik setiawan</t>
  </si>
  <si>
    <t>Frengky Gilang Adi Pradana</t>
  </si>
  <si>
    <t>Firman Erdianto</t>
  </si>
  <si>
    <t>RUDI KUNCORO</t>
  </si>
  <si>
    <t>Achmad hasan arfie</t>
  </si>
  <si>
    <t>Aditia rahman</t>
  </si>
  <si>
    <t>Lina indriyani</t>
  </si>
  <si>
    <t>Rima kuti</t>
  </si>
  <si>
    <t>Teguh subekti</t>
  </si>
  <si>
    <t xml:space="preserve">AKHMAD HARUN </t>
  </si>
  <si>
    <t>Eri setiawan</t>
  </si>
  <si>
    <t>Dodo kristono</t>
  </si>
  <si>
    <t>Avian wijayanto</t>
  </si>
  <si>
    <t>Widarwanto</t>
  </si>
  <si>
    <t>Nur kholidin</t>
  </si>
  <si>
    <t>Wiwin Apit Yulianto</t>
  </si>
  <si>
    <t>Setyo Nugroho</t>
  </si>
  <si>
    <t>INDRA SETIAWAN</t>
  </si>
  <si>
    <t>Daima</t>
  </si>
  <si>
    <t>Moch syafrany</t>
  </si>
  <si>
    <t>Arief prabowo</t>
  </si>
  <si>
    <t>Anisa salsa nabila meita</t>
  </si>
  <si>
    <t>Anityo kukuh wirastantyo</t>
  </si>
  <si>
    <t>Sudibyo pujo wiyono</t>
  </si>
  <si>
    <t>Dedimy dwi saputra</t>
  </si>
  <si>
    <t>Ida Bagus Kamajaya</t>
  </si>
  <si>
    <t>Prana Brahmantya</t>
  </si>
  <si>
    <t>Helmy Asary</t>
  </si>
  <si>
    <t>Nur Hadi</t>
  </si>
  <si>
    <t>Rudi Kuncoro</t>
  </si>
  <si>
    <t>Akhmad Harun</t>
  </si>
  <si>
    <t>Indra Setiawan</t>
  </si>
  <si>
    <t>SITI NURHAYATI</t>
  </si>
  <si>
    <t>I MADE JULIANTARA</t>
  </si>
  <si>
    <t>Ds</t>
  </si>
  <si>
    <t>NI MADE KARMI</t>
  </si>
  <si>
    <t>PUTU AGUS PRAMANA PUTRA</t>
  </si>
  <si>
    <t>SUGIYANTO</t>
  </si>
  <si>
    <t>NI WAYAN MELLAS RISOMAGI</t>
  </si>
  <si>
    <t>KADEK DEDI RIMAWAN</t>
  </si>
  <si>
    <t>I WAYAN PUTU SARJANA</t>
  </si>
  <si>
    <t>I NENGAH SEMARA PUTA</t>
  </si>
  <si>
    <t>I KOMANG JANUADI</t>
  </si>
  <si>
    <t>BAYU SAPUTRA</t>
  </si>
  <si>
    <t>I GUSTI NGURAH AGUNG RAI RAMANATHA</t>
  </si>
  <si>
    <t xml:space="preserve">TRIANA JIHAN </t>
  </si>
  <si>
    <t>NAWAL FAIQOTUL HIKMAH</t>
  </si>
  <si>
    <t>FEMELIA MAKO</t>
  </si>
  <si>
    <t>MOH AMINULLOH</t>
  </si>
  <si>
    <t xml:space="preserve">DANIEL LOBAIN </t>
  </si>
  <si>
    <t>TIM SITI NURHAYATI</t>
  </si>
  <si>
    <t xml:space="preserve">TIM KADEK DEDI </t>
  </si>
  <si>
    <t>TIM I GUSTI AGUNG</t>
  </si>
  <si>
    <t>GEDE OKA CAHYADI PRATAMA</t>
  </si>
  <si>
    <t>NI LUH PUTU ADINDA SUCI LESTARI</t>
  </si>
  <si>
    <t>NI LUH PUTU ASTITI DEWI</t>
  </si>
  <si>
    <t>MALIANA</t>
  </si>
  <si>
    <t>I MADE CANDRA PRANATA</t>
  </si>
  <si>
    <t>I KADEK ALDI ARTANA</t>
  </si>
  <si>
    <t>RISEGN</t>
  </si>
  <si>
    <t>CICI WULANDARI</t>
  </si>
  <si>
    <t>IRVAN RYNALDI</t>
  </si>
  <si>
    <t>YUDA PRATAMA</t>
  </si>
  <si>
    <t>AGUS JUNIANTO</t>
  </si>
  <si>
    <t>MUHAMMAD CAHYO SAPUTRO</t>
  </si>
  <si>
    <t>HIKMA HAQIQI</t>
  </si>
  <si>
    <t>AHMAD REHAN DIKI PRAYOGA</t>
  </si>
  <si>
    <t xml:space="preserve">NURIS DWI LAILATUS SYAHRA
</t>
  </si>
  <si>
    <t xml:space="preserve">RIZKY JUDOKA PERKASA NAIBAHO
</t>
  </si>
  <si>
    <t>SAFRIZAL HUTAGALUNG</t>
  </si>
  <si>
    <t>EBEN HAZAER ZAI</t>
  </si>
  <si>
    <t>CERELINA TIO FANI</t>
  </si>
  <si>
    <t>JORDI UMBU LELE</t>
  </si>
  <si>
    <t>ADE RIANA</t>
  </si>
  <si>
    <t>IGST NGR MAS MAHAREKSHA BHIMASAKTHI</t>
  </si>
  <si>
    <t>M.DWIKI DHARMAWAN</t>
  </si>
  <si>
    <t>PUTU AGUS DARMAWAN</t>
  </si>
  <si>
    <t>BINTANG SURIADI SIBARANI</t>
  </si>
  <si>
    <t>KAMALUDIN</t>
  </si>
  <si>
    <t>TIM GEDE OKA</t>
  </si>
  <si>
    <t>TIM IRVAN TYNALDI</t>
  </si>
  <si>
    <t>TIM SAFRIZAL</t>
  </si>
  <si>
    <t>TIM M.DWIKI</t>
  </si>
  <si>
    <t>Moh Sadam Putra</t>
  </si>
  <si>
    <t>Mohammad Fa'Is</t>
  </si>
  <si>
    <t>Romi Andri Yudha</t>
  </si>
  <si>
    <t>I Gusti Ngurah Sedana Yukti SH</t>
  </si>
  <si>
    <t>Ni Made Emi Dwita Yustraeni</t>
  </si>
  <si>
    <t>I Ketut Alit Adi Jaya Saputra</t>
  </si>
  <si>
    <t>Jimmi Kurniawan</t>
  </si>
  <si>
    <t>Heri Susanto</t>
  </si>
  <si>
    <t>Erwin Hadi</t>
  </si>
  <si>
    <t>I Putu Nova Eka Swastika</t>
  </si>
  <si>
    <t>Mochammad fauzi</t>
  </si>
  <si>
    <t>Wiji Astuti</t>
  </si>
  <si>
    <t>Novalia Ziantika</t>
  </si>
  <si>
    <t>I Gede Candra Permana Putra Wibawa</t>
  </si>
  <si>
    <t>Zainus Salim</t>
  </si>
  <si>
    <t>Kristin Prihatini</t>
  </si>
  <si>
    <t>Linda Yas'a</t>
  </si>
  <si>
    <t>Ni Kadek Dwi Sucitrawati</t>
  </si>
  <si>
    <t>Mido David Ananda Firdaus</t>
  </si>
  <si>
    <t>TIM JIMMI KURNIAWAN</t>
  </si>
  <si>
    <t>TIM I GEDE CANDRA</t>
  </si>
  <si>
    <t>MASHUDI</t>
  </si>
  <si>
    <t>Hendrik Prasetyo</t>
  </si>
  <si>
    <t>Rizky Akbarudin</t>
  </si>
  <si>
    <t>Sigit Fendian Oktavianto</t>
  </si>
  <si>
    <t>Firdaus Koban</t>
  </si>
  <si>
    <t>Fatahuya alim</t>
  </si>
  <si>
    <t>Catur setyawati</t>
  </si>
  <si>
    <t>ANUGRAH CAHYO WARDIYANTANTO</t>
  </si>
  <si>
    <t>Mega Kristiawan</t>
  </si>
  <si>
    <t>Ahmad Mustofa Habib</t>
  </si>
  <si>
    <t>Yonatan Nurwidiastoni</t>
  </si>
  <si>
    <t>Diah perdana yulianingrum</t>
  </si>
  <si>
    <t>Multazam Bariklana</t>
  </si>
  <si>
    <t>TIM MASHUDI</t>
  </si>
  <si>
    <t>TIM ANUGRAH VAHYO</t>
  </si>
  <si>
    <t>AGUNG SUGIARTO</t>
  </si>
  <si>
    <t>Ahsanul Khuluk</t>
  </si>
  <si>
    <t>Anita Noviani</t>
  </si>
  <si>
    <t xml:space="preserve">Septi prima Aretha </t>
  </si>
  <si>
    <t>Mohamad samsuri</t>
  </si>
  <si>
    <t>Choirus Sakdiyah</t>
  </si>
  <si>
    <t>Yuli Setyoningtyas</t>
  </si>
  <si>
    <t>TRIAS PUSPITASARI</t>
  </si>
  <si>
    <t>Angga Erwanto</t>
  </si>
  <si>
    <t>Hendra</t>
  </si>
  <si>
    <t>Rio priambodo</t>
  </si>
  <si>
    <t>DIKA CATYR SUSILO</t>
  </si>
  <si>
    <t xml:space="preserve">Muhammad Afifuddin </t>
  </si>
  <si>
    <t>Fahmi Fathoni</t>
  </si>
  <si>
    <t>Puput Marlinawati</t>
  </si>
  <si>
    <t>Fitria Jayanti Mahmud</t>
  </si>
  <si>
    <t>Afifah Nilam Sari</t>
  </si>
  <si>
    <t>Rizky Rimayandi Oktiawan</t>
  </si>
  <si>
    <t>Achmad Sahlan Chafid</t>
  </si>
  <si>
    <t>Ragil Yusuf Setiawan</t>
  </si>
  <si>
    <t>Andika Pramudya</t>
  </si>
  <si>
    <t>Jeni Fatika Sari</t>
  </si>
  <si>
    <t>Hawa Noor Fadillah</t>
  </si>
  <si>
    <t>WIDARWANTO</t>
  </si>
  <si>
    <t>ADITIA RAHMAN</t>
  </si>
  <si>
    <t>HANNI MUFRIDHA SARI</t>
  </si>
  <si>
    <t>AREA</t>
  </si>
  <si>
    <t>TIM ALVIAR YOKA</t>
  </si>
  <si>
    <t>KAB.PANDEGLANG</t>
  </si>
  <si>
    <t>TIM DEDE IRAN</t>
  </si>
  <si>
    <t>TIM SUHARDIANSYAH</t>
  </si>
  <si>
    <t>KAB TANGGERANG</t>
  </si>
  <si>
    <t>KOTA TANGGERAG</t>
  </si>
  <si>
    <t>TIM DANIEL KOLONDAM</t>
  </si>
  <si>
    <t>DEPOK</t>
  </si>
  <si>
    <t>TIM SUSANTO</t>
  </si>
  <si>
    <t>TIM WILSON</t>
  </si>
  <si>
    <t xml:space="preserve">TIM YOGI </t>
  </si>
  <si>
    <t>TIM PANDI</t>
  </si>
  <si>
    <t>TANPA SPV(4 DS)</t>
  </si>
  <si>
    <t>TIM DEFAN KAFFI</t>
  </si>
  <si>
    <t>TIM IMAN FIRMAN</t>
  </si>
  <si>
    <t>KAB TASIK</t>
  </si>
  <si>
    <t>TIM JONI FAJAR</t>
  </si>
  <si>
    <t>TIM AGUNG SUGIARTO</t>
  </si>
  <si>
    <t>TIM TRIAS PUSPITA</t>
  </si>
  <si>
    <t>TIM DIKA CATUR</t>
  </si>
  <si>
    <t>TIM RIZKI RIMA</t>
  </si>
  <si>
    <t>TANPA SPV (3 DS)</t>
  </si>
  <si>
    <t>TIM SUHENDI</t>
  </si>
  <si>
    <t>TANPA SPV (5 DS)</t>
  </si>
  <si>
    <t>TIM MUAMMAL</t>
  </si>
  <si>
    <t>TIM MAMAN</t>
  </si>
  <si>
    <t xml:space="preserve">SIDOARJO </t>
  </si>
  <si>
    <t>TIM DENDRON</t>
  </si>
  <si>
    <t>TIM SADAM PUTRA</t>
  </si>
  <si>
    <t>TOTAL DS</t>
  </si>
  <si>
    <t>BEST DS</t>
  </si>
  <si>
    <t>BEST SPV</t>
  </si>
  <si>
    <t>TIM RUDI KUNCORO</t>
  </si>
  <si>
    <t>TIM IDA BAGUS KAMAJAYA</t>
  </si>
  <si>
    <t>TIM PRANA BRAHMANTYA</t>
  </si>
  <si>
    <t>TIM  NUR SALIM</t>
  </si>
  <si>
    <t>TIM  HELMY ASARY</t>
  </si>
  <si>
    <t>TIM  NUR HADI</t>
  </si>
  <si>
    <t>TIM  RUDI KUNCORO</t>
  </si>
  <si>
    <t>TIM  AKHMAD HARUN</t>
  </si>
  <si>
    <t>TIM  INDRA SETIAWAN</t>
  </si>
  <si>
    <t>I MADE RISKY PUTRA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</si>
</sst>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21252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charset val="1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3F3F3F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BF699"/>
      </patternFill>
    </fill>
    <fill>
      <patternFill patternType="solid">
        <fgColor theme="0"/>
        <bgColor rgb="FFFBF7B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9898"/>
      </patternFill>
    </fill>
    <fill>
      <patternFill patternType="solid">
        <fgColor theme="0"/>
        <bgColor rgb="FF92D050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FF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9" fontId="1" fillId="0" borderId="0" applyFont="0" applyFill="0" applyBorder="0" applyAlignment="0" applyProtection="0"/>
    <xf numFmtId="0" fontId="5" fillId="0" borderId="0">
      <alignment vertical="center"/>
    </xf>
    <xf numFmtId="9" fontId="7" fillId="0" borderId="0">
      <alignment vertical="top"/>
      <protection locked="0"/>
    </xf>
    <xf numFmtId="0" fontId="11" fillId="0" borderId="0"/>
    <xf numFmtId="9" fontId="11" fillId="0" borderId="0" applyFont="0" applyFill="0" applyBorder="0" applyAlignment="0" applyProtection="0"/>
    <xf numFmtId="0" fontId="6" fillId="0" borderId="0"/>
    <xf numFmtId="0" fontId="6" fillId="0" borderId="0"/>
    <xf numFmtId="0" fontId="14" fillId="0" borderId="0"/>
    <xf numFmtId="0" fontId="15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/>
    <xf numFmtId="9" fontId="19" fillId="0" borderId="0">
      <alignment vertical="top"/>
      <protection locked="0"/>
    </xf>
    <xf numFmtId="0" fontId="20" fillId="0" borderId="0">
      <protection locked="0"/>
    </xf>
    <xf numFmtId="0" fontId="10" fillId="0" borderId="0"/>
    <xf numFmtId="0" fontId="23" fillId="11" borderId="11" applyNumberFormat="0" applyAlignment="0" applyProtection="0"/>
    <xf numFmtId="9" fontId="14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9" fontId="14" fillId="0" borderId="0" applyFont="0" applyFill="0" applyBorder="0" applyAlignment="0" applyProtection="0"/>
    <xf numFmtId="0" fontId="11" fillId="0" borderId="0"/>
  </cellStyleXfs>
  <cellXfs count="2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0" fillId="4" borderId="1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 vertical="center"/>
    </xf>
    <xf numFmtId="0" fontId="0" fillId="3" borderId="1" xfId="0" applyFill="1" applyBorder="1"/>
    <xf numFmtId="0" fontId="10" fillId="3" borderId="1" xfId="2" applyFont="1" applyFill="1" applyBorder="1" applyAlignment="1"/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9" fontId="0" fillId="3" borderId="1" xfId="0" applyNumberFormat="1" applyFill="1" applyBorder="1"/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10" fillId="4" borderId="1" xfId="4" applyFont="1" applyFill="1" applyBorder="1" applyAlignment="1">
      <alignment horizontal="left" vertical="center"/>
    </xf>
    <xf numFmtId="0" fontId="10" fillId="3" borderId="1" xfId="4" applyFont="1" applyFill="1" applyBorder="1" applyAlignment="1">
      <alignment horizontal="center" vertical="center"/>
    </xf>
    <xf numFmtId="0" fontId="9" fillId="3" borderId="1" xfId="4" applyFont="1" applyFill="1" applyBorder="1" applyAlignment="1">
      <alignment horizontal="left" vertical="center"/>
    </xf>
    <xf numFmtId="0" fontId="9" fillId="3" borderId="1" xfId="4" applyFont="1" applyFill="1" applyBorder="1" applyAlignment="1">
      <alignment horizontal="center" vertical="center"/>
    </xf>
    <xf numFmtId="0" fontId="9" fillId="3" borderId="1" xfId="4" applyFont="1" applyFill="1" applyBorder="1" applyAlignment="1">
      <alignment horizontal="centerContinuous" vertical="center"/>
    </xf>
    <xf numFmtId="0" fontId="2" fillId="3" borderId="1" xfId="0" applyFont="1" applyFill="1" applyBorder="1"/>
    <xf numFmtId="9" fontId="2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9" fillId="4" borderId="1" xfId="4" applyFont="1" applyFill="1" applyBorder="1" applyAlignment="1">
      <alignment horizontal="left" vertical="center"/>
    </xf>
    <xf numFmtId="0" fontId="10" fillId="3" borderId="1" xfId="4" applyFont="1" applyFill="1" applyBorder="1" applyAlignment="1">
      <alignment horizontal="left" vertical="center"/>
    </xf>
    <xf numFmtId="0" fontId="9" fillId="3" borderId="1" xfId="4" applyFont="1" applyFill="1" applyBorder="1" applyAlignment="1">
      <alignment vertical="center"/>
    </xf>
    <xf numFmtId="0" fontId="0" fillId="3" borderId="1" xfId="4" applyFont="1" applyFill="1" applyBorder="1" applyAlignment="1">
      <alignment horizontal="centerContinuous" vertical="center"/>
    </xf>
    <xf numFmtId="0" fontId="0" fillId="3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9" fontId="0" fillId="0" borderId="1" xfId="0" applyNumberFormat="1" applyBorder="1"/>
    <xf numFmtId="0" fontId="8" fillId="3" borderId="1" xfId="4" applyFont="1" applyFill="1" applyBorder="1" applyAlignment="1">
      <alignment horizontal="centerContinuous" vertical="center"/>
    </xf>
    <xf numFmtId="0" fontId="1" fillId="3" borderId="1" xfId="4" applyFont="1" applyFill="1" applyBorder="1" applyAlignment="1">
      <alignment horizontal="left" vertical="center"/>
    </xf>
    <xf numFmtId="9" fontId="2" fillId="2" borderId="1" xfId="0" applyNumberFormat="1" applyFont="1" applyFill="1" applyBorder="1"/>
    <xf numFmtId="9" fontId="2" fillId="0" borderId="1" xfId="0" applyNumberFormat="1" applyFont="1" applyBorder="1"/>
    <xf numFmtId="9" fontId="2" fillId="2" borderId="1" xfId="0" applyNumberFormat="1" applyFont="1" applyFill="1" applyBorder="1" applyAlignment="1">
      <alignment horizontal="center"/>
    </xf>
    <xf numFmtId="0" fontId="0" fillId="3" borderId="1" xfId="8" applyFont="1" applyFill="1" applyBorder="1" applyAlignment="1">
      <alignment horizontal="left"/>
    </xf>
    <xf numFmtId="0" fontId="0" fillId="3" borderId="1" xfId="8" applyFont="1" applyFill="1" applyBorder="1" applyAlignment="1">
      <alignment horizontal="center"/>
    </xf>
    <xf numFmtId="0" fontId="0" fillId="5" borderId="1" xfId="8" applyFont="1" applyFill="1" applyBorder="1" applyAlignment="1">
      <alignment horizontal="center"/>
    </xf>
    <xf numFmtId="0" fontId="0" fillId="3" borderId="1" xfId="8" applyFont="1" applyFill="1" applyBorder="1"/>
    <xf numFmtId="0" fontId="0" fillId="4" borderId="1" xfId="8" applyFont="1" applyFill="1" applyBorder="1"/>
    <xf numFmtId="0" fontId="0" fillId="3" borderId="0" xfId="8" applyFont="1" applyFill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 wrapText="1"/>
    </xf>
    <xf numFmtId="0" fontId="2" fillId="0" borderId="0" xfId="0" applyFont="1"/>
    <xf numFmtId="0" fontId="2" fillId="0" borderId="8" xfId="0" applyFont="1" applyBorder="1"/>
    <xf numFmtId="0" fontId="0" fillId="0" borderId="8" xfId="0" applyBorder="1"/>
    <xf numFmtId="0" fontId="0" fillId="3" borderId="8" xfId="0" applyFill="1" applyBorder="1"/>
    <xf numFmtId="0" fontId="0" fillId="3" borderId="8" xfId="8" applyFont="1" applyFill="1" applyBorder="1"/>
    <xf numFmtId="0" fontId="0" fillId="3" borderId="8" xfId="8" applyFont="1" applyFill="1" applyBorder="1" applyAlignment="1">
      <alignment horizontal="center"/>
    </xf>
    <xf numFmtId="0" fontId="0" fillId="6" borderId="8" xfId="8" applyFont="1" applyFill="1" applyBorder="1" applyAlignment="1">
      <alignment horizontal="center"/>
    </xf>
    <xf numFmtId="0" fontId="0" fillId="7" borderId="8" xfId="8" applyFont="1" applyFill="1" applyBorder="1"/>
    <xf numFmtId="0" fontId="0" fillId="8" borderId="8" xfId="8" applyFont="1" applyFill="1" applyBorder="1" applyAlignment="1">
      <alignment horizontal="center"/>
    </xf>
    <xf numFmtId="0" fontId="10" fillId="3" borderId="8" xfId="8" applyFont="1" applyFill="1" applyBorder="1"/>
    <xf numFmtId="0" fontId="10" fillId="7" borderId="8" xfId="8" applyFont="1" applyFill="1" applyBorder="1"/>
    <xf numFmtId="0" fontId="0" fillId="4" borderId="8" xfId="8" applyFont="1" applyFill="1" applyBorder="1" applyAlignment="1">
      <alignment horizontal="center"/>
    </xf>
    <xf numFmtId="0" fontId="0" fillId="8" borderId="8" xfId="8" applyFont="1" applyFill="1" applyBorder="1"/>
    <xf numFmtId="0" fontId="10" fillId="8" borderId="8" xfId="8" applyFont="1" applyFill="1" applyBorder="1"/>
    <xf numFmtId="9" fontId="0" fillId="3" borderId="8" xfId="0" applyNumberFormat="1" applyFill="1" applyBorder="1"/>
    <xf numFmtId="0" fontId="2" fillId="3" borderId="8" xfId="0" applyFont="1" applyFill="1" applyBorder="1"/>
    <xf numFmtId="9" fontId="2" fillId="3" borderId="8" xfId="0" applyNumberFormat="1" applyFont="1" applyFill="1" applyBorder="1"/>
    <xf numFmtId="0" fontId="15" fillId="0" borderId="0" xfId="9"/>
    <xf numFmtId="9" fontId="2" fillId="0" borderId="8" xfId="0" applyNumberFormat="1" applyFont="1" applyBorder="1"/>
    <xf numFmtId="0" fontId="1" fillId="3" borderId="8" xfId="8" applyFont="1" applyFill="1" applyBorder="1"/>
    <xf numFmtId="0" fontId="1" fillId="3" borderId="8" xfId="8" applyFont="1" applyFill="1" applyBorder="1" applyAlignment="1">
      <alignment horizontal="center"/>
    </xf>
    <xf numFmtId="0" fontId="1" fillId="6" borderId="8" xfId="8" applyFont="1" applyFill="1" applyBorder="1" applyAlignment="1">
      <alignment horizontal="center"/>
    </xf>
    <xf numFmtId="0" fontId="1" fillId="7" borderId="8" xfId="8" applyFont="1" applyFill="1" applyBorder="1"/>
    <xf numFmtId="0" fontId="1" fillId="8" borderId="8" xfId="8" applyFont="1" applyFill="1" applyBorder="1" applyAlignment="1">
      <alignment horizontal="center"/>
    </xf>
    <xf numFmtId="0" fontId="1" fillId="8" borderId="8" xfId="8" applyFont="1" applyFill="1" applyBorder="1"/>
    <xf numFmtId="0" fontId="1" fillId="4" borderId="8" xfId="8" applyFont="1" applyFill="1" applyBorder="1" applyAlignment="1">
      <alignment horizontal="center"/>
    </xf>
    <xf numFmtId="0" fontId="0" fillId="5" borderId="8" xfId="8" applyFont="1" applyFill="1" applyBorder="1" applyAlignment="1">
      <alignment horizontal="center"/>
    </xf>
    <xf numFmtId="0" fontId="10" fillId="9" borderId="8" xfId="8" applyFont="1" applyFill="1" applyBorder="1"/>
    <xf numFmtId="0" fontId="16" fillId="3" borderId="8" xfId="10" applyFont="1" applyFill="1" applyBorder="1" applyAlignment="1">
      <alignment horizontal="center"/>
    </xf>
    <xf numFmtId="0" fontId="16" fillId="3" borderId="8" xfId="10" applyFont="1" applyFill="1" applyBorder="1" applyAlignment="1">
      <alignment horizontal="left"/>
    </xf>
    <xf numFmtId="0" fontId="9" fillId="3" borderId="8" xfId="10" applyFont="1" applyFill="1" applyBorder="1" applyAlignment="1">
      <alignment horizontal="center"/>
    </xf>
    <xf numFmtId="0" fontId="16" fillId="3" borderId="8" xfId="11" applyFont="1" applyFill="1" applyBorder="1" applyAlignment="1">
      <alignment horizontal="center"/>
    </xf>
    <xf numFmtId="0" fontId="16" fillId="3" borderId="8" xfId="11" applyFont="1" applyFill="1" applyBorder="1" applyAlignment="1">
      <alignment horizontal="left"/>
    </xf>
    <xf numFmtId="0" fontId="9" fillId="3" borderId="8" xfId="11" applyFont="1" applyFill="1" applyBorder="1" applyAlignment="1">
      <alignment horizontal="center"/>
    </xf>
    <xf numFmtId="0" fontId="16" fillId="3" borderId="8" xfId="12" applyFont="1" applyFill="1" applyBorder="1" applyAlignment="1">
      <alignment horizontal="center"/>
    </xf>
    <xf numFmtId="0" fontId="16" fillId="3" borderId="8" xfId="12" applyFont="1" applyFill="1" applyBorder="1" applyAlignment="1">
      <alignment horizontal="left"/>
    </xf>
    <xf numFmtId="0" fontId="9" fillId="3" borderId="8" xfId="12" applyFont="1" applyFill="1" applyBorder="1" applyAlignment="1">
      <alignment horizontal="center"/>
    </xf>
    <xf numFmtId="0" fontId="16" fillId="3" borderId="8" xfId="13" applyFont="1" applyFill="1" applyBorder="1" applyAlignment="1">
      <alignment horizontal="center"/>
    </xf>
    <xf numFmtId="0" fontId="16" fillId="3" borderId="8" xfId="13" applyFont="1" applyFill="1" applyBorder="1" applyAlignment="1">
      <alignment horizontal="left"/>
    </xf>
    <xf numFmtId="9" fontId="0" fillId="0" borderId="8" xfId="0" applyNumberFormat="1" applyBorder="1"/>
    <xf numFmtId="0" fontId="9" fillId="0" borderId="8" xfId="14" applyFont="1" applyBorder="1" applyAlignment="1">
      <alignment horizontal="center"/>
    </xf>
    <xf numFmtId="0" fontId="16" fillId="0" borderId="8" xfId="14" applyFont="1" applyBorder="1" applyAlignment="1">
      <alignment horizontal="center"/>
    </xf>
    <xf numFmtId="0" fontId="16" fillId="3" borderId="8" xfId="14" applyFont="1" applyFill="1" applyBorder="1" applyAlignment="1">
      <alignment horizontal="center"/>
    </xf>
    <xf numFmtId="0" fontId="16" fillId="3" borderId="8" xfId="14" applyFont="1" applyFill="1" applyBorder="1" applyAlignment="1">
      <alignment horizontal="left"/>
    </xf>
    <xf numFmtId="0" fontId="9" fillId="3" borderId="8" xfId="14" applyFont="1" applyFill="1" applyBorder="1" applyAlignment="1">
      <alignment horizontal="center"/>
    </xf>
    <xf numFmtId="0" fontId="16" fillId="0" borderId="8" xfId="14" applyFont="1" applyBorder="1" applyAlignment="1">
      <alignment horizontal="left"/>
    </xf>
    <xf numFmtId="0" fontId="16" fillId="3" borderId="8" xfId="15" applyFont="1" applyFill="1" applyBorder="1" applyAlignment="1">
      <alignment horizontal="center"/>
    </xf>
    <xf numFmtId="0" fontId="16" fillId="3" borderId="8" xfId="15" applyFont="1" applyFill="1" applyBorder="1" applyAlignment="1">
      <alignment horizontal="left"/>
    </xf>
    <xf numFmtId="0" fontId="9" fillId="3" borderId="8" xfId="15" applyFont="1" applyFill="1" applyBorder="1" applyAlignment="1">
      <alignment horizontal="center"/>
    </xf>
    <xf numFmtId="0" fontId="1" fillId="3" borderId="8" xfId="15" applyFill="1" applyBorder="1" applyAlignment="1">
      <alignment horizontal="left"/>
    </xf>
    <xf numFmtId="0" fontId="1" fillId="3" borderId="8" xfId="15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8" xfId="0" applyFill="1" applyBorder="1" applyAlignment="1">
      <alignment horizontal="center" wrapText="1"/>
    </xf>
    <xf numFmtId="0" fontId="10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0" fillId="8" borderId="8" xfId="0" applyFill="1" applyBorder="1"/>
    <xf numFmtId="0" fontId="0" fillId="5" borderId="8" xfId="0" applyFill="1" applyBorder="1" applyAlignment="1">
      <alignment horizontal="center"/>
    </xf>
    <xf numFmtId="0" fontId="9" fillId="3" borderId="8" xfId="0" applyFont="1" applyFill="1" applyBorder="1"/>
    <xf numFmtId="0" fontId="10" fillId="3" borderId="8" xfId="16" applyFont="1" applyFill="1" applyBorder="1" applyAlignment="1">
      <alignment horizontal="left"/>
    </xf>
    <xf numFmtId="0" fontId="10" fillId="3" borderId="8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left"/>
    </xf>
    <xf numFmtId="0" fontId="10" fillId="4" borderId="8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10" fillId="3" borderId="8" xfId="0" applyFont="1" applyFill="1" applyBorder="1" applyAlignment="1">
      <alignment vertical="center"/>
    </xf>
    <xf numFmtId="0" fontId="12" fillId="3" borderId="8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0" fillId="3" borderId="8" xfId="18" applyFont="1" applyFill="1" applyBorder="1" applyAlignment="1">
      <alignment horizontal="center" vertical="center"/>
    </xf>
    <xf numFmtId="0" fontId="12" fillId="3" borderId="8" xfId="18" applyFont="1" applyFill="1" applyBorder="1" applyAlignment="1">
      <alignment vertical="center"/>
    </xf>
    <xf numFmtId="0" fontId="0" fillId="3" borderId="8" xfId="18" applyFont="1" applyFill="1" applyBorder="1" applyAlignment="1">
      <alignment vertical="center"/>
    </xf>
    <xf numFmtId="0" fontId="9" fillId="3" borderId="8" xfId="18" applyFont="1" applyFill="1" applyBorder="1" applyAlignment="1">
      <alignment horizontal="center" vertical="center"/>
    </xf>
    <xf numFmtId="0" fontId="0" fillId="3" borderId="8" xfId="18" applyFont="1" applyFill="1" applyBorder="1"/>
    <xf numFmtId="0" fontId="0" fillId="4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centerContinuous" vertical="center"/>
    </xf>
    <xf numFmtId="0" fontId="10" fillId="4" borderId="8" xfId="4" applyFont="1" applyFill="1" applyBorder="1" applyAlignment="1">
      <alignment horizontal="left" vertical="center"/>
    </xf>
    <xf numFmtId="0" fontId="10" fillId="3" borderId="8" xfId="4" applyFont="1" applyFill="1" applyBorder="1" applyAlignment="1">
      <alignment horizontal="center" vertical="center"/>
    </xf>
    <xf numFmtId="0" fontId="0" fillId="3" borderId="8" xfId="4" applyFont="1" applyFill="1" applyBorder="1" applyAlignment="1">
      <alignment horizontal="center" vertical="center"/>
    </xf>
    <xf numFmtId="0" fontId="9" fillId="3" borderId="8" xfId="4" applyFont="1" applyFill="1" applyBorder="1" applyAlignment="1">
      <alignment horizontal="center" vertical="center"/>
    </xf>
    <xf numFmtId="0" fontId="9" fillId="3" borderId="8" xfId="4" applyFont="1" applyFill="1" applyBorder="1" applyAlignment="1">
      <alignment horizontal="left" vertical="center"/>
    </xf>
    <xf numFmtId="0" fontId="0" fillId="3" borderId="8" xfId="4" applyFont="1" applyFill="1" applyBorder="1" applyAlignment="1">
      <alignment horizontal="left" vertical="center"/>
    </xf>
    <xf numFmtId="0" fontId="1" fillId="3" borderId="8" xfId="4" applyFont="1" applyFill="1" applyBorder="1" applyAlignment="1">
      <alignment horizontal="left" vertical="center"/>
    </xf>
    <xf numFmtId="0" fontId="1" fillId="10" borderId="8" xfId="8" applyFont="1" applyFill="1" applyBorder="1" applyAlignment="1">
      <alignment horizontal="center"/>
    </xf>
    <xf numFmtId="0" fontId="1" fillId="5" borderId="8" xfId="8" applyFont="1" applyFill="1" applyBorder="1" applyAlignment="1">
      <alignment horizontal="center"/>
    </xf>
    <xf numFmtId="0" fontId="0" fillId="3" borderId="0" xfId="0" applyFill="1"/>
    <xf numFmtId="0" fontId="0" fillId="10" borderId="8" xfId="8" applyFont="1" applyFill="1" applyBorder="1" applyAlignment="1">
      <alignment horizontal="center"/>
    </xf>
    <xf numFmtId="0" fontId="18" fillId="3" borderId="8" xfId="8" applyFont="1" applyFill="1" applyBorder="1"/>
    <xf numFmtId="0" fontId="18" fillId="7" borderId="8" xfId="8" applyFont="1" applyFill="1" applyBorder="1"/>
    <xf numFmtId="0" fontId="18" fillId="8" borderId="8" xfId="8" applyFont="1" applyFill="1" applyBorder="1"/>
    <xf numFmtId="0" fontId="18" fillId="3" borderId="8" xfId="0" applyFont="1" applyFill="1" applyBorder="1"/>
    <xf numFmtId="0" fontId="18" fillId="10" borderId="8" xfId="8" applyFont="1" applyFill="1" applyBorder="1" applyAlignment="1">
      <alignment horizontal="center"/>
    </xf>
    <xf numFmtId="0" fontId="18" fillId="4" borderId="8" xfId="8" applyFont="1" applyFill="1" applyBorder="1" applyAlignment="1">
      <alignment horizontal="center"/>
    </xf>
    <xf numFmtId="9" fontId="18" fillId="3" borderId="8" xfId="0" applyNumberFormat="1" applyFont="1" applyFill="1" applyBorder="1"/>
    <xf numFmtId="0" fontId="18" fillId="5" borderId="8" xfId="8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1" fillId="3" borderId="8" xfId="2" applyFont="1" applyFill="1" applyBorder="1">
      <alignment vertical="center"/>
    </xf>
    <xf numFmtId="0" fontId="21" fillId="3" borderId="8" xfId="2" applyFont="1" applyFill="1" applyBorder="1" applyAlignment="1">
      <alignment horizontal="center" vertical="center"/>
    </xf>
    <xf numFmtId="0" fontId="21" fillId="3" borderId="8" xfId="2" applyFont="1" applyFill="1" applyBorder="1" applyAlignment="1">
      <alignment horizontal="left" vertical="center"/>
    </xf>
    <xf numFmtId="0" fontId="21" fillId="3" borderId="8" xfId="2" applyFont="1" applyFill="1" applyBorder="1" applyAlignment="1"/>
    <xf numFmtId="0" fontId="22" fillId="3" borderId="8" xfId="2" applyFont="1" applyFill="1" applyBorder="1" applyAlignment="1"/>
    <xf numFmtId="0" fontId="21" fillId="3" borderId="8" xfId="2" applyFont="1" applyFill="1" applyBorder="1" applyAlignment="1">
      <alignment horizontal="center"/>
    </xf>
    <xf numFmtId="0" fontId="22" fillId="3" borderId="8" xfId="2" applyFont="1" applyFill="1" applyBorder="1" applyAlignment="1">
      <alignment vertical="top"/>
    </xf>
    <xf numFmtId="0" fontId="21" fillId="3" borderId="8" xfId="21" applyFont="1" applyFill="1" applyBorder="1" applyAlignment="1" applyProtection="1">
      <alignment horizontal="center"/>
    </xf>
    <xf numFmtId="0" fontId="21" fillId="4" borderId="8" xfId="2" applyFont="1" applyFill="1" applyBorder="1" applyAlignment="1">
      <alignment horizontal="left" vertical="center"/>
    </xf>
    <xf numFmtId="0" fontId="9" fillId="3" borderId="8" xfId="4" applyFont="1" applyFill="1" applyBorder="1" applyAlignment="1">
      <alignment vertical="center"/>
    </xf>
    <xf numFmtId="0" fontId="0" fillId="13" borderId="8" xfId="8" applyFont="1" applyFill="1" applyBorder="1" applyAlignment="1">
      <alignment horizontal="center"/>
    </xf>
    <xf numFmtId="0" fontId="0" fillId="15" borderId="8" xfId="8" applyFont="1" applyFill="1" applyBorder="1" applyAlignment="1">
      <alignment horizontal="center"/>
    </xf>
    <xf numFmtId="0" fontId="0" fillId="15" borderId="8" xfId="8" applyFont="1" applyFill="1" applyBorder="1"/>
    <xf numFmtId="0" fontId="0" fillId="13" borderId="8" xfId="8" applyFont="1" applyFill="1" applyBorder="1" applyAlignment="1">
      <alignment horizontal="left"/>
    </xf>
    <xf numFmtId="0" fontId="0" fillId="15" borderId="8" xfId="8" applyFont="1" applyFill="1" applyBorder="1" applyAlignment="1">
      <alignment horizontal="left"/>
    </xf>
    <xf numFmtId="0" fontId="0" fillId="3" borderId="8" xfId="8" applyFont="1" applyFill="1" applyBorder="1" applyAlignment="1">
      <alignment horizontal="left" vertical="center"/>
    </xf>
    <xf numFmtId="0" fontId="0" fillId="14" borderId="8" xfId="8" applyFont="1" applyFill="1" applyBorder="1"/>
    <xf numFmtId="0" fontId="0" fillId="14" borderId="8" xfId="8" applyFont="1" applyFill="1" applyBorder="1" applyAlignment="1">
      <alignment horizontal="center"/>
    </xf>
    <xf numFmtId="0" fontId="0" fillId="13" borderId="8" xfId="8" applyFont="1" applyFill="1" applyBorder="1"/>
    <xf numFmtId="0" fontId="0" fillId="3" borderId="8" xfId="8" applyFont="1" applyFill="1" applyBorder="1" applyAlignment="1">
      <alignment vertical="center"/>
    </xf>
    <xf numFmtId="0" fontId="0" fillId="3" borderId="8" xfId="8" applyFont="1" applyFill="1" applyBorder="1" applyAlignment="1">
      <alignment vertical="top" wrapText="1"/>
    </xf>
    <xf numFmtId="0" fontId="0" fillId="3" borderId="8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8" xfId="25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0" fillId="3" borderId="8" xfId="25" applyFont="1" applyFill="1" applyBorder="1" applyAlignment="1">
      <alignment horizontal="center" vertical="center"/>
    </xf>
    <xf numFmtId="0" fontId="9" fillId="3" borderId="8" xfId="25" applyFont="1" applyFill="1" applyBorder="1" applyAlignment="1">
      <alignment horizontal="center"/>
    </xf>
    <xf numFmtId="0" fontId="0" fillId="3" borderId="12" xfId="25" applyFont="1" applyFill="1" applyBorder="1" applyAlignment="1">
      <alignment horizontal="center"/>
    </xf>
    <xf numFmtId="0" fontId="9" fillId="3" borderId="8" xfId="25" applyFont="1" applyFill="1" applyBorder="1" applyAlignment="1">
      <alignment horizontal="center" vertical="center"/>
    </xf>
    <xf numFmtId="0" fontId="10" fillId="4" borderId="8" xfId="16" applyFont="1" applyFill="1" applyBorder="1" applyAlignment="1">
      <alignment horizontal="left" vertical="center"/>
    </xf>
    <xf numFmtId="0" fontId="9" fillId="3" borderId="8" xfId="16" applyFont="1" applyFill="1" applyBorder="1" applyAlignment="1">
      <alignment horizontal="left" vertical="center"/>
    </xf>
    <xf numFmtId="0" fontId="10" fillId="3" borderId="8" xfId="16" applyFont="1" applyFill="1" applyBorder="1" applyAlignment="1"/>
    <xf numFmtId="0" fontId="0" fillId="4" borderId="8" xfId="16" applyFont="1" applyFill="1" applyBorder="1" applyAlignment="1">
      <alignment horizontal="left" vertical="center"/>
    </xf>
    <xf numFmtId="0" fontId="0" fillId="3" borderId="8" xfId="16" applyFont="1" applyFill="1" applyBorder="1" applyAlignment="1">
      <alignment horizontal="center" vertical="center"/>
    </xf>
    <xf numFmtId="0" fontId="0" fillId="3" borderId="8" xfId="16" applyFont="1" applyFill="1" applyBorder="1" applyAlignment="1">
      <alignment horizontal="left" vertical="center"/>
    </xf>
    <xf numFmtId="0" fontId="0" fillId="3" borderId="8" xfId="16" applyFont="1" applyFill="1" applyBorder="1" applyAlignment="1"/>
    <xf numFmtId="0" fontId="0" fillId="3" borderId="8" xfId="16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1" fillId="3" borderId="1" xfId="4" applyFont="1" applyFill="1" applyBorder="1" applyAlignment="1">
      <alignment horizontal="center" vertical="center"/>
    </xf>
    <xf numFmtId="0" fontId="1" fillId="4" borderId="1" xfId="4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12" xfId="0" applyFont="1" applyBorder="1" applyAlignment="1">
      <alignment horizontal="center"/>
    </xf>
    <xf numFmtId="0" fontId="2" fillId="0" borderId="4" xfId="0" applyFont="1" applyBorder="1"/>
    <xf numFmtId="0" fontId="24" fillId="0" borderId="8" xfId="0" applyFont="1" applyBorder="1" applyAlignment="1">
      <alignment vertical="center"/>
    </xf>
    <xf numFmtId="0" fontId="0" fillId="3" borderId="8" xfId="8" applyFont="1" applyFill="1" applyBorder="1" applyAlignment="1">
      <alignment horizontal="center" vertical="top" wrapText="1"/>
    </xf>
    <xf numFmtId="0" fontId="6" fillId="12" borderId="8" xfId="0" applyFont="1" applyFill="1" applyBorder="1" applyAlignment="1">
      <alignment horizontal="left" vertical="center"/>
    </xf>
    <xf numFmtId="9" fontId="4" fillId="2" borderId="1" xfId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/>
    </xf>
    <xf numFmtId="10" fontId="2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 wrapText="1"/>
    </xf>
    <xf numFmtId="9" fontId="4" fillId="2" borderId="5" xfId="1" applyFont="1" applyFill="1" applyBorder="1" applyAlignment="1">
      <alignment horizontal="center" vertical="center" wrapText="1"/>
    </xf>
    <xf numFmtId="9" fontId="4" fillId="2" borderId="7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 wrapText="1"/>
    </xf>
    <xf numFmtId="9" fontId="4" fillId="2" borderId="10" xfId="1" applyFont="1" applyFill="1" applyBorder="1" applyAlignment="1">
      <alignment horizontal="center" vertical="center" wrapText="1"/>
    </xf>
  </cellXfs>
  <cellStyles count="34">
    <cellStyle name="Hyperlink" xfId="9" builtinId="8"/>
    <cellStyle name="Normal" xfId="0" builtinId="0"/>
    <cellStyle name="Normal 10" xfId="15" xr:uid="{D95AA881-7EE4-4A33-AF49-AB5E278FC8B6}"/>
    <cellStyle name="Normal 11" xfId="16" xr:uid="{C2140FCA-2C4C-46FD-BF1C-F98602454507}"/>
    <cellStyle name="Normal 12" xfId="18" xr:uid="{D84FCB5F-4027-42A1-9C1A-F4DD657FF17F}"/>
    <cellStyle name="Normal 2" xfId="2" xr:uid="{36020FC0-0718-47E2-95A2-DC16CCCAAFB3}"/>
    <cellStyle name="Normal 2 2" xfId="6" xr:uid="{1CD0FE9D-347A-4DF1-902C-915CDEF325BD}"/>
    <cellStyle name="Normal 2 3" xfId="21" xr:uid="{4E0E7667-9799-4AEB-8EAB-9B5E68ECDFC2}"/>
    <cellStyle name="Normal 2 4" xfId="25" xr:uid="{7D58E4C0-5078-4972-B7B0-9400A458DD06}"/>
    <cellStyle name="Normal 2 5" xfId="31" xr:uid="{D5BBB4E5-7482-4EF4-9579-034647B9890A}"/>
    <cellStyle name="Normal 3" xfId="4" xr:uid="{E7DB6E63-17AE-40CC-961B-09C4EAEE2FBE}"/>
    <cellStyle name="Normal 3 2" xfId="7" xr:uid="{E3EF95F0-C299-4189-8B45-EE9ECF2B887A}"/>
    <cellStyle name="Normal 3 3" xfId="26" xr:uid="{C7969E7F-1158-4B6F-A511-809E108476E4}"/>
    <cellStyle name="Normal 3 4" xfId="27" xr:uid="{7381E228-8857-4B33-8345-545EF1E78FAD}"/>
    <cellStyle name="Normal 4" xfId="8" xr:uid="{7BC23085-2024-4197-B71F-D34AE5C6901F}"/>
    <cellStyle name="Normal 4 2" xfId="28" xr:uid="{598C22EC-9810-4345-B3F7-24816C39550A}"/>
    <cellStyle name="Normal 5" xfId="10" xr:uid="{9ADC1547-A6D8-46EA-937F-1DAA09871ABC}"/>
    <cellStyle name="Normal 5 2" xfId="22" xr:uid="{62FD8FB8-3413-494E-BF0D-623DED33F4D2}"/>
    <cellStyle name="Normal 5 3" xfId="29" xr:uid="{2948F452-4EE1-4AD3-AA24-FF9CD4FBB480}"/>
    <cellStyle name="Normal 6" xfId="11" xr:uid="{C4A2E757-E209-4506-A281-C0D3DB3BF2FA}"/>
    <cellStyle name="Normal 6 2" xfId="33" xr:uid="{07711128-F81F-4DE5-B06E-5F46059933BD}"/>
    <cellStyle name="Normal 7" xfId="12" xr:uid="{02D45DAC-0CDB-47AE-BA32-36558EF6E02A}"/>
    <cellStyle name="Normal 7 2" xfId="30" xr:uid="{1A0DB8D4-ECB3-480C-99BB-00E8769970CA}"/>
    <cellStyle name="Normal 8" xfId="13" xr:uid="{DE3C141D-A50C-4F63-B0CF-67D0AB88F87D}"/>
    <cellStyle name="Normal 9" xfId="14" xr:uid="{BB418596-69F0-426E-8F73-C918324F2154}"/>
    <cellStyle name="Output 2" xfId="23" xr:uid="{17959919-FBC6-4FAC-B862-2A9EBFAC1ECB}"/>
    <cellStyle name="Percent" xfId="1" builtinId="5"/>
    <cellStyle name="Percent 2" xfId="3" xr:uid="{BE07FD20-3292-4B4D-90B4-D88C310897FF}"/>
    <cellStyle name="Percent 2 2" xfId="32" xr:uid="{639B3C7A-86BB-45E4-8FA6-D6CD1713561F}"/>
    <cellStyle name="Percent 3" xfId="5" xr:uid="{5CDA38E8-2F9F-4351-B204-59C088B43361}"/>
    <cellStyle name="Percent 4" xfId="17" xr:uid="{8C0300DB-72F2-4CBB-A698-B1A8D70908DE}"/>
    <cellStyle name="Percent 5" xfId="19" xr:uid="{A04D66BC-F814-4D18-B592-A8BEED0EEDD0}"/>
    <cellStyle name="Percent 6" xfId="20" xr:uid="{F17BF6E0-FF53-4AD5-B159-D0482295046D}"/>
    <cellStyle name="Percent 7" xfId="24" xr:uid="{C44F90C0-B9CF-49D9-A780-47FD2B4290A2}"/>
  </cellStyles>
  <dxfs count="2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Medium2" defaultPivotStyle="PivotStyleLight16">
    <tableStyle name="TableStylePreset3_Accent1" pivot="0" count="7" xr9:uid="{40F08AA6-DD53-4F13-BCF9-E1F6BE0C7569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728DD1C9-D269-4C63-83C9-D003CEDB3A9F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  <tableStyle name="TASIKMALAYA-style" pivot="0" count="3" xr9:uid="{9BD72473-3CD9-478D-AF2D-4820E15BDC7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BB8C-3003-40A2-87F6-C9A03D55D3E2}">
  <dimension ref="C2:I51"/>
  <sheetViews>
    <sheetView topLeftCell="A49" workbookViewId="0">
      <selection activeCell="K42" sqref="K42"/>
    </sheetView>
  </sheetViews>
  <sheetFormatPr defaultRowHeight="14.5"/>
  <cols>
    <col min="3" max="3" width="6.36328125" customWidth="1"/>
    <col min="4" max="4" width="24.7265625" customWidth="1"/>
    <col min="6" max="7" width="8.7265625" style="13"/>
    <col min="8" max="8" width="13.36328125" style="13" customWidth="1"/>
    <col min="9" max="9" width="11.90625" style="16" customWidth="1"/>
  </cols>
  <sheetData>
    <row r="2" spans="3:9">
      <c r="C2" s="203" t="s">
        <v>38</v>
      </c>
      <c r="D2" s="203" t="s">
        <v>39</v>
      </c>
      <c r="E2" s="203" t="s">
        <v>40</v>
      </c>
      <c r="F2" s="205" t="s">
        <v>41</v>
      </c>
      <c r="G2" s="205" t="s">
        <v>42</v>
      </c>
      <c r="H2" s="205" t="s">
        <v>43</v>
      </c>
      <c r="I2" s="202" t="s">
        <v>6</v>
      </c>
    </row>
    <row r="3" spans="3:9">
      <c r="C3" s="204"/>
      <c r="D3" s="204"/>
      <c r="E3" s="204"/>
      <c r="F3" s="206"/>
      <c r="G3" s="206"/>
      <c r="H3" s="206"/>
      <c r="I3" s="202"/>
    </row>
    <row r="4" spans="3:9">
      <c r="C4" s="26">
        <v>1</v>
      </c>
      <c r="D4" s="27" t="s">
        <v>44</v>
      </c>
      <c r="E4" s="12" t="s">
        <v>45</v>
      </c>
      <c r="F4" s="12">
        <v>830</v>
      </c>
      <c r="G4" s="12">
        <v>338</v>
      </c>
      <c r="H4" s="12">
        <f>G4-F4</f>
        <v>-492</v>
      </c>
      <c r="I4" s="152">
        <f>G4/F4*100%</f>
        <v>0.40722891566265063</v>
      </c>
    </row>
    <row r="5" spans="3:9">
      <c r="C5" s="26">
        <v>2</v>
      </c>
      <c r="D5" s="27" t="s">
        <v>46</v>
      </c>
      <c r="E5" s="12" t="s">
        <v>45</v>
      </c>
      <c r="F5" s="12">
        <v>490</v>
      </c>
      <c r="G5" s="12">
        <v>249</v>
      </c>
      <c r="H5" s="12">
        <f t="shared" ref="H5:H51" si="0">G5-F5</f>
        <v>-241</v>
      </c>
      <c r="I5" s="152">
        <f t="shared" ref="I5:I51" si="1">G5/F5*100%</f>
        <v>0.50816326530612244</v>
      </c>
    </row>
    <row r="6" spans="3:9">
      <c r="C6" s="26">
        <v>3</v>
      </c>
      <c r="D6" s="27" t="s">
        <v>47</v>
      </c>
      <c r="E6" s="12" t="s">
        <v>45</v>
      </c>
      <c r="F6" s="12">
        <v>380</v>
      </c>
      <c r="G6" s="12">
        <v>262</v>
      </c>
      <c r="H6" s="12">
        <f t="shared" si="0"/>
        <v>-118</v>
      </c>
      <c r="I6" s="152">
        <f t="shared" si="1"/>
        <v>0.68947368421052635</v>
      </c>
    </row>
    <row r="7" spans="3:9">
      <c r="C7" s="26">
        <v>4</v>
      </c>
      <c r="D7" s="27" t="s">
        <v>48</v>
      </c>
      <c r="E7" s="12" t="s">
        <v>45</v>
      </c>
      <c r="F7" s="12">
        <v>150</v>
      </c>
      <c r="G7" s="12">
        <v>49</v>
      </c>
      <c r="H7" s="12">
        <f t="shared" si="0"/>
        <v>-101</v>
      </c>
      <c r="I7" s="152">
        <f t="shared" si="1"/>
        <v>0.32666666666666666</v>
      </c>
    </row>
    <row r="8" spans="3:9">
      <c r="C8" s="26">
        <v>5</v>
      </c>
      <c r="D8" s="27" t="s">
        <v>49</v>
      </c>
      <c r="E8" s="12" t="s">
        <v>45</v>
      </c>
      <c r="F8" s="12">
        <v>150</v>
      </c>
      <c r="G8" s="12">
        <v>115</v>
      </c>
      <c r="H8" s="12">
        <f t="shared" si="0"/>
        <v>-35</v>
      </c>
      <c r="I8" s="152">
        <f t="shared" si="1"/>
        <v>0.76666666666666672</v>
      </c>
    </row>
    <row r="9" spans="3:9">
      <c r="C9" s="26">
        <v>6</v>
      </c>
      <c r="D9" s="28" t="s">
        <v>50</v>
      </c>
      <c r="E9" s="29" t="s">
        <v>45</v>
      </c>
      <c r="F9" s="12">
        <v>150</v>
      </c>
      <c r="G9" s="12">
        <v>91</v>
      </c>
      <c r="H9" s="12">
        <f t="shared" si="0"/>
        <v>-59</v>
      </c>
      <c r="I9" s="152">
        <f t="shared" si="1"/>
        <v>0.60666666666666669</v>
      </c>
    </row>
    <row r="10" spans="3:9">
      <c r="C10" s="26">
        <v>7</v>
      </c>
      <c r="D10" s="28" t="s">
        <v>51</v>
      </c>
      <c r="E10" s="29" t="s">
        <v>45</v>
      </c>
      <c r="F10" s="12">
        <v>150</v>
      </c>
      <c r="G10" s="12">
        <v>114</v>
      </c>
      <c r="H10" s="12">
        <f t="shared" si="0"/>
        <v>-36</v>
      </c>
      <c r="I10" s="152">
        <f t="shared" si="1"/>
        <v>0.76</v>
      </c>
    </row>
    <row r="11" spans="3:9">
      <c r="C11" s="26">
        <v>8</v>
      </c>
      <c r="D11" s="28" t="s">
        <v>52</v>
      </c>
      <c r="E11" s="29" t="s">
        <v>45</v>
      </c>
      <c r="F11" s="12">
        <v>150</v>
      </c>
      <c r="G11" s="12">
        <v>75</v>
      </c>
      <c r="H11" s="12">
        <f t="shared" si="0"/>
        <v>-75</v>
      </c>
      <c r="I11" s="152">
        <f t="shared" si="1"/>
        <v>0.5</v>
      </c>
    </row>
    <row r="12" spans="3:9">
      <c r="C12" s="26">
        <v>9</v>
      </c>
      <c r="D12" s="28" t="s">
        <v>53</v>
      </c>
      <c r="E12" s="29" t="s">
        <v>45</v>
      </c>
      <c r="F12" s="12">
        <v>230</v>
      </c>
      <c r="G12" s="12">
        <v>36</v>
      </c>
      <c r="H12" s="12">
        <f t="shared" si="0"/>
        <v>-194</v>
      </c>
      <c r="I12" s="152">
        <f t="shared" si="1"/>
        <v>0.15652173913043479</v>
      </c>
    </row>
    <row r="13" spans="3:9">
      <c r="C13" s="26">
        <v>10</v>
      </c>
      <c r="D13" s="28" t="s">
        <v>54</v>
      </c>
      <c r="E13" s="29" t="s">
        <v>45</v>
      </c>
      <c r="F13" s="12">
        <v>300</v>
      </c>
      <c r="G13" s="12">
        <v>160</v>
      </c>
      <c r="H13" s="12">
        <f t="shared" si="0"/>
        <v>-140</v>
      </c>
      <c r="I13" s="152">
        <f t="shared" si="1"/>
        <v>0.53333333333333333</v>
      </c>
    </row>
    <row r="14" spans="3:9">
      <c r="C14" s="26">
        <v>11</v>
      </c>
      <c r="D14" s="28" t="s">
        <v>55</v>
      </c>
      <c r="E14" s="29" t="s">
        <v>45</v>
      </c>
      <c r="F14" s="12">
        <v>605</v>
      </c>
      <c r="G14" s="12">
        <v>363</v>
      </c>
      <c r="H14" s="12">
        <f t="shared" si="0"/>
        <v>-242</v>
      </c>
      <c r="I14" s="152">
        <f t="shared" si="1"/>
        <v>0.6</v>
      </c>
    </row>
    <row r="15" spans="3:9">
      <c r="C15" s="26">
        <v>12</v>
      </c>
      <c r="D15" s="28" t="s">
        <v>56</v>
      </c>
      <c r="E15" s="29" t="s">
        <v>45</v>
      </c>
      <c r="F15" s="12">
        <v>190</v>
      </c>
      <c r="G15" s="12">
        <v>131</v>
      </c>
      <c r="H15" s="12">
        <f t="shared" si="0"/>
        <v>-59</v>
      </c>
      <c r="I15" s="152">
        <f t="shared" si="1"/>
        <v>0.68947368421052635</v>
      </c>
    </row>
    <row r="16" spans="3:9">
      <c r="C16" s="26">
        <v>13</v>
      </c>
      <c r="D16" s="30" t="s">
        <v>57</v>
      </c>
      <c r="E16" s="12" t="s">
        <v>45</v>
      </c>
      <c r="F16" s="12">
        <v>190</v>
      </c>
      <c r="G16" s="12">
        <v>153</v>
      </c>
      <c r="H16" s="12">
        <f t="shared" si="0"/>
        <v>-37</v>
      </c>
      <c r="I16" s="152">
        <f t="shared" si="1"/>
        <v>0.80526315789473679</v>
      </c>
    </row>
    <row r="17" spans="3:9">
      <c r="C17" s="26">
        <v>14</v>
      </c>
      <c r="D17" s="30" t="s">
        <v>58</v>
      </c>
      <c r="E17" s="12" t="s">
        <v>45</v>
      </c>
      <c r="F17" s="12">
        <v>570</v>
      </c>
      <c r="G17" s="12">
        <v>339</v>
      </c>
      <c r="H17" s="12">
        <f t="shared" si="0"/>
        <v>-231</v>
      </c>
      <c r="I17" s="152">
        <f t="shared" si="1"/>
        <v>0.59473684210526312</v>
      </c>
    </row>
    <row r="18" spans="3:9">
      <c r="C18" s="26">
        <v>15</v>
      </c>
      <c r="D18" s="30" t="s">
        <v>59</v>
      </c>
      <c r="E18" s="12" t="s">
        <v>45</v>
      </c>
      <c r="F18" s="12">
        <v>380</v>
      </c>
      <c r="G18" s="12">
        <v>267</v>
      </c>
      <c r="H18" s="12">
        <f t="shared" si="0"/>
        <v>-113</v>
      </c>
      <c r="I18" s="152">
        <f t="shared" si="1"/>
        <v>0.70263157894736838</v>
      </c>
    </row>
    <row r="19" spans="3:9">
      <c r="C19" s="26">
        <v>16</v>
      </c>
      <c r="D19" s="30" t="s">
        <v>60</v>
      </c>
      <c r="E19" s="12" t="s">
        <v>45</v>
      </c>
      <c r="F19" s="12">
        <v>150</v>
      </c>
      <c r="G19" s="12">
        <v>101</v>
      </c>
      <c r="H19" s="12">
        <f t="shared" si="0"/>
        <v>-49</v>
      </c>
      <c r="I19" s="152">
        <f t="shared" si="1"/>
        <v>0.67333333333333334</v>
      </c>
    </row>
    <row r="20" spans="3:9">
      <c r="C20" s="26">
        <v>17</v>
      </c>
      <c r="D20" s="30" t="s">
        <v>61</v>
      </c>
      <c r="E20" s="12" t="s">
        <v>45</v>
      </c>
      <c r="F20" s="12">
        <v>100</v>
      </c>
      <c r="G20" s="12">
        <v>14</v>
      </c>
      <c r="H20" s="12">
        <f t="shared" si="0"/>
        <v>-86</v>
      </c>
      <c r="I20" s="152">
        <f t="shared" si="1"/>
        <v>0.14000000000000001</v>
      </c>
    </row>
    <row r="21" spans="3:9">
      <c r="C21" s="26">
        <v>18</v>
      </c>
      <c r="D21" s="30" t="s">
        <v>62</v>
      </c>
      <c r="E21" s="12" t="s">
        <v>45</v>
      </c>
      <c r="F21" s="12">
        <v>150</v>
      </c>
      <c r="G21" s="12">
        <v>25</v>
      </c>
      <c r="H21" s="12">
        <f t="shared" si="0"/>
        <v>-125</v>
      </c>
      <c r="I21" s="152">
        <f t="shared" si="1"/>
        <v>0.16666666666666666</v>
      </c>
    </row>
    <row r="22" spans="3:9">
      <c r="C22" s="26">
        <v>19</v>
      </c>
      <c r="D22" s="30" t="s">
        <v>63</v>
      </c>
      <c r="E22" s="12" t="s">
        <v>45</v>
      </c>
      <c r="F22" s="12">
        <v>570</v>
      </c>
      <c r="G22" s="12">
        <v>434</v>
      </c>
      <c r="H22" s="12">
        <f t="shared" si="0"/>
        <v>-136</v>
      </c>
      <c r="I22" s="152">
        <f t="shared" si="1"/>
        <v>0.76140350877192986</v>
      </c>
    </row>
    <row r="23" spans="3:9">
      <c r="C23" s="26">
        <v>20</v>
      </c>
      <c r="D23" s="30" t="s">
        <v>64</v>
      </c>
      <c r="E23" s="12" t="s">
        <v>45</v>
      </c>
      <c r="F23" s="12">
        <v>190</v>
      </c>
      <c r="G23" s="12">
        <v>120</v>
      </c>
      <c r="H23" s="12">
        <f t="shared" si="0"/>
        <v>-70</v>
      </c>
      <c r="I23" s="152">
        <f t="shared" si="1"/>
        <v>0.63157894736842102</v>
      </c>
    </row>
    <row r="24" spans="3:9">
      <c r="C24" s="26">
        <v>21</v>
      </c>
      <c r="D24" s="30" t="s">
        <v>65</v>
      </c>
      <c r="E24" s="12" t="s">
        <v>45</v>
      </c>
      <c r="F24" s="12">
        <v>490</v>
      </c>
      <c r="G24" s="12">
        <v>255</v>
      </c>
      <c r="H24" s="12">
        <f t="shared" si="0"/>
        <v>-235</v>
      </c>
      <c r="I24" s="152">
        <f t="shared" si="1"/>
        <v>0.52040816326530615</v>
      </c>
    </row>
    <row r="25" spans="3:9">
      <c r="C25" s="26">
        <v>22</v>
      </c>
      <c r="D25" s="30" t="s">
        <v>66</v>
      </c>
      <c r="E25" s="12" t="s">
        <v>45</v>
      </c>
      <c r="F25" s="12">
        <v>300</v>
      </c>
      <c r="G25" s="12">
        <v>148</v>
      </c>
      <c r="H25" s="12">
        <f t="shared" si="0"/>
        <v>-152</v>
      </c>
      <c r="I25" s="152">
        <f t="shared" si="1"/>
        <v>0.49333333333333335</v>
      </c>
    </row>
    <row r="26" spans="3:9">
      <c r="C26" s="26">
        <v>23</v>
      </c>
      <c r="D26" s="30" t="s">
        <v>67</v>
      </c>
      <c r="E26" s="12" t="s">
        <v>45</v>
      </c>
      <c r="F26" s="12">
        <v>600</v>
      </c>
      <c r="G26" s="12">
        <v>440</v>
      </c>
      <c r="H26" s="12">
        <f t="shared" si="0"/>
        <v>-160</v>
      </c>
      <c r="I26" s="152">
        <f t="shared" si="1"/>
        <v>0.73333333333333328</v>
      </c>
    </row>
    <row r="27" spans="3:9">
      <c r="C27" s="26">
        <v>24</v>
      </c>
      <c r="D27" s="30" t="s">
        <v>68</v>
      </c>
      <c r="E27" s="12" t="s">
        <v>45</v>
      </c>
      <c r="F27" s="12">
        <v>570</v>
      </c>
      <c r="G27" s="12">
        <v>361</v>
      </c>
      <c r="H27" s="12">
        <f t="shared" si="0"/>
        <v>-209</v>
      </c>
      <c r="I27" s="152">
        <f t="shared" si="1"/>
        <v>0.6333333333333333</v>
      </c>
    </row>
    <row r="28" spans="3:9">
      <c r="C28" s="26">
        <v>25</v>
      </c>
      <c r="D28" s="30" t="s">
        <v>69</v>
      </c>
      <c r="E28" s="12" t="s">
        <v>45</v>
      </c>
      <c r="F28" s="12">
        <v>490</v>
      </c>
      <c r="G28" s="12">
        <v>341</v>
      </c>
      <c r="H28" s="12">
        <f t="shared" si="0"/>
        <v>-149</v>
      </c>
      <c r="I28" s="152">
        <f t="shared" si="1"/>
        <v>0.69591836734693879</v>
      </c>
    </row>
    <row r="29" spans="3:9">
      <c r="C29" s="26">
        <v>26</v>
      </c>
      <c r="D29" s="30" t="s">
        <v>70</v>
      </c>
      <c r="E29" s="12" t="s">
        <v>45</v>
      </c>
      <c r="F29" s="12">
        <v>1360</v>
      </c>
      <c r="G29" s="12">
        <v>1134</v>
      </c>
      <c r="H29" s="12">
        <f t="shared" si="0"/>
        <v>-226</v>
      </c>
      <c r="I29" s="152">
        <f t="shared" si="1"/>
        <v>0.83382352941176474</v>
      </c>
    </row>
    <row r="30" spans="3:9">
      <c r="C30" s="26">
        <v>27</v>
      </c>
      <c r="D30" s="30" t="s">
        <v>71</v>
      </c>
      <c r="E30" s="12" t="s">
        <v>45</v>
      </c>
      <c r="F30" s="12">
        <v>150</v>
      </c>
      <c r="G30" s="12">
        <v>17</v>
      </c>
      <c r="H30" s="12">
        <f t="shared" si="0"/>
        <v>-133</v>
      </c>
      <c r="I30" s="152">
        <f t="shared" si="1"/>
        <v>0.11333333333333333</v>
      </c>
    </row>
    <row r="31" spans="3:9">
      <c r="C31" s="26">
        <v>28</v>
      </c>
      <c r="D31" s="30" t="s">
        <v>72</v>
      </c>
      <c r="E31" s="12" t="s">
        <v>45</v>
      </c>
      <c r="F31" s="12">
        <v>340</v>
      </c>
      <c r="G31" s="12">
        <v>290</v>
      </c>
      <c r="H31" s="12">
        <f t="shared" si="0"/>
        <v>-50</v>
      </c>
      <c r="I31" s="152">
        <f t="shared" si="1"/>
        <v>0.8529411764705882</v>
      </c>
    </row>
    <row r="32" spans="3:9">
      <c r="C32" s="26">
        <v>29</v>
      </c>
      <c r="D32" s="30" t="s">
        <v>73</v>
      </c>
      <c r="E32" s="12" t="s">
        <v>45</v>
      </c>
      <c r="F32" s="12">
        <v>450</v>
      </c>
      <c r="G32" s="12">
        <v>188</v>
      </c>
      <c r="H32" s="12">
        <f t="shared" si="0"/>
        <v>-262</v>
      </c>
      <c r="I32" s="152">
        <f t="shared" si="1"/>
        <v>0.4177777777777778</v>
      </c>
    </row>
    <row r="33" spans="3:9">
      <c r="C33" s="26">
        <v>30</v>
      </c>
      <c r="D33" s="30" t="s">
        <v>74</v>
      </c>
      <c r="E33" s="12" t="s">
        <v>45</v>
      </c>
      <c r="F33" s="12">
        <v>600</v>
      </c>
      <c r="G33" s="12">
        <v>276</v>
      </c>
      <c r="H33" s="12">
        <f t="shared" si="0"/>
        <v>-324</v>
      </c>
      <c r="I33" s="152">
        <f t="shared" si="1"/>
        <v>0.46</v>
      </c>
    </row>
    <row r="34" spans="3:9">
      <c r="C34" s="26">
        <v>31</v>
      </c>
      <c r="D34" s="30" t="s">
        <v>75</v>
      </c>
      <c r="E34" s="12" t="s">
        <v>45</v>
      </c>
      <c r="F34" s="12">
        <v>150</v>
      </c>
      <c r="G34" s="12">
        <v>71</v>
      </c>
      <c r="H34" s="12">
        <f t="shared" si="0"/>
        <v>-79</v>
      </c>
      <c r="I34" s="152">
        <f t="shared" si="1"/>
        <v>0.47333333333333333</v>
      </c>
    </row>
    <row r="35" spans="3:9">
      <c r="C35" s="26">
        <v>32</v>
      </c>
      <c r="D35" s="30" t="s">
        <v>76</v>
      </c>
      <c r="E35" s="12" t="s">
        <v>45</v>
      </c>
      <c r="F35" s="12">
        <v>530</v>
      </c>
      <c r="G35" s="12">
        <v>257</v>
      </c>
      <c r="H35" s="12">
        <f t="shared" si="0"/>
        <v>-273</v>
      </c>
      <c r="I35" s="152">
        <f t="shared" si="1"/>
        <v>0.48490566037735849</v>
      </c>
    </row>
    <row r="36" spans="3:9">
      <c r="C36" s="26">
        <v>33</v>
      </c>
      <c r="D36" s="30" t="s">
        <v>77</v>
      </c>
      <c r="E36" s="12" t="s">
        <v>45</v>
      </c>
      <c r="F36" s="12">
        <v>150</v>
      </c>
      <c r="G36" s="12">
        <v>67</v>
      </c>
      <c r="H36" s="12">
        <f t="shared" si="0"/>
        <v>-83</v>
      </c>
      <c r="I36" s="152">
        <f t="shared" si="1"/>
        <v>0.44666666666666666</v>
      </c>
    </row>
    <row r="37" spans="3:9">
      <c r="C37" s="26">
        <v>34</v>
      </c>
      <c r="D37" s="30" t="s">
        <v>78</v>
      </c>
      <c r="E37" s="12" t="s">
        <v>45</v>
      </c>
      <c r="F37" s="12">
        <v>225</v>
      </c>
      <c r="G37" s="12">
        <v>119</v>
      </c>
      <c r="H37" s="12">
        <f t="shared" si="0"/>
        <v>-106</v>
      </c>
      <c r="I37" s="152">
        <f t="shared" si="1"/>
        <v>0.52888888888888885</v>
      </c>
    </row>
    <row r="38" spans="3:9">
      <c r="C38" s="26">
        <v>35</v>
      </c>
      <c r="D38" s="30" t="s">
        <v>79</v>
      </c>
      <c r="E38" s="12" t="s">
        <v>45</v>
      </c>
      <c r="F38" s="12">
        <v>450</v>
      </c>
      <c r="G38" s="12">
        <v>369</v>
      </c>
      <c r="H38" s="12">
        <f t="shared" si="0"/>
        <v>-81</v>
      </c>
      <c r="I38" s="152">
        <f t="shared" si="1"/>
        <v>0.82</v>
      </c>
    </row>
    <row r="39" spans="3:9">
      <c r="C39" s="26">
        <v>36</v>
      </c>
      <c r="D39" s="30" t="s">
        <v>80</v>
      </c>
      <c r="E39" s="12" t="s">
        <v>45</v>
      </c>
      <c r="F39" s="12">
        <v>440</v>
      </c>
      <c r="G39" s="12">
        <v>181</v>
      </c>
      <c r="H39" s="12">
        <f t="shared" si="0"/>
        <v>-259</v>
      </c>
      <c r="I39" s="152">
        <f t="shared" si="1"/>
        <v>0.41136363636363638</v>
      </c>
    </row>
    <row r="40" spans="3:9">
      <c r="C40" s="26">
        <v>37</v>
      </c>
      <c r="D40" s="30" t="s">
        <v>81</v>
      </c>
      <c r="E40" s="12" t="s">
        <v>45</v>
      </c>
      <c r="F40" s="12">
        <v>380</v>
      </c>
      <c r="G40" s="12">
        <v>173</v>
      </c>
      <c r="H40" s="12">
        <f t="shared" si="0"/>
        <v>-207</v>
      </c>
      <c r="I40" s="152">
        <f t="shared" si="1"/>
        <v>0.45526315789473687</v>
      </c>
    </row>
    <row r="41" spans="3:9">
      <c r="C41" s="26">
        <v>38</v>
      </c>
      <c r="D41" s="30" t="s">
        <v>82</v>
      </c>
      <c r="E41" s="12" t="s">
        <v>45</v>
      </c>
      <c r="F41" s="12">
        <v>75</v>
      </c>
      <c r="G41" s="12">
        <v>9</v>
      </c>
      <c r="H41" s="12">
        <f t="shared" si="0"/>
        <v>-66</v>
      </c>
      <c r="I41" s="152">
        <f t="shared" si="1"/>
        <v>0.12</v>
      </c>
    </row>
    <row r="42" spans="3:9">
      <c r="C42" s="26">
        <v>39</v>
      </c>
      <c r="D42" s="30" t="s">
        <v>83</v>
      </c>
      <c r="E42" s="12" t="s">
        <v>45</v>
      </c>
      <c r="F42" s="12">
        <v>150</v>
      </c>
      <c r="G42" s="12">
        <v>6</v>
      </c>
      <c r="H42" s="12">
        <f t="shared" si="0"/>
        <v>-144</v>
      </c>
      <c r="I42" s="152">
        <f t="shared" si="1"/>
        <v>0.04</v>
      </c>
    </row>
    <row r="43" spans="3:9">
      <c r="C43" s="26">
        <v>40</v>
      </c>
      <c r="D43" s="30" t="s">
        <v>84</v>
      </c>
      <c r="E43" s="12" t="s">
        <v>45</v>
      </c>
      <c r="F43" s="12">
        <v>680</v>
      </c>
      <c r="G43" s="12">
        <v>284</v>
      </c>
      <c r="H43" s="12">
        <f t="shared" si="0"/>
        <v>-396</v>
      </c>
      <c r="I43" s="152">
        <f t="shared" si="1"/>
        <v>0.41764705882352943</v>
      </c>
    </row>
    <row r="44" spans="3:9">
      <c r="C44" s="26">
        <v>41</v>
      </c>
      <c r="D44" s="31" t="s">
        <v>85</v>
      </c>
      <c r="E44" s="12" t="s">
        <v>45</v>
      </c>
      <c r="F44" s="12">
        <v>150</v>
      </c>
      <c r="G44" s="12">
        <v>49</v>
      </c>
      <c r="H44" s="12">
        <f t="shared" si="0"/>
        <v>-101</v>
      </c>
      <c r="I44" s="152">
        <f t="shared" si="1"/>
        <v>0.32666666666666666</v>
      </c>
    </row>
    <row r="45" spans="3:9">
      <c r="C45" s="26">
        <v>42</v>
      </c>
      <c r="D45" s="31" t="s">
        <v>86</v>
      </c>
      <c r="E45" s="12" t="s">
        <v>45</v>
      </c>
      <c r="F45" s="12">
        <v>450</v>
      </c>
      <c r="G45" s="12">
        <v>130</v>
      </c>
      <c r="H45" s="12">
        <f t="shared" si="0"/>
        <v>-320</v>
      </c>
      <c r="I45" s="152">
        <f t="shared" si="1"/>
        <v>0.28888888888888886</v>
      </c>
    </row>
    <row r="46" spans="3:9">
      <c r="C46" s="26">
        <v>43</v>
      </c>
      <c r="D46" s="31" t="s">
        <v>87</v>
      </c>
      <c r="E46" s="12" t="s">
        <v>45</v>
      </c>
      <c r="F46" s="12">
        <v>340</v>
      </c>
      <c r="G46" s="12">
        <v>172</v>
      </c>
      <c r="H46" s="12">
        <f t="shared" si="0"/>
        <v>-168</v>
      </c>
      <c r="I46" s="152">
        <f t="shared" si="1"/>
        <v>0.50588235294117645</v>
      </c>
    </row>
    <row r="47" spans="3:9">
      <c r="C47" s="26">
        <v>44</v>
      </c>
      <c r="D47" s="31" t="s">
        <v>88</v>
      </c>
      <c r="E47" s="12" t="s">
        <v>45</v>
      </c>
      <c r="F47" s="12">
        <v>490</v>
      </c>
      <c r="G47" s="12">
        <v>251</v>
      </c>
      <c r="H47" s="12">
        <f t="shared" si="0"/>
        <v>-239</v>
      </c>
      <c r="I47" s="152">
        <f t="shared" si="1"/>
        <v>0.51224489795918371</v>
      </c>
    </row>
    <row r="48" spans="3:9">
      <c r="C48" s="26">
        <v>45</v>
      </c>
      <c r="D48" s="31" t="s">
        <v>89</v>
      </c>
      <c r="E48" s="12" t="s">
        <v>45</v>
      </c>
      <c r="F48" s="12">
        <v>600</v>
      </c>
      <c r="G48" s="12">
        <v>494</v>
      </c>
      <c r="H48" s="12">
        <f t="shared" si="0"/>
        <v>-106</v>
      </c>
      <c r="I48" s="152">
        <f t="shared" si="1"/>
        <v>0.82333333333333336</v>
      </c>
    </row>
    <row r="49" spans="3:9">
      <c r="C49" s="26">
        <v>46</v>
      </c>
      <c r="D49" s="31" t="s">
        <v>90</v>
      </c>
      <c r="E49" s="12" t="s">
        <v>45</v>
      </c>
      <c r="F49" s="12">
        <v>340</v>
      </c>
      <c r="G49" s="12">
        <v>99</v>
      </c>
      <c r="H49" s="12">
        <f t="shared" si="0"/>
        <v>-241</v>
      </c>
      <c r="I49" s="152">
        <f t="shared" si="1"/>
        <v>0.29117647058823531</v>
      </c>
    </row>
    <row r="50" spans="3:9">
      <c r="C50" s="26">
        <v>47</v>
      </c>
      <c r="D50" s="31" t="s">
        <v>91</v>
      </c>
      <c r="E50" s="12" t="s">
        <v>45</v>
      </c>
      <c r="F50" s="12">
        <v>190</v>
      </c>
      <c r="G50" s="12">
        <v>10</v>
      </c>
      <c r="H50" s="12">
        <f t="shared" si="0"/>
        <v>-180</v>
      </c>
      <c r="I50" s="152">
        <f t="shared" si="1"/>
        <v>5.2631578947368418E-2</v>
      </c>
    </row>
    <row r="51" spans="3:9" ht="15.5">
      <c r="C51" s="1"/>
      <c r="D51" s="32" t="s">
        <v>31</v>
      </c>
      <c r="E51" s="26"/>
      <c r="F51" s="12">
        <f>SUM(F4:F50)</f>
        <v>17215</v>
      </c>
      <c r="G51" s="12">
        <f>SUM(G4:G50)</f>
        <v>9627</v>
      </c>
      <c r="H51" s="12">
        <f t="shared" si="0"/>
        <v>-7588</v>
      </c>
      <c r="I51" s="152">
        <f t="shared" si="1"/>
        <v>0.55922160906186469</v>
      </c>
    </row>
  </sheetData>
  <mergeCells count="7">
    <mergeCell ref="I2:I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AF72-0B10-41F4-A72A-803ECB4A9A67}">
  <dimension ref="A1:K5"/>
  <sheetViews>
    <sheetView workbookViewId="0">
      <selection activeCell="G11" sqref="G11"/>
    </sheetView>
  </sheetViews>
  <sheetFormatPr defaultRowHeight="14.5"/>
  <cols>
    <col min="1" max="1" width="4.36328125" customWidth="1"/>
    <col min="2" max="2" width="24" customWidth="1"/>
    <col min="3" max="3" width="13.7265625" style="13" customWidth="1"/>
    <col min="4" max="4" width="14.6328125" customWidth="1"/>
    <col min="6" max="6" width="6.26953125" customWidth="1"/>
    <col min="7" max="7" width="19.54296875" customWidth="1"/>
    <col min="8" max="8" width="11.1796875" style="13" customWidth="1"/>
    <col min="9" max="9" width="15.54296875" customWidth="1"/>
    <col min="10" max="10" width="9.90625" customWidth="1"/>
  </cols>
  <sheetData>
    <row r="1" spans="1:11">
      <c r="B1" t="s">
        <v>867</v>
      </c>
      <c r="G1" t="s">
        <v>868</v>
      </c>
    </row>
    <row r="2" spans="1:11">
      <c r="A2" s="33" t="s">
        <v>92</v>
      </c>
      <c r="B2" s="33" t="s">
        <v>93</v>
      </c>
      <c r="C2" s="33" t="s">
        <v>94</v>
      </c>
      <c r="D2" s="33" t="s">
        <v>95</v>
      </c>
      <c r="F2" s="33" t="s">
        <v>92</v>
      </c>
      <c r="G2" s="33" t="s">
        <v>96</v>
      </c>
      <c r="H2" s="190" t="s">
        <v>836</v>
      </c>
      <c r="I2" s="33" t="s">
        <v>41</v>
      </c>
      <c r="J2" s="33" t="s">
        <v>42</v>
      </c>
      <c r="K2" s="33" t="s">
        <v>6</v>
      </c>
    </row>
    <row r="3" spans="1:11">
      <c r="A3" s="2">
        <v>1</v>
      </c>
      <c r="B3" s="2" t="s">
        <v>833</v>
      </c>
      <c r="C3" s="26">
        <v>64</v>
      </c>
      <c r="D3" s="2" t="s">
        <v>70</v>
      </c>
      <c r="F3" s="1">
        <v>1</v>
      </c>
      <c r="G3" s="58" t="s">
        <v>869</v>
      </c>
      <c r="H3" s="193" t="s">
        <v>70</v>
      </c>
      <c r="I3" s="193">
        <v>150</v>
      </c>
      <c r="J3" s="193">
        <v>169</v>
      </c>
      <c r="K3" s="194">
        <f t="shared" ref="K3:K5" si="0">J3/I3*100%</f>
        <v>1.1266666666666667</v>
      </c>
    </row>
    <row r="4" spans="1:11">
      <c r="A4" s="2">
        <v>2</v>
      </c>
      <c r="B4" s="2" t="s">
        <v>834</v>
      </c>
      <c r="C4" s="26">
        <v>57</v>
      </c>
      <c r="D4" s="2" t="s">
        <v>70</v>
      </c>
      <c r="F4" s="1">
        <v>2</v>
      </c>
      <c r="G4" s="58" t="s">
        <v>555</v>
      </c>
      <c r="H4" s="193" t="s">
        <v>89</v>
      </c>
      <c r="I4" s="193">
        <v>150</v>
      </c>
      <c r="J4" s="193">
        <v>160</v>
      </c>
      <c r="K4" s="194">
        <f t="shared" si="0"/>
        <v>1.0666666666666667</v>
      </c>
    </row>
    <row r="5" spans="1:11">
      <c r="A5" s="2">
        <v>3</v>
      </c>
      <c r="B5" s="2" t="s">
        <v>835</v>
      </c>
      <c r="C5" s="26">
        <v>55</v>
      </c>
      <c r="D5" s="2" t="s">
        <v>67</v>
      </c>
      <c r="F5" s="1">
        <v>3</v>
      </c>
      <c r="G5" s="58" t="s">
        <v>173</v>
      </c>
      <c r="H5" s="193" t="s">
        <v>79</v>
      </c>
      <c r="I5" s="193">
        <v>150</v>
      </c>
      <c r="J5" s="193">
        <v>152</v>
      </c>
      <c r="K5" s="194">
        <f t="shared" si="0"/>
        <v>1.0133333333333334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DE2F-3AB8-4622-9FCB-C0ED03410C7C}">
  <dimension ref="C1:I107"/>
  <sheetViews>
    <sheetView tabSelected="1" topLeftCell="A49" workbookViewId="0">
      <selection activeCell="J56" sqref="J56"/>
    </sheetView>
  </sheetViews>
  <sheetFormatPr defaultRowHeight="14.5"/>
  <cols>
    <col min="3" max="3" width="5.90625" customWidth="1"/>
    <col min="4" max="4" width="17.453125" customWidth="1"/>
    <col min="5" max="5" width="27.26953125" customWidth="1"/>
    <col min="6" max="6" width="9" style="13" customWidth="1"/>
    <col min="7" max="7" width="8.7265625" style="13"/>
    <col min="8" max="8" width="7" style="13" customWidth="1"/>
    <col min="9" max="9" width="8.7265625" style="13"/>
  </cols>
  <sheetData>
    <row r="1" spans="3:9">
      <c r="C1" s="33" t="s">
        <v>92</v>
      </c>
      <c r="D1" s="190" t="s">
        <v>836</v>
      </c>
      <c r="E1" s="33" t="s">
        <v>170</v>
      </c>
      <c r="F1" s="190" t="s">
        <v>866</v>
      </c>
      <c r="G1" s="33" t="s">
        <v>41</v>
      </c>
      <c r="H1" s="33" t="s">
        <v>42</v>
      </c>
      <c r="I1" s="46" t="s">
        <v>6</v>
      </c>
    </row>
    <row r="2" spans="3:9">
      <c r="C2" s="58">
        <v>1</v>
      </c>
      <c r="D2" s="58" t="s">
        <v>55</v>
      </c>
      <c r="E2" s="58" t="s">
        <v>451</v>
      </c>
      <c r="F2" s="193">
        <v>7</v>
      </c>
      <c r="G2" s="193">
        <v>190</v>
      </c>
      <c r="H2" s="193">
        <v>157</v>
      </c>
      <c r="I2" s="194">
        <f>H2/G2*100%</f>
        <v>0.82631578947368423</v>
      </c>
    </row>
    <row r="3" spans="3:9">
      <c r="C3" s="58">
        <v>2</v>
      </c>
      <c r="D3" s="58"/>
      <c r="E3" s="58" t="s">
        <v>452</v>
      </c>
      <c r="F3" s="193">
        <v>7</v>
      </c>
      <c r="G3" s="193">
        <v>190</v>
      </c>
      <c r="H3" s="193">
        <v>112</v>
      </c>
      <c r="I3" s="194">
        <f t="shared" ref="I3:I66" si="0">H3/G3*100%</f>
        <v>0.58947368421052626</v>
      </c>
    </row>
    <row r="4" spans="3:9">
      <c r="C4" s="58">
        <v>3</v>
      </c>
      <c r="D4" s="58"/>
      <c r="E4" s="58" t="s">
        <v>453</v>
      </c>
      <c r="F4" s="193">
        <v>5</v>
      </c>
      <c r="G4" s="193">
        <v>150</v>
      </c>
      <c r="H4" s="193">
        <v>80</v>
      </c>
      <c r="I4" s="194">
        <f t="shared" si="0"/>
        <v>0.53333333333333333</v>
      </c>
    </row>
    <row r="5" spans="3:9">
      <c r="C5" s="58">
        <v>4</v>
      </c>
      <c r="D5" s="58"/>
      <c r="E5" s="58" t="s">
        <v>454</v>
      </c>
      <c r="F5" s="193">
        <v>3</v>
      </c>
      <c r="G5" s="193">
        <v>75</v>
      </c>
      <c r="H5" s="193">
        <v>14</v>
      </c>
      <c r="I5" s="194">
        <f t="shared" si="0"/>
        <v>0.18666666666666668</v>
      </c>
    </row>
    <row r="6" spans="3:9">
      <c r="C6" s="58">
        <v>5</v>
      </c>
      <c r="D6" s="58" t="s">
        <v>57</v>
      </c>
      <c r="E6" s="58" t="s">
        <v>837</v>
      </c>
      <c r="F6" s="193">
        <v>7</v>
      </c>
      <c r="G6" s="193">
        <v>190</v>
      </c>
      <c r="H6" s="193">
        <v>155</v>
      </c>
      <c r="I6" s="194">
        <f>H6/G6*100%</f>
        <v>0.81578947368421051</v>
      </c>
    </row>
    <row r="7" spans="3:9">
      <c r="C7" s="58">
        <v>6</v>
      </c>
      <c r="D7" s="58" t="s">
        <v>838</v>
      </c>
      <c r="E7" s="58" t="s">
        <v>839</v>
      </c>
      <c r="F7" s="193">
        <v>6</v>
      </c>
      <c r="G7" s="193">
        <v>190</v>
      </c>
      <c r="H7" s="193">
        <v>132</v>
      </c>
      <c r="I7" s="194">
        <f t="shared" si="0"/>
        <v>0.69473684210526321</v>
      </c>
    </row>
    <row r="8" spans="3:9">
      <c r="C8" s="58">
        <v>7</v>
      </c>
      <c r="D8" s="58" t="s">
        <v>184</v>
      </c>
      <c r="E8" s="58" t="s">
        <v>201</v>
      </c>
      <c r="F8" s="193">
        <v>7</v>
      </c>
      <c r="G8" s="193">
        <v>190</v>
      </c>
      <c r="H8" s="193">
        <v>133</v>
      </c>
      <c r="I8" s="194">
        <f>H8/G8*100%</f>
        <v>0.7</v>
      </c>
    </row>
    <row r="9" spans="3:9">
      <c r="C9" s="58">
        <v>8</v>
      </c>
      <c r="D9" s="58"/>
      <c r="E9" s="58" t="s">
        <v>202</v>
      </c>
      <c r="F9" s="193">
        <v>7</v>
      </c>
      <c r="G9" s="193">
        <v>190</v>
      </c>
      <c r="H9" s="193">
        <v>129</v>
      </c>
      <c r="I9" s="194">
        <f t="shared" si="0"/>
        <v>0.67894736842105263</v>
      </c>
    </row>
    <row r="10" spans="3:9">
      <c r="C10" s="58">
        <v>9</v>
      </c>
      <c r="D10" s="58" t="s">
        <v>841</v>
      </c>
      <c r="E10" s="58" t="s">
        <v>840</v>
      </c>
      <c r="F10" s="193">
        <v>5</v>
      </c>
      <c r="G10" s="193">
        <v>150</v>
      </c>
      <c r="H10" s="193">
        <v>115</v>
      </c>
      <c r="I10" s="194">
        <f>H10/G10*100%</f>
        <v>0.76666666666666672</v>
      </c>
    </row>
    <row r="11" spans="3:9">
      <c r="C11" s="58">
        <v>10</v>
      </c>
      <c r="D11" s="58" t="s">
        <v>842</v>
      </c>
      <c r="E11" s="58" t="s">
        <v>843</v>
      </c>
      <c r="F11" s="193">
        <v>5</v>
      </c>
      <c r="G11" s="193">
        <v>150</v>
      </c>
      <c r="H11" s="193">
        <v>49</v>
      </c>
      <c r="I11" s="194">
        <f t="shared" si="0"/>
        <v>0.32666666666666666</v>
      </c>
    </row>
    <row r="12" spans="3:9">
      <c r="C12" s="58">
        <v>11</v>
      </c>
      <c r="D12" s="58" t="s">
        <v>44</v>
      </c>
      <c r="E12" s="58" t="s">
        <v>242</v>
      </c>
      <c r="F12" s="193">
        <v>5</v>
      </c>
      <c r="G12" s="193">
        <v>150</v>
      </c>
      <c r="H12" s="193">
        <v>97</v>
      </c>
      <c r="I12" s="194">
        <f t="shared" si="0"/>
        <v>0.64666666666666661</v>
      </c>
    </row>
    <row r="13" spans="3:9">
      <c r="C13" s="58">
        <v>12</v>
      </c>
      <c r="D13" s="58"/>
      <c r="E13" s="58" t="s">
        <v>243</v>
      </c>
      <c r="F13" s="193">
        <v>7</v>
      </c>
      <c r="G13" s="193">
        <v>190</v>
      </c>
      <c r="H13" s="193">
        <v>61</v>
      </c>
      <c r="I13" s="194">
        <f t="shared" si="0"/>
        <v>0.32105263157894737</v>
      </c>
    </row>
    <row r="14" spans="3:9">
      <c r="C14" s="58">
        <v>13</v>
      </c>
      <c r="D14" s="58"/>
      <c r="E14" s="58" t="s">
        <v>244</v>
      </c>
      <c r="F14" s="193">
        <v>6</v>
      </c>
      <c r="G14" s="193">
        <v>190</v>
      </c>
      <c r="H14" s="193">
        <v>114</v>
      </c>
      <c r="I14" s="194">
        <f t="shared" si="0"/>
        <v>0.6</v>
      </c>
    </row>
    <row r="15" spans="3:9">
      <c r="C15" s="58">
        <v>14</v>
      </c>
      <c r="D15" s="58"/>
      <c r="E15" s="58" t="s">
        <v>245</v>
      </c>
      <c r="F15" s="193">
        <v>4</v>
      </c>
      <c r="G15" s="193">
        <v>150</v>
      </c>
      <c r="H15" s="193">
        <v>66</v>
      </c>
      <c r="I15" s="194">
        <f t="shared" si="0"/>
        <v>0.44</v>
      </c>
    </row>
    <row r="16" spans="3:9">
      <c r="C16" s="58">
        <v>15</v>
      </c>
      <c r="D16" s="58"/>
      <c r="E16" s="58" t="s">
        <v>246</v>
      </c>
      <c r="F16" s="193">
        <v>5</v>
      </c>
      <c r="G16" s="193">
        <v>150</v>
      </c>
      <c r="H16" s="193">
        <v>75</v>
      </c>
      <c r="I16" s="194">
        <f t="shared" si="0"/>
        <v>0.5</v>
      </c>
    </row>
    <row r="17" spans="3:9">
      <c r="C17" s="58">
        <v>16</v>
      </c>
      <c r="D17" s="58" t="s">
        <v>844</v>
      </c>
      <c r="E17" s="58" t="s">
        <v>267</v>
      </c>
      <c r="F17" s="193">
        <v>5</v>
      </c>
      <c r="G17" s="193">
        <v>150</v>
      </c>
      <c r="H17" s="193">
        <v>79</v>
      </c>
      <c r="I17" s="194">
        <f t="shared" si="0"/>
        <v>0.52666666666666662</v>
      </c>
    </row>
    <row r="18" spans="3:9">
      <c r="C18" s="58">
        <v>17</v>
      </c>
      <c r="D18" s="58"/>
      <c r="E18" s="58" t="s">
        <v>268</v>
      </c>
      <c r="F18" s="193">
        <v>7</v>
      </c>
      <c r="G18" s="193">
        <v>190</v>
      </c>
      <c r="H18" s="193">
        <v>121</v>
      </c>
      <c r="I18" s="194">
        <f t="shared" si="0"/>
        <v>0.63684210526315788</v>
      </c>
    </row>
    <row r="19" spans="3:9">
      <c r="C19" s="58">
        <v>18</v>
      </c>
      <c r="D19" s="58"/>
      <c r="E19" s="58" t="s">
        <v>269</v>
      </c>
      <c r="F19" s="193">
        <v>5</v>
      </c>
      <c r="G19" s="193">
        <v>150</v>
      </c>
      <c r="H19" s="193">
        <v>49</v>
      </c>
      <c r="I19" s="194">
        <f t="shared" si="0"/>
        <v>0.32666666666666666</v>
      </c>
    </row>
    <row r="20" spans="3:9">
      <c r="C20" s="58">
        <v>19</v>
      </c>
      <c r="D20" s="58" t="s">
        <v>50</v>
      </c>
      <c r="E20" s="58" t="s">
        <v>845</v>
      </c>
      <c r="F20" s="193">
        <v>5</v>
      </c>
      <c r="G20" s="193">
        <v>150</v>
      </c>
      <c r="H20" s="193">
        <v>91</v>
      </c>
      <c r="I20" s="194">
        <f t="shared" si="0"/>
        <v>0.60666666666666669</v>
      </c>
    </row>
    <row r="21" spans="3:9">
      <c r="C21" s="58">
        <v>20</v>
      </c>
      <c r="D21" s="58" t="s">
        <v>51</v>
      </c>
      <c r="E21" s="58" t="s">
        <v>846</v>
      </c>
      <c r="F21" s="193">
        <v>5</v>
      </c>
      <c r="G21" s="193">
        <v>150</v>
      </c>
      <c r="H21" s="193">
        <v>114</v>
      </c>
      <c r="I21" s="194">
        <f t="shared" si="0"/>
        <v>0.76</v>
      </c>
    </row>
    <row r="22" spans="3:9">
      <c r="C22" s="58">
        <v>21</v>
      </c>
      <c r="D22" s="58" t="s">
        <v>660</v>
      </c>
      <c r="E22" s="58" t="s">
        <v>847</v>
      </c>
      <c r="F22" s="193">
        <v>9</v>
      </c>
      <c r="G22" s="193">
        <v>230</v>
      </c>
      <c r="H22" s="193">
        <v>35</v>
      </c>
      <c r="I22" s="194">
        <f t="shared" si="0"/>
        <v>0.15217391304347827</v>
      </c>
    </row>
    <row r="23" spans="3:9">
      <c r="C23" s="58">
        <v>22</v>
      </c>
      <c r="D23" s="58" t="s">
        <v>645</v>
      </c>
      <c r="E23" s="58" t="s">
        <v>658</v>
      </c>
      <c r="F23" s="193">
        <v>5</v>
      </c>
      <c r="G23" s="193">
        <v>150</v>
      </c>
      <c r="H23" s="193">
        <v>90</v>
      </c>
      <c r="I23" s="194">
        <f t="shared" si="0"/>
        <v>0.6</v>
      </c>
    </row>
    <row r="24" spans="3:9">
      <c r="C24" s="58">
        <v>23</v>
      </c>
      <c r="D24" s="58"/>
      <c r="E24" s="58" t="s">
        <v>659</v>
      </c>
      <c r="F24" s="193">
        <v>5</v>
      </c>
      <c r="G24" s="193">
        <v>150</v>
      </c>
      <c r="H24" s="193">
        <v>72</v>
      </c>
      <c r="I24" s="194">
        <f t="shared" si="0"/>
        <v>0.48</v>
      </c>
    </row>
    <row r="25" spans="3:9">
      <c r="C25" s="58">
        <v>24</v>
      </c>
      <c r="D25" s="58" t="s">
        <v>58</v>
      </c>
      <c r="E25" s="72" t="s">
        <v>494</v>
      </c>
      <c r="F25" s="195">
        <v>7</v>
      </c>
      <c r="G25" s="195">
        <v>190</v>
      </c>
      <c r="H25" s="195">
        <v>76</v>
      </c>
      <c r="I25" s="194">
        <f t="shared" si="0"/>
        <v>0.4</v>
      </c>
    </row>
    <row r="26" spans="3:9">
      <c r="C26" s="58">
        <v>25</v>
      </c>
      <c r="D26" s="58"/>
      <c r="E26" s="72" t="s">
        <v>495</v>
      </c>
      <c r="F26" s="195">
        <v>7</v>
      </c>
      <c r="G26" s="195">
        <v>190</v>
      </c>
      <c r="H26" s="195">
        <v>136</v>
      </c>
      <c r="I26" s="194">
        <f t="shared" si="0"/>
        <v>0.71578947368421053</v>
      </c>
    </row>
    <row r="27" spans="3:9">
      <c r="C27" s="58">
        <v>26</v>
      </c>
      <c r="D27" s="58"/>
      <c r="E27" s="72" t="s">
        <v>496</v>
      </c>
      <c r="F27" s="195">
        <v>7</v>
      </c>
      <c r="G27" s="195">
        <v>190</v>
      </c>
      <c r="H27" s="195">
        <v>127</v>
      </c>
      <c r="I27" s="194">
        <f t="shared" si="0"/>
        <v>0.66842105263157892</v>
      </c>
    </row>
    <row r="28" spans="3:9">
      <c r="C28" s="58">
        <v>27</v>
      </c>
      <c r="D28" s="58" t="s">
        <v>59</v>
      </c>
      <c r="E28" s="58" t="s">
        <v>513</v>
      </c>
      <c r="F28" s="193">
        <v>7</v>
      </c>
      <c r="G28" s="193">
        <v>190</v>
      </c>
      <c r="H28" s="193">
        <v>144</v>
      </c>
      <c r="I28" s="194">
        <f t="shared" si="0"/>
        <v>0.75789473684210529</v>
      </c>
    </row>
    <row r="29" spans="3:9">
      <c r="C29" s="58">
        <v>28</v>
      </c>
      <c r="D29" s="58"/>
      <c r="E29" s="58" t="s">
        <v>514</v>
      </c>
      <c r="F29" s="193">
        <v>7</v>
      </c>
      <c r="G29" s="193">
        <v>190</v>
      </c>
      <c r="H29" s="193">
        <v>123</v>
      </c>
      <c r="I29" s="194">
        <f t="shared" si="0"/>
        <v>0.64736842105263159</v>
      </c>
    </row>
    <row r="30" spans="3:9">
      <c r="C30" s="58">
        <v>29</v>
      </c>
      <c r="D30" s="58" t="s">
        <v>60</v>
      </c>
      <c r="E30" s="72" t="s">
        <v>848</v>
      </c>
      <c r="F30" s="195">
        <v>3</v>
      </c>
      <c r="G30" s="195">
        <v>150</v>
      </c>
      <c r="H30" s="195">
        <v>101</v>
      </c>
      <c r="I30" s="194">
        <f t="shared" si="0"/>
        <v>0.67333333333333334</v>
      </c>
    </row>
    <row r="31" spans="3:9">
      <c r="C31" s="58">
        <v>30</v>
      </c>
      <c r="D31" s="58" t="s">
        <v>61</v>
      </c>
      <c r="E31" s="72" t="s">
        <v>849</v>
      </c>
      <c r="F31" s="195">
        <v>4</v>
      </c>
      <c r="G31" s="195">
        <v>100</v>
      </c>
      <c r="H31" s="195">
        <v>14</v>
      </c>
      <c r="I31" s="194">
        <f t="shared" si="0"/>
        <v>0.14000000000000001</v>
      </c>
    </row>
    <row r="32" spans="3:9">
      <c r="C32" s="58">
        <v>31</v>
      </c>
      <c r="D32" s="58" t="s">
        <v>62</v>
      </c>
      <c r="E32" s="72" t="s">
        <v>850</v>
      </c>
      <c r="F32" s="195">
        <v>4</v>
      </c>
      <c r="G32" s="195">
        <v>150</v>
      </c>
      <c r="H32" s="195">
        <v>25</v>
      </c>
      <c r="I32" s="194">
        <f t="shared" si="0"/>
        <v>0.16666666666666666</v>
      </c>
    </row>
    <row r="33" spans="3:9">
      <c r="C33" s="58">
        <v>32</v>
      </c>
      <c r="D33" s="58" t="s">
        <v>63</v>
      </c>
      <c r="E33" s="72" t="s">
        <v>294</v>
      </c>
      <c r="F33" s="195">
        <v>7</v>
      </c>
      <c r="G33" s="195">
        <v>190</v>
      </c>
      <c r="H33" s="195">
        <v>150</v>
      </c>
      <c r="I33" s="194">
        <f t="shared" si="0"/>
        <v>0.78947368421052633</v>
      </c>
    </row>
    <row r="34" spans="3:9">
      <c r="C34" s="58">
        <v>33</v>
      </c>
      <c r="D34" s="58"/>
      <c r="E34" s="72" t="s">
        <v>295</v>
      </c>
      <c r="F34" s="195">
        <v>7</v>
      </c>
      <c r="G34" s="195">
        <v>190</v>
      </c>
      <c r="H34" s="195">
        <v>170</v>
      </c>
      <c r="I34" s="194">
        <f t="shared" si="0"/>
        <v>0.89473684210526316</v>
      </c>
    </row>
    <row r="35" spans="3:9">
      <c r="C35" s="58">
        <v>34</v>
      </c>
      <c r="D35" s="58"/>
      <c r="E35" s="72" t="s">
        <v>296</v>
      </c>
      <c r="F35" s="195">
        <v>7</v>
      </c>
      <c r="G35" s="195">
        <v>190</v>
      </c>
      <c r="H35" s="195">
        <v>114</v>
      </c>
      <c r="I35" s="194">
        <f t="shared" si="0"/>
        <v>0.6</v>
      </c>
    </row>
    <row r="36" spans="3:9">
      <c r="C36" s="58">
        <v>35</v>
      </c>
      <c r="D36" s="58" t="s">
        <v>852</v>
      </c>
      <c r="E36" s="72" t="s">
        <v>851</v>
      </c>
      <c r="F36" s="195">
        <v>7</v>
      </c>
      <c r="G36" s="195">
        <v>190</v>
      </c>
      <c r="H36" s="195">
        <v>120</v>
      </c>
      <c r="I36" s="194">
        <f t="shared" si="0"/>
        <v>0.63157894736842102</v>
      </c>
    </row>
    <row r="37" spans="3:9">
      <c r="C37" s="58">
        <v>36</v>
      </c>
      <c r="D37" s="58" t="s">
        <v>66</v>
      </c>
      <c r="E37" s="58" t="s">
        <v>317</v>
      </c>
      <c r="F37" s="193">
        <v>5</v>
      </c>
      <c r="G37" s="193">
        <v>150</v>
      </c>
      <c r="H37" s="193">
        <v>75</v>
      </c>
      <c r="I37" s="194">
        <f t="shared" si="0"/>
        <v>0.5</v>
      </c>
    </row>
    <row r="38" spans="3:9">
      <c r="C38" s="58">
        <v>37</v>
      </c>
      <c r="D38" s="58"/>
      <c r="E38" s="58" t="s">
        <v>318</v>
      </c>
      <c r="F38" s="193">
        <v>5</v>
      </c>
      <c r="G38" s="193">
        <v>150</v>
      </c>
      <c r="H38" s="193">
        <v>73</v>
      </c>
      <c r="I38" s="194">
        <f t="shared" si="0"/>
        <v>0.48666666666666669</v>
      </c>
    </row>
    <row r="39" spans="3:9">
      <c r="C39" s="58">
        <v>38</v>
      </c>
      <c r="D39" s="58" t="s">
        <v>65</v>
      </c>
      <c r="E39" s="58" t="s">
        <v>339</v>
      </c>
      <c r="F39" s="193">
        <v>7</v>
      </c>
      <c r="G39" s="193">
        <v>190</v>
      </c>
      <c r="H39" s="193">
        <v>146</v>
      </c>
      <c r="I39" s="194">
        <f t="shared" si="0"/>
        <v>0.76842105263157889</v>
      </c>
    </row>
    <row r="40" spans="3:9">
      <c r="C40" s="58">
        <v>39</v>
      </c>
      <c r="D40" s="58"/>
      <c r="E40" s="58" t="s">
        <v>340</v>
      </c>
      <c r="F40" s="193">
        <v>5</v>
      </c>
      <c r="G40" s="193">
        <v>150</v>
      </c>
      <c r="H40" s="193">
        <v>92</v>
      </c>
      <c r="I40" s="194">
        <f t="shared" si="0"/>
        <v>0.61333333333333329</v>
      </c>
    </row>
    <row r="41" spans="3:9">
      <c r="C41" s="58">
        <v>40</v>
      </c>
      <c r="D41" s="58"/>
      <c r="E41" s="58" t="s">
        <v>341</v>
      </c>
      <c r="F41" s="193">
        <v>5</v>
      </c>
      <c r="G41" s="193">
        <v>150</v>
      </c>
      <c r="H41" s="193">
        <v>17</v>
      </c>
      <c r="I41" s="194">
        <f t="shared" si="0"/>
        <v>0.11333333333333333</v>
      </c>
    </row>
    <row r="42" spans="3:9">
      <c r="C42" s="58">
        <v>41</v>
      </c>
      <c r="D42" s="58" t="s">
        <v>69</v>
      </c>
      <c r="E42" s="58" t="s">
        <v>362</v>
      </c>
      <c r="F42" s="193">
        <v>7</v>
      </c>
      <c r="G42" s="193">
        <v>190</v>
      </c>
      <c r="H42" s="193">
        <v>138</v>
      </c>
      <c r="I42" s="194">
        <f t="shared" si="0"/>
        <v>0.72631578947368425</v>
      </c>
    </row>
    <row r="43" spans="3:9">
      <c r="C43" s="58">
        <v>42</v>
      </c>
      <c r="D43" s="58"/>
      <c r="E43" s="58" t="s">
        <v>363</v>
      </c>
      <c r="F43" s="193">
        <v>5</v>
      </c>
      <c r="G43" s="193">
        <v>150</v>
      </c>
      <c r="H43" s="193">
        <v>83</v>
      </c>
      <c r="I43" s="194">
        <f t="shared" si="0"/>
        <v>0.55333333333333334</v>
      </c>
    </row>
    <row r="44" spans="3:9">
      <c r="C44" s="58">
        <v>43</v>
      </c>
      <c r="D44" s="58"/>
      <c r="E44" s="58" t="s">
        <v>364</v>
      </c>
      <c r="F44" s="193">
        <v>5</v>
      </c>
      <c r="G44" s="193">
        <v>150</v>
      </c>
      <c r="H44" s="193">
        <v>120</v>
      </c>
      <c r="I44" s="194">
        <f t="shared" si="0"/>
        <v>0.8</v>
      </c>
    </row>
    <row r="45" spans="3:9">
      <c r="C45" s="58">
        <v>44</v>
      </c>
      <c r="D45" s="58" t="s">
        <v>68</v>
      </c>
      <c r="E45" s="58" t="s">
        <v>389</v>
      </c>
      <c r="F45" s="193">
        <v>7</v>
      </c>
      <c r="G45" s="193">
        <v>190</v>
      </c>
      <c r="H45" s="193">
        <v>141</v>
      </c>
      <c r="I45" s="194">
        <f t="shared" si="0"/>
        <v>0.74210526315789471</v>
      </c>
    </row>
    <row r="46" spans="3:9">
      <c r="C46" s="58">
        <v>45</v>
      </c>
      <c r="D46" s="58"/>
      <c r="E46" s="58" t="s">
        <v>390</v>
      </c>
      <c r="F46" s="193">
        <v>7</v>
      </c>
      <c r="G46" s="193">
        <v>190</v>
      </c>
      <c r="H46" s="193">
        <v>123</v>
      </c>
      <c r="I46" s="194">
        <f t="shared" si="0"/>
        <v>0.64736842105263159</v>
      </c>
    </row>
    <row r="47" spans="3:9">
      <c r="C47" s="58">
        <v>46</v>
      </c>
      <c r="D47" s="58"/>
      <c r="E47" s="58" t="s">
        <v>391</v>
      </c>
      <c r="F47" s="193">
        <v>7</v>
      </c>
      <c r="G47" s="193">
        <v>190</v>
      </c>
      <c r="H47" s="193">
        <v>97</v>
      </c>
      <c r="I47" s="194">
        <f t="shared" si="0"/>
        <v>0.51052631578947372</v>
      </c>
    </row>
    <row r="48" spans="3:9">
      <c r="C48" s="58">
        <v>47</v>
      </c>
      <c r="D48" s="58" t="s">
        <v>67</v>
      </c>
      <c r="E48" s="58" t="s">
        <v>417</v>
      </c>
      <c r="F48" s="193">
        <v>5</v>
      </c>
      <c r="G48" s="193">
        <v>150</v>
      </c>
      <c r="H48" s="193">
        <v>116</v>
      </c>
      <c r="I48" s="194">
        <f t="shared" si="0"/>
        <v>0.77333333333333332</v>
      </c>
    </row>
    <row r="49" spans="3:9">
      <c r="C49" s="58">
        <v>48</v>
      </c>
      <c r="D49" s="58"/>
      <c r="E49" s="58" t="s">
        <v>418</v>
      </c>
      <c r="F49" s="193">
        <v>5</v>
      </c>
      <c r="G49" s="193">
        <v>150</v>
      </c>
      <c r="H49" s="193">
        <v>115</v>
      </c>
      <c r="I49" s="194">
        <f t="shared" si="0"/>
        <v>0.76666666666666672</v>
      </c>
    </row>
    <row r="50" spans="3:9">
      <c r="C50" s="58">
        <v>49</v>
      </c>
      <c r="D50" s="58"/>
      <c r="E50" s="58" t="s">
        <v>419</v>
      </c>
      <c r="F50" s="193">
        <v>5</v>
      </c>
      <c r="G50" s="193">
        <v>150</v>
      </c>
      <c r="H50" s="193">
        <v>96</v>
      </c>
      <c r="I50" s="194">
        <f t="shared" si="0"/>
        <v>0.64</v>
      </c>
    </row>
    <row r="51" spans="3:9">
      <c r="C51" s="58">
        <v>50</v>
      </c>
      <c r="D51" s="58"/>
      <c r="E51" s="58" t="s">
        <v>420</v>
      </c>
      <c r="F51" s="193">
        <v>5</v>
      </c>
      <c r="G51" s="193">
        <v>150</v>
      </c>
      <c r="H51" s="193">
        <v>113</v>
      </c>
      <c r="I51" s="194">
        <f t="shared" si="0"/>
        <v>0.7533333333333333</v>
      </c>
    </row>
    <row r="52" spans="3:9">
      <c r="C52" s="58">
        <v>51</v>
      </c>
      <c r="D52" s="58" t="s">
        <v>52</v>
      </c>
      <c r="E52" s="198" t="s">
        <v>853</v>
      </c>
      <c r="F52" s="193">
        <v>5</v>
      </c>
      <c r="G52" s="193">
        <v>150</v>
      </c>
      <c r="H52" s="193">
        <v>75</v>
      </c>
      <c r="I52" s="194">
        <f t="shared" si="0"/>
        <v>0.5</v>
      </c>
    </row>
    <row r="53" spans="3:9">
      <c r="C53" s="58">
        <v>52</v>
      </c>
      <c r="D53" s="196" t="s">
        <v>70</v>
      </c>
      <c r="E53" s="199" t="s">
        <v>870</v>
      </c>
      <c r="F53" s="197">
        <v>7</v>
      </c>
      <c r="G53" s="193">
        <v>190</v>
      </c>
      <c r="H53" s="193">
        <v>144</v>
      </c>
      <c r="I53" s="194">
        <f t="shared" si="0"/>
        <v>0.75789473684210529</v>
      </c>
    </row>
    <row r="54" spans="3:9">
      <c r="C54" s="58">
        <v>53</v>
      </c>
      <c r="D54" s="196"/>
      <c r="E54" s="199" t="s">
        <v>871</v>
      </c>
      <c r="F54" s="197">
        <v>6</v>
      </c>
      <c r="G54" s="193">
        <v>190</v>
      </c>
      <c r="H54" s="193">
        <v>98</v>
      </c>
      <c r="I54" s="194">
        <f t="shared" si="0"/>
        <v>0.51578947368421058</v>
      </c>
    </row>
    <row r="55" spans="3:9">
      <c r="C55" s="58">
        <v>54</v>
      </c>
      <c r="D55" s="196"/>
      <c r="E55" s="199" t="s">
        <v>872</v>
      </c>
      <c r="F55" s="197">
        <v>4</v>
      </c>
      <c r="G55" s="193">
        <v>150</v>
      </c>
      <c r="H55" s="193">
        <v>117</v>
      </c>
      <c r="I55" s="194">
        <f t="shared" si="0"/>
        <v>0.78</v>
      </c>
    </row>
    <row r="56" spans="3:9">
      <c r="C56" s="58">
        <v>55</v>
      </c>
      <c r="D56" s="196"/>
      <c r="E56" s="199" t="s">
        <v>873</v>
      </c>
      <c r="F56" s="197">
        <v>5</v>
      </c>
      <c r="G56" s="193">
        <v>150</v>
      </c>
      <c r="H56" s="193">
        <v>150</v>
      </c>
      <c r="I56" s="194">
        <f t="shared" si="0"/>
        <v>1</v>
      </c>
    </row>
    <row r="57" spans="3:9">
      <c r="C57" s="58">
        <v>56</v>
      </c>
      <c r="D57" s="196"/>
      <c r="E57" s="199" t="s">
        <v>874</v>
      </c>
      <c r="F57" s="197">
        <v>5</v>
      </c>
      <c r="G57" s="193">
        <v>150</v>
      </c>
      <c r="H57" s="193">
        <v>113</v>
      </c>
      <c r="I57" s="194">
        <f t="shared" si="0"/>
        <v>0.7533333333333333</v>
      </c>
    </row>
    <row r="58" spans="3:9">
      <c r="C58" s="58">
        <v>57</v>
      </c>
      <c r="D58" s="196"/>
      <c r="E58" s="199" t="s">
        <v>875</v>
      </c>
      <c r="F58" s="197">
        <v>5</v>
      </c>
      <c r="G58" s="193">
        <v>150</v>
      </c>
      <c r="H58" s="193">
        <v>169</v>
      </c>
      <c r="I58" s="194">
        <f t="shared" si="0"/>
        <v>1.1266666666666667</v>
      </c>
    </row>
    <row r="59" spans="3:9">
      <c r="C59" s="58">
        <v>58</v>
      </c>
      <c r="D59" s="196"/>
      <c r="E59" s="199" t="s">
        <v>876</v>
      </c>
      <c r="F59" s="197">
        <v>7</v>
      </c>
      <c r="G59" s="193">
        <v>190</v>
      </c>
      <c r="H59" s="193">
        <v>170</v>
      </c>
      <c r="I59" s="194">
        <f t="shared" si="0"/>
        <v>0.89473684210526316</v>
      </c>
    </row>
    <row r="60" spans="3:9">
      <c r="C60" s="58">
        <v>59</v>
      </c>
      <c r="D60" s="196"/>
      <c r="E60" s="199" t="s">
        <v>877</v>
      </c>
      <c r="F60" s="197">
        <v>7</v>
      </c>
      <c r="G60" s="193">
        <v>190</v>
      </c>
      <c r="H60" s="193">
        <v>173</v>
      </c>
      <c r="I60" s="194">
        <f t="shared" si="0"/>
        <v>0.91052631578947374</v>
      </c>
    </row>
    <row r="61" spans="3:9">
      <c r="C61" s="58">
        <v>60</v>
      </c>
      <c r="D61" s="196" t="s">
        <v>72</v>
      </c>
      <c r="E61" s="58" t="s">
        <v>808</v>
      </c>
      <c r="F61" s="197">
        <v>6</v>
      </c>
      <c r="G61" s="193">
        <v>190</v>
      </c>
      <c r="H61" s="193">
        <v>163</v>
      </c>
      <c r="I61" s="194">
        <f t="shared" si="0"/>
        <v>0.85789473684210527</v>
      </c>
    </row>
    <row r="62" spans="3:9">
      <c r="C62" s="58">
        <v>61</v>
      </c>
      <c r="D62" s="58"/>
      <c r="E62" s="58" t="s">
        <v>809</v>
      </c>
      <c r="F62" s="193">
        <v>5</v>
      </c>
      <c r="G62" s="193">
        <v>150</v>
      </c>
      <c r="H62" s="193">
        <v>127</v>
      </c>
      <c r="I62" s="194">
        <f t="shared" si="0"/>
        <v>0.84666666666666668</v>
      </c>
    </row>
    <row r="63" spans="3:9">
      <c r="C63" s="58">
        <v>62</v>
      </c>
      <c r="D63" s="58" t="s">
        <v>73</v>
      </c>
      <c r="E63" s="58" t="s">
        <v>854</v>
      </c>
      <c r="F63" s="193">
        <v>6</v>
      </c>
      <c r="G63" s="193">
        <v>190</v>
      </c>
      <c r="H63" s="193">
        <v>120</v>
      </c>
      <c r="I63" s="194">
        <f t="shared" si="0"/>
        <v>0.63157894736842102</v>
      </c>
    </row>
    <row r="64" spans="3:9">
      <c r="C64" s="58">
        <v>63</v>
      </c>
      <c r="D64" s="58"/>
      <c r="E64" s="58" t="s">
        <v>855</v>
      </c>
      <c r="F64" s="193">
        <v>3</v>
      </c>
      <c r="G64" s="193">
        <v>150</v>
      </c>
      <c r="H64" s="193">
        <v>21</v>
      </c>
      <c r="I64" s="194">
        <f t="shared" si="0"/>
        <v>0.14000000000000001</v>
      </c>
    </row>
    <row r="65" spans="3:9">
      <c r="C65" s="58">
        <v>64</v>
      </c>
      <c r="D65" s="58"/>
      <c r="E65" s="58" t="s">
        <v>856</v>
      </c>
      <c r="F65" s="193">
        <v>5</v>
      </c>
      <c r="G65" s="193">
        <v>150</v>
      </c>
      <c r="H65" s="193">
        <v>47</v>
      </c>
      <c r="I65" s="194">
        <f t="shared" si="0"/>
        <v>0.31333333333333335</v>
      </c>
    </row>
    <row r="66" spans="3:9">
      <c r="C66" s="58">
        <v>65</v>
      </c>
      <c r="D66" s="58" t="s">
        <v>71</v>
      </c>
      <c r="E66" s="58" t="s">
        <v>857</v>
      </c>
      <c r="F66" s="193">
        <v>5</v>
      </c>
      <c r="G66" s="193">
        <v>150</v>
      </c>
      <c r="H66" s="193">
        <v>17</v>
      </c>
      <c r="I66" s="194">
        <f t="shared" si="0"/>
        <v>0.11333333333333333</v>
      </c>
    </row>
    <row r="67" spans="3:9">
      <c r="C67" s="58">
        <v>66</v>
      </c>
      <c r="D67" s="58" t="s">
        <v>79</v>
      </c>
      <c r="E67" s="58" t="s">
        <v>173</v>
      </c>
      <c r="F67" s="193">
        <v>5</v>
      </c>
      <c r="G67" s="193">
        <v>150</v>
      </c>
      <c r="H67" s="193">
        <v>152</v>
      </c>
      <c r="I67" s="194">
        <f t="shared" ref="I67:I107" si="1">H67/G67*100%</f>
        <v>1.0133333333333334</v>
      </c>
    </row>
    <row r="68" spans="3:9">
      <c r="C68" s="58">
        <v>67</v>
      </c>
      <c r="D68" s="58"/>
      <c r="E68" s="58" t="s">
        <v>174</v>
      </c>
      <c r="F68" s="193">
        <v>5</v>
      </c>
      <c r="G68" s="193">
        <v>150</v>
      </c>
      <c r="H68" s="193">
        <v>126</v>
      </c>
      <c r="I68" s="194">
        <f t="shared" si="1"/>
        <v>0.84</v>
      </c>
    </row>
    <row r="69" spans="3:9">
      <c r="C69" s="58">
        <v>68</v>
      </c>
      <c r="D69" s="58"/>
      <c r="E69" s="58" t="s">
        <v>175</v>
      </c>
      <c r="F69" s="193">
        <v>5</v>
      </c>
      <c r="G69" s="193">
        <v>150</v>
      </c>
      <c r="H69" s="193">
        <v>91</v>
      </c>
      <c r="I69" s="194">
        <f t="shared" si="1"/>
        <v>0.60666666666666669</v>
      </c>
    </row>
    <row r="70" spans="3:9">
      <c r="C70" s="58">
        <v>69</v>
      </c>
      <c r="D70" s="58" t="s">
        <v>78</v>
      </c>
      <c r="E70" s="58" t="s">
        <v>172</v>
      </c>
      <c r="F70" s="193">
        <v>5</v>
      </c>
      <c r="G70" s="193">
        <v>150</v>
      </c>
      <c r="H70" s="193">
        <v>115</v>
      </c>
      <c r="I70" s="194">
        <f t="shared" si="1"/>
        <v>0.76666666666666672</v>
      </c>
    </row>
    <row r="71" spans="3:9">
      <c r="C71" s="58">
        <v>70</v>
      </c>
      <c r="D71" s="58"/>
      <c r="E71" s="58" t="s">
        <v>858</v>
      </c>
      <c r="F71" s="193">
        <v>3</v>
      </c>
      <c r="G71" s="193">
        <v>75</v>
      </c>
      <c r="H71" s="193">
        <v>4</v>
      </c>
      <c r="I71" s="194">
        <f t="shared" si="1"/>
        <v>5.3333333333333337E-2</v>
      </c>
    </row>
    <row r="72" spans="3:9">
      <c r="C72" s="58">
        <v>71</v>
      </c>
      <c r="D72" s="58" t="s">
        <v>75</v>
      </c>
      <c r="E72" s="58" t="s">
        <v>859</v>
      </c>
      <c r="F72" s="193">
        <v>5</v>
      </c>
      <c r="G72" s="193">
        <v>150</v>
      </c>
      <c r="H72" s="193">
        <v>71</v>
      </c>
      <c r="I72" s="194">
        <f t="shared" si="1"/>
        <v>0.47333333333333333</v>
      </c>
    </row>
    <row r="73" spans="3:9">
      <c r="C73" s="58">
        <v>72</v>
      </c>
      <c r="D73" s="58" t="s">
        <v>80</v>
      </c>
      <c r="E73" s="58" t="s">
        <v>171</v>
      </c>
      <c r="F73" s="193">
        <v>7</v>
      </c>
      <c r="G73" s="193">
        <v>190</v>
      </c>
      <c r="H73" s="193">
        <v>155</v>
      </c>
      <c r="I73" s="194">
        <f t="shared" si="1"/>
        <v>0.81578947368421051</v>
      </c>
    </row>
    <row r="74" spans="3:9">
      <c r="C74" s="58">
        <v>73</v>
      </c>
      <c r="D74" s="58"/>
      <c r="E74" s="58" t="s">
        <v>860</v>
      </c>
      <c r="F74" s="193">
        <v>5</v>
      </c>
      <c r="G74" s="193">
        <v>125</v>
      </c>
      <c r="H74" s="193">
        <v>24</v>
      </c>
      <c r="I74" s="194">
        <f t="shared" si="1"/>
        <v>0.192</v>
      </c>
    </row>
    <row r="75" spans="3:9">
      <c r="C75" s="58">
        <v>74</v>
      </c>
      <c r="D75" s="58"/>
      <c r="E75" s="58" t="s">
        <v>860</v>
      </c>
      <c r="F75" s="193">
        <v>5</v>
      </c>
      <c r="G75" s="193">
        <v>125</v>
      </c>
      <c r="H75" s="193">
        <v>2</v>
      </c>
      <c r="I75" s="194">
        <f t="shared" si="1"/>
        <v>1.6E-2</v>
      </c>
    </row>
    <row r="76" spans="3:9">
      <c r="C76" s="58">
        <v>75</v>
      </c>
      <c r="D76" s="58" t="s">
        <v>76</v>
      </c>
      <c r="E76" s="58" t="s">
        <v>181</v>
      </c>
      <c r="F76" s="193">
        <v>5</v>
      </c>
      <c r="G76" s="193">
        <v>150</v>
      </c>
      <c r="H76" s="193">
        <v>74</v>
      </c>
      <c r="I76" s="194">
        <f t="shared" si="1"/>
        <v>0.49333333333333335</v>
      </c>
    </row>
    <row r="77" spans="3:9">
      <c r="C77" s="58">
        <v>76</v>
      </c>
      <c r="D77" s="58"/>
      <c r="E77" s="58" t="s">
        <v>182</v>
      </c>
      <c r="F77" s="193">
        <v>7</v>
      </c>
      <c r="G77" s="193">
        <v>190</v>
      </c>
      <c r="H77" s="193">
        <v>72</v>
      </c>
      <c r="I77" s="194">
        <f t="shared" si="1"/>
        <v>0.37894736842105264</v>
      </c>
    </row>
    <row r="78" spans="3:9">
      <c r="C78" s="58">
        <v>77</v>
      </c>
      <c r="D78" s="58"/>
      <c r="E78" s="58" t="s">
        <v>183</v>
      </c>
      <c r="F78" s="193">
        <v>6</v>
      </c>
      <c r="G78" s="193">
        <v>190</v>
      </c>
      <c r="H78" s="193">
        <v>111</v>
      </c>
      <c r="I78" s="194">
        <f t="shared" si="1"/>
        <v>0.58421052631578951</v>
      </c>
    </row>
    <row r="79" spans="3:9">
      <c r="C79" s="58">
        <v>78</v>
      </c>
      <c r="D79" s="58" t="s">
        <v>77</v>
      </c>
      <c r="E79" s="58" t="s">
        <v>861</v>
      </c>
      <c r="F79" s="193">
        <v>5</v>
      </c>
      <c r="G79" s="193">
        <v>150</v>
      </c>
      <c r="H79" s="193">
        <v>67</v>
      </c>
      <c r="I79" s="194">
        <f t="shared" si="1"/>
        <v>0.44666666666666666</v>
      </c>
    </row>
    <row r="80" spans="3:9">
      <c r="C80" s="58">
        <v>79</v>
      </c>
      <c r="D80" s="58" t="s">
        <v>74</v>
      </c>
      <c r="E80" s="58" t="s">
        <v>177</v>
      </c>
      <c r="F80" s="193">
        <v>4</v>
      </c>
      <c r="G80" s="193">
        <v>150</v>
      </c>
      <c r="H80" s="193">
        <v>116</v>
      </c>
      <c r="I80" s="194">
        <f t="shared" si="1"/>
        <v>0.77333333333333332</v>
      </c>
    </row>
    <row r="81" spans="3:9">
      <c r="C81" s="58">
        <v>80</v>
      </c>
      <c r="D81" s="58"/>
      <c r="E81" s="58" t="s">
        <v>178</v>
      </c>
      <c r="F81" s="193">
        <v>4</v>
      </c>
      <c r="G81" s="193">
        <v>150</v>
      </c>
      <c r="H81" s="193">
        <v>58</v>
      </c>
      <c r="I81" s="194">
        <f t="shared" si="1"/>
        <v>0.38666666666666666</v>
      </c>
    </row>
    <row r="82" spans="3:9">
      <c r="C82" s="58">
        <v>81</v>
      </c>
      <c r="D82" s="58"/>
      <c r="E82" s="58" t="s">
        <v>179</v>
      </c>
      <c r="F82" s="193">
        <v>5</v>
      </c>
      <c r="G82" s="193">
        <v>150</v>
      </c>
      <c r="H82" s="193">
        <v>51</v>
      </c>
      <c r="I82" s="194">
        <f t="shared" si="1"/>
        <v>0.34</v>
      </c>
    </row>
    <row r="83" spans="3:9">
      <c r="C83" s="58">
        <v>82</v>
      </c>
      <c r="D83" s="58"/>
      <c r="E83" s="58" t="s">
        <v>180</v>
      </c>
      <c r="F83" s="193">
        <v>5</v>
      </c>
      <c r="G83" s="193">
        <v>150</v>
      </c>
      <c r="H83" s="193">
        <v>51</v>
      </c>
      <c r="I83" s="194">
        <f t="shared" si="1"/>
        <v>0.34</v>
      </c>
    </row>
    <row r="84" spans="3:9">
      <c r="C84" s="58">
        <v>83</v>
      </c>
      <c r="D84" s="58" t="s">
        <v>81</v>
      </c>
      <c r="E84" s="58" t="s">
        <v>601</v>
      </c>
      <c r="F84" s="193">
        <v>5</v>
      </c>
      <c r="G84" s="193">
        <v>150</v>
      </c>
      <c r="H84" s="193">
        <v>70</v>
      </c>
      <c r="I84" s="194">
        <f t="shared" si="1"/>
        <v>0.46666666666666667</v>
      </c>
    </row>
    <row r="85" spans="3:9">
      <c r="C85" s="58">
        <v>84</v>
      </c>
      <c r="D85" s="58"/>
      <c r="E85" s="58" t="s">
        <v>602</v>
      </c>
      <c r="F85" s="193">
        <v>8</v>
      </c>
      <c r="G85" s="193">
        <v>230</v>
      </c>
      <c r="H85" s="193">
        <v>103</v>
      </c>
      <c r="I85" s="194">
        <f t="shared" si="1"/>
        <v>0.44782608695652176</v>
      </c>
    </row>
    <row r="86" spans="3:9">
      <c r="C86" s="58">
        <v>85</v>
      </c>
      <c r="D86" s="58" t="s">
        <v>83</v>
      </c>
      <c r="E86" s="58" t="s">
        <v>862</v>
      </c>
      <c r="F86" s="193">
        <v>2</v>
      </c>
      <c r="G86" s="193">
        <v>150</v>
      </c>
      <c r="H86" s="193">
        <v>6</v>
      </c>
      <c r="I86" s="194">
        <f t="shared" si="1"/>
        <v>0.04</v>
      </c>
    </row>
    <row r="87" spans="3:9">
      <c r="C87" s="58">
        <v>86</v>
      </c>
      <c r="D87" s="58" t="s">
        <v>90</v>
      </c>
      <c r="E87" s="58" t="s">
        <v>576</v>
      </c>
      <c r="F87" s="193">
        <v>5</v>
      </c>
      <c r="G87" s="193">
        <v>150</v>
      </c>
      <c r="H87" s="193">
        <v>42</v>
      </c>
      <c r="I87" s="194">
        <f t="shared" si="1"/>
        <v>0.28000000000000003</v>
      </c>
    </row>
    <row r="88" spans="3:9">
      <c r="C88" s="58">
        <v>87</v>
      </c>
      <c r="D88" s="58"/>
      <c r="E88" s="58" t="s">
        <v>577</v>
      </c>
      <c r="F88" s="193">
        <v>7</v>
      </c>
      <c r="G88" s="193">
        <v>190</v>
      </c>
      <c r="H88" s="193">
        <v>57</v>
      </c>
      <c r="I88" s="194">
        <f t="shared" si="1"/>
        <v>0.3</v>
      </c>
    </row>
    <row r="89" spans="3:9">
      <c r="C89" s="58">
        <v>88</v>
      </c>
      <c r="D89" s="58" t="s">
        <v>863</v>
      </c>
      <c r="E89" s="58" t="s">
        <v>864</v>
      </c>
      <c r="F89" s="193">
        <v>6</v>
      </c>
      <c r="G89" s="193">
        <v>190</v>
      </c>
      <c r="H89" s="193">
        <v>10</v>
      </c>
      <c r="I89" s="194">
        <f t="shared" si="1"/>
        <v>5.2631578947368418E-2</v>
      </c>
    </row>
    <row r="90" spans="3:9">
      <c r="C90" s="58">
        <v>89</v>
      </c>
      <c r="D90" s="58" t="s">
        <v>82</v>
      </c>
      <c r="E90" s="58" t="s">
        <v>454</v>
      </c>
      <c r="F90" s="193">
        <v>3</v>
      </c>
      <c r="G90" s="193">
        <v>75</v>
      </c>
      <c r="H90" s="193">
        <v>9</v>
      </c>
      <c r="I90" s="194">
        <f t="shared" si="1"/>
        <v>0.12</v>
      </c>
    </row>
    <row r="91" spans="3:9">
      <c r="C91" s="58">
        <v>90</v>
      </c>
      <c r="D91" s="58" t="s">
        <v>86</v>
      </c>
      <c r="E91" s="58" t="s">
        <v>741</v>
      </c>
      <c r="F91" s="193">
        <v>5</v>
      </c>
      <c r="G91" s="193">
        <v>150</v>
      </c>
      <c r="H91" s="193">
        <v>41</v>
      </c>
      <c r="I91" s="194">
        <f t="shared" si="1"/>
        <v>0.27333333333333332</v>
      </c>
    </row>
    <row r="92" spans="3:9">
      <c r="C92" s="58">
        <v>91</v>
      </c>
      <c r="D92" s="58"/>
      <c r="E92" s="58" t="s">
        <v>742</v>
      </c>
      <c r="F92" s="193">
        <v>5</v>
      </c>
      <c r="G92" s="193">
        <v>150</v>
      </c>
      <c r="H92" s="193">
        <v>52</v>
      </c>
      <c r="I92" s="194">
        <f t="shared" si="1"/>
        <v>0.34666666666666668</v>
      </c>
    </row>
    <row r="93" spans="3:9">
      <c r="C93" s="58">
        <v>92</v>
      </c>
      <c r="D93" s="58"/>
      <c r="E93" s="58" t="s">
        <v>743</v>
      </c>
      <c r="F93" s="193">
        <v>5</v>
      </c>
      <c r="G93" s="193">
        <v>150</v>
      </c>
      <c r="H93" s="193">
        <v>37</v>
      </c>
      <c r="I93" s="194">
        <f t="shared" si="1"/>
        <v>0.24666666666666667</v>
      </c>
    </row>
    <row r="94" spans="3:9">
      <c r="C94" s="58">
        <v>93</v>
      </c>
      <c r="D94" s="58" t="s">
        <v>84</v>
      </c>
      <c r="E94" s="58" t="s">
        <v>770</v>
      </c>
      <c r="F94" s="193">
        <v>6</v>
      </c>
      <c r="G94" s="193">
        <v>190</v>
      </c>
      <c r="H94" s="193">
        <v>88</v>
      </c>
      <c r="I94" s="194">
        <f t="shared" si="1"/>
        <v>0.4631578947368421</v>
      </c>
    </row>
    <row r="95" spans="3:9">
      <c r="C95" s="58">
        <v>94</v>
      </c>
      <c r="D95" s="58"/>
      <c r="E95" s="58" t="s">
        <v>771</v>
      </c>
      <c r="F95" s="193">
        <v>7</v>
      </c>
      <c r="G95" s="193">
        <v>190</v>
      </c>
      <c r="H95" s="193">
        <v>66</v>
      </c>
      <c r="I95" s="194">
        <f t="shared" si="1"/>
        <v>0.3473684210526316</v>
      </c>
    </row>
    <row r="96" spans="3:9">
      <c r="C96" s="58">
        <v>95</v>
      </c>
      <c r="D96" s="58"/>
      <c r="E96" s="58" t="s">
        <v>772</v>
      </c>
      <c r="F96" s="193">
        <v>5</v>
      </c>
      <c r="G96" s="193">
        <v>150</v>
      </c>
      <c r="H96" s="193">
        <v>74</v>
      </c>
      <c r="I96" s="194">
        <f t="shared" si="1"/>
        <v>0.49333333333333335</v>
      </c>
    </row>
    <row r="97" spans="3:9">
      <c r="C97" s="58">
        <v>96</v>
      </c>
      <c r="D97" s="58"/>
      <c r="E97" s="58" t="s">
        <v>773</v>
      </c>
      <c r="F97" s="193">
        <v>3</v>
      </c>
      <c r="G97" s="193">
        <v>150</v>
      </c>
      <c r="H97" s="193">
        <v>56</v>
      </c>
      <c r="I97" s="194">
        <f t="shared" si="1"/>
        <v>0.37333333333333335</v>
      </c>
    </row>
    <row r="98" spans="3:9">
      <c r="C98" s="58">
        <v>97</v>
      </c>
      <c r="D98" s="58" t="s">
        <v>85</v>
      </c>
      <c r="E98" s="58" t="s">
        <v>865</v>
      </c>
      <c r="F98" s="193">
        <v>5</v>
      </c>
      <c r="G98" s="193">
        <v>150</v>
      </c>
      <c r="H98" s="193">
        <v>49</v>
      </c>
      <c r="I98" s="194">
        <f t="shared" si="1"/>
        <v>0.32666666666666666</v>
      </c>
    </row>
    <row r="99" spans="3:9">
      <c r="C99" s="58">
        <v>98</v>
      </c>
      <c r="D99" s="58" t="s">
        <v>87</v>
      </c>
      <c r="E99" s="58" t="s">
        <v>793</v>
      </c>
      <c r="F99" s="193">
        <v>6</v>
      </c>
      <c r="G99" s="193">
        <v>190</v>
      </c>
      <c r="H99" s="193">
        <v>83</v>
      </c>
      <c r="I99" s="194">
        <f t="shared" si="1"/>
        <v>0.43684210526315792</v>
      </c>
    </row>
    <row r="100" spans="3:9">
      <c r="C100" s="58">
        <v>99</v>
      </c>
      <c r="D100" s="58"/>
      <c r="E100" s="58" t="s">
        <v>794</v>
      </c>
      <c r="F100" s="193">
        <v>5</v>
      </c>
      <c r="G100" s="193">
        <v>150</v>
      </c>
      <c r="H100" s="193">
        <v>89</v>
      </c>
      <c r="I100" s="194">
        <f t="shared" si="1"/>
        <v>0.59333333333333338</v>
      </c>
    </row>
    <row r="101" spans="3:9">
      <c r="C101" s="58">
        <v>100</v>
      </c>
      <c r="D101" s="58" t="s">
        <v>88</v>
      </c>
      <c r="E101" s="58" t="s">
        <v>619</v>
      </c>
      <c r="F101" s="193">
        <v>4</v>
      </c>
      <c r="G101" s="193">
        <v>150</v>
      </c>
      <c r="H101" s="193">
        <v>97</v>
      </c>
      <c r="I101" s="194">
        <f t="shared" si="1"/>
        <v>0.64666666666666661</v>
      </c>
    </row>
    <row r="102" spans="3:9">
      <c r="C102" s="58">
        <v>101</v>
      </c>
      <c r="D102" s="58"/>
      <c r="E102" s="58" t="s">
        <v>620</v>
      </c>
      <c r="F102" s="193">
        <v>3</v>
      </c>
      <c r="G102" s="193">
        <v>150</v>
      </c>
      <c r="H102" s="193">
        <v>64</v>
      </c>
      <c r="I102" s="194">
        <f t="shared" si="1"/>
        <v>0.42666666666666669</v>
      </c>
    </row>
    <row r="103" spans="3:9">
      <c r="C103" s="58">
        <v>102</v>
      </c>
      <c r="D103" s="58"/>
      <c r="E103" s="58" t="s">
        <v>621</v>
      </c>
      <c r="F103" s="193">
        <v>6</v>
      </c>
      <c r="G103" s="193">
        <v>190</v>
      </c>
      <c r="H103" s="193">
        <v>90</v>
      </c>
      <c r="I103" s="194">
        <f t="shared" si="1"/>
        <v>0.47368421052631576</v>
      </c>
    </row>
    <row r="104" spans="3:9">
      <c r="C104" s="58">
        <v>103</v>
      </c>
      <c r="D104" s="58" t="s">
        <v>89</v>
      </c>
      <c r="E104" s="58" t="s">
        <v>552</v>
      </c>
      <c r="F104" s="193">
        <v>5</v>
      </c>
      <c r="G104" s="193">
        <v>150</v>
      </c>
      <c r="H104" s="193">
        <v>99</v>
      </c>
      <c r="I104" s="194">
        <f t="shared" si="1"/>
        <v>0.66</v>
      </c>
    </row>
    <row r="105" spans="3:9">
      <c r="C105" s="58">
        <v>104</v>
      </c>
      <c r="D105" s="58"/>
      <c r="E105" s="58" t="s">
        <v>553</v>
      </c>
      <c r="F105" s="193">
        <v>5</v>
      </c>
      <c r="G105" s="193">
        <v>150</v>
      </c>
      <c r="H105" s="193">
        <v>113</v>
      </c>
      <c r="I105" s="194">
        <f t="shared" si="1"/>
        <v>0.7533333333333333</v>
      </c>
    </row>
    <row r="106" spans="3:9">
      <c r="C106" s="58">
        <v>105</v>
      </c>
      <c r="D106" s="58"/>
      <c r="E106" s="58" t="s">
        <v>554</v>
      </c>
      <c r="F106" s="193">
        <v>5</v>
      </c>
      <c r="G106" s="193">
        <v>150</v>
      </c>
      <c r="H106" s="193">
        <v>122</v>
      </c>
      <c r="I106" s="194">
        <f t="shared" si="1"/>
        <v>0.81333333333333335</v>
      </c>
    </row>
    <row r="107" spans="3:9">
      <c r="C107" s="58">
        <v>106</v>
      </c>
      <c r="D107" s="58"/>
      <c r="E107" s="58" t="s">
        <v>555</v>
      </c>
      <c r="F107" s="193">
        <v>5</v>
      </c>
      <c r="G107" s="193">
        <v>150</v>
      </c>
      <c r="H107" s="193">
        <v>160</v>
      </c>
      <c r="I107" s="194">
        <f t="shared" si="1"/>
        <v>1.0666666666666667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4C36-343F-4080-BE7C-AC3265431CC6}">
  <dimension ref="A1:M58"/>
  <sheetViews>
    <sheetView topLeftCell="A34" zoomScale="98" zoomScaleNormal="98" workbookViewId="0">
      <selection activeCell="D44" sqref="D44:E44"/>
    </sheetView>
  </sheetViews>
  <sheetFormatPr defaultRowHeight="14.5"/>
  <cols>
    <col min="1" max="1" width="5.6328125" customWidth="1"/>
    <col min="2" max="2" width="27.1796875" customWidth="1"/>
    <col min="7" max="7" width="8.7265625" style="11"/>
    <col min="9" max="9" width="4.6328125" customWidth="1"/>
    <col min="10" max="10" width="20.9062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  <c r="J3" t="s">
        <v>55</v>
      </c>
    </row>
    <row r="4" spans="1:13">
      <c r="A4" s="60">
        <v>1</v>
      </c>
      <c r="B4" s="86" t="s">
        <v>427</v>
      </c>
      <c r="C4" s="87" t="s">
        <v>9</v>
      </c>
      <c r="D4" s="85">
        <v>35</v>
      </c>
      <c r="E4" s="85">
        <v>7</v>
      </c>
      <c r="F4" s="60">
        <f>E4-D4</f>
        <v>-28</v>
      </c>
      <c r="G4" s="71">
        <f>E4/D4*100%</f>
        <v>0.2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86" t="s">
        <v>428</v>
      </c>
      <c r="C5" s="87" t="s">
        <v>11</v>
      </c>
      <c r="D5" s="85">
        <v>25</v>
      </c>
      <c r="E5" s="85">
        <v>27</v>
      </c>
      <c r="F5" s="60">
        <f t="shared" ref="F5:F29" si="0">E5-D5</f>
        <v>2</v>
      </c>
      <c r="G5" s="71">
        <f t="shared" ref="G5:G29" si="1">E5/D5*100%</f>
        <v>1.08</v>
      </c>
      <c r="I5" s="58">
        <v>1</v>
      </c>
      <c r="J5" s="58" t="s">
        <v>451</v>
      </c>
      <c r="K5" s="58">
        <v>190</v>
      </c>
      <c r="L5" s="58">
        <v>157</v>
      </c>
      <c r="M5" s="75">
        <f>L5/K5*100%</f>
        <v>0.82631578947368423</v>
      </c>
    </row>
    <row r="6" spans="1:13">
      <c r="A6" s="60">
        <v>3</v>
      </c>
      <c r="B6" s="86" t="s">
        <v>429</v>
      </c>
      <c r="C6" s="87" t="s">
        <v>11</v>
      </c>
      <c r="D6" s="85">
        <v>25</v>
      </c>
      <c r="E6" s="85">
        <v>20</v>
      </c>
      <c r="F6" s="60">
        <f t="shared" si="0"/>
        <v>-5</v>
      </c>
      <c r="G6" s="71">
        <f t="shared" si="1"/>
        <v>0.8</v>
      </c>
      <c r="I6" s="58">
        <v>2</v>
      </c>
      <c r="J6" s="58" t="s">
        <v>452</v>
      </c>
      <c r="K6" s="58">
        <v>190</v>
      </c>
      <c r="L6" s="58">
        <v>112</v>
      </c>
      <c r="M6" s="75">
        <f t="shared" ref="M6:M8" si="2">L6/K6*100%</f>
        <v>0.58947368421052626</v>
      </c>
    </row>
    <row r="7" spans="1:13">
      <c r="A7" s="60">
        <v>4</v>
      </c>
      <c r="B7" s="86" t="s">
        <v>430</v>
      </c>
      <c r="C7" s="87" t="s">
        <v>11</v>
      </c>
      <c r="D7" s="85">
        <v>25</v>
      </c>
      <c r="E7" s="85">
        <v>19</v>
      </c>
      <c r="F7" s="60">
        <f t="shared" si="0"/>
        <v>-6</v>
      </c>
      <c r="G7" s="71">
        <f t="shared" si="1"/>
        <v>0.76</v>
      </c>
      <c r="I7" s="58">
        <v>3</v>
      </c>
      <c r="J7" s="58" t="s">
        <v>453</v>
      </c>
      <c r="K7" s="58">
        <v>150</v>
      </c>
      <c r="L7" s="58">
        <v>80</v>
      </c>
      <c r="M7" s="75">
        <f t="shared" si="2"/>
        <v>0.53333333333333333</v>
      </c>
    </row>
    <row r="8" spans="1:13">
      <c r="A8" s="60">
        <v>5</v>
      </c>
      <c r="B8" s="86" t="s">
        <v>431</v>
      </c>
      <c r="C8" s="87" t="s">
        <v>11</v>
      </c>
      <c r="D8" s="85">
        <v>25</v>
      </c>
      <c r="E8" s="85">
        <v>27</v>
      </c>
      <c r="F8" s="60">
        <f t="shared" si="0"/>
        <v>2</v>
      </c>
      <c r="G8" s="71">
        <f t="shared" si="1"/>
        <v>1.08</v>
      </c>
      <c r="I8" s="58">
        <v>4</v>
      </c>
      <c r="J8" s="58" t="s">
        <v>454</v>
      </c>
      <c r="K8" s="58">
        <v>75</v>
      </c>
      <c r="L8" s="58">
        <v>14</v>
      </c>
      <c r="M8" s="75">
        <f t="shared" si="2"/>
        <v>0.18666666666666668</v>
      </c>
    </row>
    <row r="9" spans="1:13">
      <c r="A9" s="60">
        <v>6</v>
      </c>
      <c r="B9" s="86" t="s">
        <v>432</v>
      </c>
      <c r="C9" s="87" t="s">
        <v>11</v>
      </c>
      <c r="D9" s="85">
        <v>25</v>
      </c>
      <c r="E9" s="85">
        <v>15</v>
      </c>
      <c r="F9" s="60">
        <f t="shared" si="0"/>
        <v>-10</v>
      </c>
      <c r="G9" s="71">
        <f t="shared" si="1"/>
        <v>0.6</v>
      </c>
    </row>
    <row r="10" spans="1:13">
      <c r="A10" s="60">
        <v>7</v>
      </c>
      <c r="B10" s="86" t="s">
        <v>433</v>
      </c>
      <c r="C10" s="87" t="s">
        <v>11</v>
      </c>
      <c r="D10" s="85">
        <v>25</v>
      </c>
      <c r="E10" s="85">
        <v>25</v>
      </c>
      <c r="F10" s="60">
        <f t="shared" si="0"/>
        <v>0</v>
      </c>
      <c r="G10" s="71">
        <f t="shared" si="1"/>
        <v>1</v>
      </c>
    </row>
    <row r="11" spans="1:13">
      <c r="A11" s="60">
        <v>8</v>
      </c>
      <c r="B11" s="86" t="s">
        <v>661</v>
      </c>
      <c r="C11" s="87" t="s">
        <v>11</v>
      </c>
      <c r="D11" s="85">
        <v>25</v>
      </c>
      <c r="E11" s="85">
        <v>17</v>
      </c>
      <c r="F11" s="60">
        <f t="shared" si="0"/>
        <v>-8</v>
      </c>
      <c r="G11" s="71">
        <f t="shared" si="1"/>
        <v>0.68</v>
      </c>
    </row>
    <row r="12" spans="1:13">
      <c r="A12" s="60">
        <v>9</v>
      </c>
      <c r="B12" s="89" t="s">
        <v>434</v>
      </c>
      <c r="C12" s="90" t="s">
        <v>9</v>
      </c>
      <c r="D12" s="88">
        <v>35</v>
      </c>
      <c r="E12" s="88">
        <v>9</v>
      </c>
      <c r="F12" s="60">
        <f t="shared" si="0"/>
        <v>-26</v>
      </c>
      <c r="G12" s="71">
        <f t="shared" si="1"/>
        <v>0.25714285714285712</v>
      </c>
    </row>
    <row r="13" spans="1:13">
      <c r="A13" s="60">
        <v>10</v>
      </c>
      <c r="B13" s="89" t="s">
        <v>435</v>
      </c>
      <c r="C13" s="90" t="s">
        <v>11</v>
      </c>
      <c r="D13" s="88">
        <v>25</v>
      </c>
      <c r="E13" s="88">
        <v>25</v>
      </c>
      <c r="F13" s="60">
        <f t="shared" si="0"/>
        <v>0</v>
      </c>
      <c r="G13" s="71">
        <f t="shared" si="1"/>
        <v>1</v>
      </c>
    </row>
    <row r="14" spans="1:13">
      <c r="A14" s="60">
        <v>11</v>
      </c>
      <c r="B14" s="89" t="s">
        <v>436</v>
      </c>
      <c r="C14" s="90" t="s">
        <v>11</v>
      </c>
      <c r="D14" s="88">
        <v>25</v>
      </c>
      <c r="E14" s="88">
        <v>21</v>
      </c>
      <c r="F14" s="60">
        <f t="shared" si="0"/>
        <v>-4</v>
      </c>
      <c r="G14" s="71">
        <f t="shared" si="1"/>
        <v>0.84</v>
      </c>
    </row>
    <row r="15" spans="1:13">
      <c r="A15" s="60">
        <v>12</v>
      </c>
      <c r="B15" s="89" t="s">
        <v>437</v>
      </c>
      <c r="C15" s="90" t="s">
        <v>11</v>
      </c>
      <c r="D15" s="88">
        <v>25</v>
      </c>
      <c r="E15" s="88">
        <v>14</v>
      </c>
      <c r="F15" s="60">
        <f t="shared" si="0"/>
        <v>-11</v>
      </c>
      <c r="G15" s="71">
        <f t="shared" si="1"/>
        <v>0.56000000000000005</v>
      </c>
    </row>
    <row r="16" spans="1:13">
      <c r="A16" s="60">
        <v>13</v>
      </c>
      <c r="B16" s="89" t="s">
        <v>438</v>
      </c>
      <c r="C16" s="90" t="s">
        <v>11</v>
      </c>
      <c r="D16" s="88">
        <v>25</v>
      </c>
      <c r="E16" s="88">
        <v>20</v>
      </c>
      <c r="F16" s="60">
        <f t="shared" si="0"/>
        <v>-5</v>
      </c>
      <c r="G16" s="71">
        <f t="shared" si="1"/>
        <v>0.8</v>
      </c>
    </row>
    <row r="17" spans="1:7">
      <c r="A17" s="60">
        <v>14</v>
      </c>
      <c r="B17" s="89" t="s">
        <v>439</v>
      </c>
      <c r="C17" s="90" t="s">
        <v>11</v>
      </c>
      <c r="D17" s="88">
        <v>25</v>
      </c>
      <c r="E17" s="88">
        <v>6</v>
      </c>
      <c r="F17" s="60">
        <f t="shared" si="0"/>
        <v>-19</v>
      </c>
      <c r="G17" s="71">
        <f t="shared" si="1"/>
        <v>0.24</v>
      </c>
    </row>
    <row r="18" spans="1:7">
      <c r="A18" s="60">
        <v>15</v>
      </c>
      <c r="B18" s="89" t="s">
        <v>440</v>
      </c>
      <c r="C18" s="90" t="s">
        <v>11</v>
      </c>
      <c r="D18" s="88">
        <v>25</v>
      </c>
      <c r="E18" s="88">
        <v>7</v>
      </c>
      <c r="F18" s="60">
        <f t="shared" si="0"/>
        <v>-18</v>
      </c>
      <c r="G18" s="71">
        <f t="shared" si="1"/>
        <v>0.28000000000000003</v>
      </c>
    </row>
    <row r="19" spans="1:7">
      <c r="A19" s="60">
        <v>16</v>
      </c>
      <c r="B19" s="89" t="s">
        <v>441</v>
      </c>
      <c r="C19" s="90" t="s">
        <v>11</v>
      </c>
      <c r="D19" s="88">
        <v>25</v>
      </c>
      <c r="E19" s="88">
        <v>10</v>
      </c>
      <c r="F19" s="60">
        <f t="shared" si="0"/>
        <v>-15</v>
      </c>
      <c r="G19" s="71">
        <f t="shared" si="1"/>
        <v>0.4</v>
      </c>
    </row>
    <row r="20" spans="1:7">
      <c r="A20" s="60">
        <v>17</v>
      </c>
      <c r="B20" s="92" t="s">
        <v>442</v>
      </c>
      <c r="C20" s="93" t="s">
        <v>9</v>
      </c>
      <c r="D20" s="91">
        <v>35</v>
      </c>
      <c r="E20" s="91">
        <v>3</v>
      </c>
      <c r="F20" s="60">
        <f t="shared" si="0"/>
        <v>-32</v>
      </c>
      <c r="G20" s="71">
        <f t="shared" si="1"/>
        <v>8.5714285714285715E-2</v>
      </c>
    </row>
    <row r="21" spans="1:7">
      <c r="A21" s="60">
        <v>18</v>
      </c>
      <c r="B21" s="92" t="s">
        <v>443</v>
      </c>
      <c r="C21" s="93" t="s">
        <v>11</v>
      </c>
      <c r="D21" s="91">
        <v>25</v>
      </c>
      <c r="E21" s="91">
        <v>20</v>
      </c>
      <c r="F21" s="60">
        <f t="shared" si="0"/>
        <v>-5</v>
      </c>
      <c r="G21" s="71">
        <f t="shared" si="1"/>
        <v>0.8</v>
      </c>
    </row>
    <row r="22" spans="1:7">
      <c r="A22" s="60">
        <v>19</v>
      </c>
      <c r="B22" s="92" t="s">
        <v>444</v>
      </c>
      <c r="C22" s="93" t="s">
        <v>11</v>
      </c>
      <c r="D22" s="91">
        <v>25</v>
      </c>
      <c r="E22" s="91">
        <v>18</v>
      </c>
      <c r="F22" s="60">
        <f t="shared" si="0"/>
        <v>-7</v>
      </c>
      <c r="G22" s="71">
        <f t="shared" si="1"/>
        <v>0.72</v>
      </c>
    </row>
    <row r="23" spans="1:7">
      <c r="A23" s="60">
        <v>20</v>
      </c>
      <c r="B23" s="92" t="s">
        <v>445</v>
      </c>
      <c r="C23" s="93" t="s">
        <v>11</v>
      </c>
      <c r="D23" s="91">
        <v>25</v>
      </c>
      <c r="E23" s="91">
        <v>14</v>
      </c>
      <c r="F23" s="60">
        <f t="shared" si="0"/>
        <v>-11</v>
      </c>
      <c r="G23" s="71">
        <f t="shared" si="1"/>
        <v>0.56000000000000005</v>
      </c>
    </row>
    <row r="24" spans="1:7">
      <c r="A24" s="60">
        <v>21</v>
      </c>
      <c r="B24" s="92" t="s">
        <v>446</v>
      </c>
      <c r="C24" s="93" t="s">
        <v>11</v>
      </c>
      <c r="D24" s="91">
        <v>25</v>
      </c>
      <c r="E24" s="91">
        <v>13</v>
      </c>
      <c r="F24" s="60">
        <f t="shared" si="0"/>
        <v>-12</v>
      </c>
      <c r="G24" s="71">
        <f t="shared" si="1"/>
        <v>0.52</v>
      </c>
    </row>
    <row r="25" spans="1:7">
      <c r="A25" s="60">
        <v>22</v>
      </c>
      <c r="B25" s="92" t="s">
        <v>447</v>
      </c>
      <c r="C25" s="93" t="s">
        <v>11</v>
      </c>
      <c r="D25" s="91">
        <v>25</v>
      </c>
      <c r="E25" s="91">
        <v>12</v>
      </c>
      <c r="F25" s="60">
        <f t="shared" si="0"/>
        <v>-13</v>
      </c>
      <c r="G25" s="71">
        <f t="shared" si="1"/>
        <v>0.48</v>
      </c>
    </row>
    <row r="26" spans="1:7">
      <c r="A26" s="60">
        <v>23</v>
      </c>
      <c r="B26" s="95" t="s">
        <v>448</v>
      </c>
      <c r="C26" s="93" t="s">
        <v>11</v>
      </c>
      <c r="D26" s="94">
        <v>25</v>
      </c>
      <c r="E26" s="94">
        <v>6</v>
      </c>
      <c r="F26" s="60">
        <f t="shared" si="0"/>
        <v>-19</v>
      </c>
      <c r="G26" s="71">
        <f t="shared" si="1"/>
        <v>0.24</v>
      </c>
    </row>
    <row r="27" spans="1:7">
      <c r="A27" s="60">
        <v>24</v>
      </c>
      <c r="B27" s="95" t="s">
        <v>449</v>
      </c>
      <c r="C27" s="93" t="s">
        <v>11</v>
      </c>
      <c r="D27" s="94">
        <v>25</v>
      </c>
      <c r="E27" s="94">
        <v>3</v>
      </c>
      <c r="F27" s="60">
        <f t="shared" si="0"/>
        <v>-22</v>
      </c>
      <c r="G27" s="71">
        <f t="shared" si="1"/>
        <v>0.12</v>
      </c>
    </row>
    <row r="28" spans="1:7">
      <c r="A28" s="60">
        <v>25</v>
      </c>
      <c r="B28" s="95" t="s">
        <v>450</v>
      </c>
      <c r="C28" s="93" t="s">
        <v>11</v>
      </c>
      <c r="D28" s="94">
        <v>25</v>
      </c>
      <c r="E28" s="94">
        <v>5</v>
      </c>
      <c r="F28" s="60">
        <f t="shared" si="0"/>
        <v>-20</v>
      </c>
      <c r="G28" s="71">
        <f t="shared" si="1"/>
        <v>0.2</v>
      </c>
    </row>
    <row r="29" spans="1:7">
      <c r="A29" s="60"/>
      <c r="B29" s="60" t="s">
        <v>31</v>
      </c>
      <c r="C29" s="60"/>
      <c r="D29" s="60">
        <v>605</v>
      </c>
      <c r="E29" s="60">
        <f>SUM(E4:E28)</f>
        <v>363</v>
      </c>
      <c r="F29" s="60">
        <f t="shared" si="0"/>
        <v>-242</v>
      </c>
      <c r="G29" s="71">
        <f t="shared" si="1"/>
        <v>0.6</v>
      </c>
    </row>
    <row r="32" spans="1:7">
      <c r="B32" t="s">
        <v>57</v>
      </c>
    </row>
    <row r="33" spans="1:7">
      <c r="A33" s="207" t="s">
        <v>0</v>
      </c>
      <c r="B33" s="208" t="s">
        <v>1</v>
      </c>
      <c r="C33" s="209" t="s">
        <v>7</v>
      </c>
      <c r="D33" s="210"/>
      <c r="E33" s="210"/>
      <c r="F33" s="210"/>
      <c r="G33" s="210"/>
    </row>
    <row r="34" spans="1:7">
      <c r="A34" s="207"/>
      <c r="B34" s="208"/>
      <c r="C34" s="211" t="s">
        <v>2</v>
      </c>
      <c r="D34" s="211" t="s">
        <v>3</v>
      </c>
      <c r="E34" s="211" t="s">
        <v>4</v>
      </c>
      <c r="F34" s="211" t="s">
        <v>5</v>
      </c>
      <c r="G34" s="213" t="s">
        <v>6</v>
      </c>
    </row>
    <row r="35" spans="1:7">
      <c r="A35" s="207"/>
      <c r="B35" s="208"/>
      <c r="C35" s="212"/>
      <c r="D35" s="212"/>
      <c r="E35" s="212"/>
      <c r="F35" s="212"/>
      <c r="G35" s="214"/>
    </row>
    <row r="36" spans="1:7">
      <c r="A36" s="59">
        <v>1</v>
      </c>
      <c r="B36" s="102" t="s">
        <v>455</v>
      </c>
      <c r="C36" s="97" t="s">
        <v>9</v>
      </c>
      <c r="D36" s="98">
        <v>35</v>
      </c>
      <c r="E36" s="99">
        <v>1</v>
      </c>
      <c r="F36" s="59">
        <f>E36-D36</f>
        <v>-34</v>
      </c>
      <c r="G36" s="96">
        <f>E36/D36*100%</f>
        <v>2.8571428571428571E-2</v>
      </c>
    </row>
    <row r="37" spans="1:7">
      <c r="A37" s="59">
        <v>2</v>
      </c>
      <c r="B37" s="100" t="s">
        <v>456</v>
      </c>
      <c r="C37" s="101" t="s">
        <v>11</v>
      </c>
      <c r="D37" s="99">
        <v>25</v>
      </c>
      <c r="E37" s="99">
        <v>26</v>
      </c>
      <c r="F37" s="59">
        <f t="shared" ref="F37:F44" si="3">E37-D37</f>
        <v>1</v>
      </c>
      <c r="G37" s="96">
        <f t="shared" ref="G37:G44" si="4">E37/D37*100%</f>
        <v>1.04</v>
      </c>
    </row>
    <row r="38" spans="1:7">
      <c r="A38" s="59">
        <v>3</v>
      </c>
      <c r="B38" s="100" t="s">
        <v>457</v>
      </c>
      <c r="C38" s="101" t="s">
        <v>11</v>
      </c>
      <c r="D38" s="99">
        <v>25</v>
      </c>
      <c r="E38" s="99">
        <v>35</v>
      </c>
      <c r="F38" s="59">
        <f t="shared" si="3"/>
        <v>10</v>
      </c>
      <c r="G38" s="96">
        <f t="shared" si="4"/>
        <v>1.4</v>
      </c>
    </row>
    <row r="39" spans="1:7">
      <c r="A39" s="59">
        <v>4</v>
      </c>
      <c r="B39" s="100" t="s">
        <v>458</v>
      </c>
      <c r="C39" s="101" t="s">
        <v>11</v>
      </c>
      <c r="D39" s="99">
        <v>25</v>
      </c>
      <c r="E39" s="99">
        <v>19</v>
      </c>
      <c r="F39" s="59">
        <f t="shared" si="3"/>
        <v>-6</v>
      </c>
      <c r="G39" s="96">
        <f t="shared" si="4"/>
        <v>0.76</v>
      </c>
    </row>
    <row r="40" spans="1:7">
      <c r="A40" s="59">
        <v>5</v>
      </c>
      <c r="B40" s="100" t="s">
        <v>459</v>
      </c>
      <c r="C40" s="101" t="s">
        <v>11</v>
      </c>
      <c r="D40" s="99">
        <v>25</v>
      </c>
      <c r="E40" s="99">
        <v>13</v>
      </c>
      <c r="F40" s="59">
        <f t="shared" si="3"/>
        <v>-12</v>
      </c>
      <c r="G40" s="96">
        <f t="shared" si="4"/>
        <v>0.52</v>
      </c>
    </row>
    <row r="41" spans="1:7">
      <c r="A41" s="59">
        <v>6</v>
      </c>
      <c r="B41" s="100" t="s">
        <v>460</v>
      </c>
      <c r="C41" s="101" t="s">
        <v>11</v>
      </c>
      <c r="D41" s="99">
        <v>25</v>
      </c>
      <c r="E41" s="99">
        <v>8</v>
      </c>
      <c r="F41" s="59">
        <f t="shared" si="3"/>
        <v>-17</v>
      </c>
      <c r="G41" s="96">
        <f t="shared" si="4"/>
        <v>0.32</v>
      </c>
    </row>
    <row r="42" spans="1:7">
      <c r="A42" s="59">
        <v>7</v>
      </c>
      <c r="B42" s="100" t="s">
        <v>461</v>
      </c>
      <c r="C42" s="101" t="s">
        <v>11</v>
      </c>
      <c r="D42" s="99">
        <v>25</v>
      </c>
      <c r="E42" s="99">
        <v>45</v>
      </c>
      <c r="F42" s="59">
        <f t="shared" si="3"/>
        <v>20</v>
      </c>
      <c r="G42" s="96">
        <f t="shared" si="4"/>
        <v>1.8</v>
      </c>
    </row>
    <row r="43" spans="1:7">
      <c r="A43" s="59">
        <v>8</v>
      </c>
      <c r="B43" s="100" t="s">
        <v>462</v>
      </c>
      <c r="C43" s="101" t="s">
        <v>11</v>
      </c>
      <c r="D43" s="99">
        <v>25</v>
      </c>
      <c r="E43" s="99">
        <v>6</v>
      </c>
      <c r="F43" s="59">
        <f t="shared" si="3"/>
        <v>-19</v>
      </c>
      <c r="G43" s="96">
        <f t="shared" si="4"/>
        <v>0.24</v>
      </c>
    </row>
    <row r="44" spans="1:7">
      <c r="A44" s="59"/>
      <c r="B44" s="59" t="s">
        <v>31</v>
      </c>
      <c r="C44" s="59"/>
      <c r="D44" s="59">
        <v>190</v>
      </c>
      <c r="E44" s="59">
        <f>SUM(E36:E43)</f>
        <v>153</v>
      </c>
      <c r="F44" s="59">
        <f t="shared" si="3"/>
        <v>-37</v>
      </c>
      <c r="G44" s="96">
        <f t="shared" si="4"/>
        <v>0.80526315789473679</v>
      </c>
    </row>
    <row r="47" spans="1:7">
      <c r="B47" t="s">
        <v>56</v>
      </c>
    </row>
    <row r="48" spans="1:7">
      <c r="A48" s="207" t="s">
        <v>0</v>
      </c>
      <c r="B48" s="208" t="s">
        <v>1</v>
      </c>
      <c r="C48" s="209" t="s">
        <v>7</v>
      </c>
      <c r="D48" s="210"/>
      <c r="E48" s="210"/>
      <c r="F48" s="210"/>
      <c r="G48" s="210"/>
    </row>
    <row r="49" spans="1:7">
      <c r="A49" s="207"/>
      <c r="B49" s="208"/>
      <c r="C49" s="211" t="s">
        <v>2</v>
      </c>
      <c r="D49" s="211" t="s">
        <v>3</v>
      </c>
      <c r="E49" s="211" t="s">
        <v>4</v>
      </c>
      <c r="F49" s="211" t="s">
        <v>5</v>
      </c>
      <c r="G49" s="213" t="s">
        <v>6</v>
      </c>
    </row>
    <row r="50" spans="1:7">
      <c r="A50" s="207"/>
      <c r="B50" s="208"/>
      <c r="C50" s="212"/>
      <c r="D50" s="212"/>
      <c r="E50" s="212"/>
      <c r="F50" s="212"/>
      <c r="G50" s="214"/>
    </row>
    <row r="51" spans="1:7">
      <c r="A51" s="60">
        <v>1</v>
      </c>
      <c r="B51" s="104" t="s">
        <v>463</v>
      </c>
      <c r="C51" s="105" t="s">
        <v>9</v>
      </c>
      <c r="D51" s="103">
        <v>35</v>
      </c>
      <c r="E51" s="103">
        <v>35</v>
      </c>
      <c r="F51" s="60">
        <f>E51-D51</f>
        <v>0</v>
      </c>
      <c r="G51" s="71">
        <f>E51/D51*100%</f>
        <v>1</v>
      </c>
    </row>
    <row r="52" spans="1:7">
      <c r="A52" s="60">
        <v>2</v>
      </c>
      <c r="B52" s="106" t="s">
        <v>464</v>
      </c>
      <c r="C52" s="107" t="s">
        <v>11</v>
      </c>
      <c r="D52" s="107">
        <v>25</v>
      </c>
      <c r="E52" s="107">
        <v>18</v>
      </c>
      <c r="F52" s="60">
        <f t="shared" ref="F52:F58" si="5">E52-D52</f>
        <v>-7</v>
      </c>
      <c r="G52" s="71">
        <f t="shared" ref="G52:G58" si="6">E52/D52*100%</f>
        <v>0.72</v>
      </c>
    </row>
    <row r="53" spans="1:7">
      <c r="A53" s="60">
        <v>3</v>
      </c>
      <c r="B53" s="104" t="s">
        <v>465</v>
      </c>
      <c r="C53" s="105" t="s">
        <v>11</v>
      </c>
      <c r="D53" s="103">
        <v>25</v>
      </c>
      <c r="E53" s="103">
        <v>25</v>
      </c>
      <c r="F53" s="60">
        <f t="shared" si="5"/>
        <v>0</v>
      </c>
      <c r="G53" s="71">
        <f t="shared" si="6"/>
        <v>1</v>
      </c>
    </row>
    <row r="54" spans="1:7">
      <c r="A54" s="60">
        <v>4</v>
      </c>
      <c r="B54" s="104" t="s">
        <v>466</v>
      </c>
      <c r="C54" s="105" t="s">
        <v>11</v>
      </c>
      <c r="D54" s="103">
        <v>25</v>
      </c>
      <c r="E54" s="103">
        <v>23</v>
      </c>
      <c r="F54" s="60">
        <f t="shared" si="5"/>
        <v>-2</v>
      </c>
      <c r="G54" s="71">
        <f t="shared" si="6"/>
        <v>0.92</v>
      </c>
    </row>
    <row r="55" spans="1:7">
      <c r="A55" s="60">
        <v>5</v>
      </c>
      <c r="B55" s="104" t="s">
        <v>467</v>
      </c>
      <c r="C55" s="105" t="s">
        <v>11</v>
      </c>
      <c r="D55" s="103">
        <v>25</v>
      </c>
      <c r="E55" s="103">
        <v>17</v>
      </c>
      <c r="F55" s="60">
        <f t="shared" si="5"/>
        <v>-8</v>
      </c>
      <c r="G55" s="71">
        <f t="shared" si="6"/>
        <v>0.68</v>
      </c>
    </row>
    <row r="56" spans="1:7">
      <c r="A56" s="60">
        <v>6</v>
      </c>
      <c r="B56" s="104" t="s">
        <v>468</v>
      </c>
      <c r="C56" s="105" t="s">
        <v>11</v>
      </c>
      <c r="D56" s="103">
        <v>25</v>
      </c>
      <c r="E56" s="103">
        <v>10</v>
      </c>
      <c r="F56" s="60">
        <f t="shared" si="5"/>
        <v>-15</v>
      </c>
      <c r="G56" s="71">
        <f t="shared" si="6"/>
        <v>0.4</v>
      </c>
    </row>
    <row r="57" spans="1:7">
      <c r="A57" s="60">
        <v>7</v>
      </c>
      <c r="B57" s="104" t="s">
        <v>469</v>
      </c>
      <c r="C57" s="105" t="s">
        <v>11</v>
      </c>
      <c r="D57" s="103">
        <v>25</v>
      </c>
      <c r="E57" s="103">
        <v>3</v>
      </c>
      <c r="F57" s="60">
        <f t="shared" si="5"/>
        <v>-22</v>
      </c>
      <c r="G57" s="71">
        <f t="shared" si="6"/>
        <v>0.12</v>
      </c>
    </row>
    <row r="58" spans="1:7">
      <c r="A58" s="60"/>
      <c r="B58" s="60" t="s">
        <v>31</v>
      </c>
      <c r="C58" s="60"/>
      <c r="D58" s="60">
        <v>190</v>
      </c>
      <c r="E58" s="60">
        <f>SUM(E51:E57)</f>
        <v>131</v>
      </c>
      <c r="F58" s="60">
        <f t="shared" si="5"/>
        <v>-59</v>
      </c>
      <c r="G58" s="71">
        <f t="shared" si="6"/>
        <v>0.68947368421052635</v>
      </c>
    </row>
  </sheetData>
  <mergeCells count="24">
    <mergeCell ref="A1:A3"/>
    <mergeCell ref="B1:B3"/>
    <mergeCell ref="C1:G1"/>
    <mergeCell ref="C2:C3"/>
    <mergeCell ref="D2:D3"/>
    <mergeCell ref="E2:E3"/>
    <mergeCell ref="F2:F3"/>
    <mergeCell ref="G2:G3"/>
    <mergeCell ref="A33:A35"/>
    <mergeCell ref="B33:B35"/>
    <mergeCell ref="C33:G33"/>
    <mergeCell ref="C34:C35"/>
    <mergeCell ref="D34:D35"/>
    <mergeCell ref="E34:E35"/>
    <mergeCell ref="F34:F35"/>
    <mergeCell ref="G34:G35"/>
    <mergeCell ref="A48:A50"/>
    <mergeCell ref="B48:B50"/>
    <mergeCell ref="C48:G48"/>
    <mergeCell ref="C49:C50"/>
    <mergeCell ref="D49:D50"/>
    <mergeCell ref="E49:E50"/>
    <mergeCell ref="F49:F50"/>
    <mergeCell ref="G49:G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348C-DDD3-4F5E-B9D1-D4AD0EF8DBFC}">
  <dimension ref="A1:M46"/>
  <sheetViews>
    <sheetView workbookViewId="0">
      <selection activeCell="J9" sqref="J9"/>
    </sheetView>
  </sheetViews>
  <sheetFormatPr defaultRowHeight="14.5"/>
  <cols>
    <col min="1" max="1" width="5" customWidth="1"/>
    <col min="2" max="2" width="31.6328125" customWidth="1"/>
    <col min="7" max="7" width="8.7265625" style="11"/>
    <col min="9" max="9" width="6.1796875" customWidth="1"/>
    <col min="10" max="10" width="18.26953125" customWidth="1"/>
    <col min="13" max="13" width="8.7265625" style="11"/>
  </cols>
  <sheetData>
    <row r="1" spans="1:13">
      <c r="B1" t="s">
        <v>184</v>
      </c>
    </row>
    <row r="2" spans="1:13">
      <c r="A2" s="207" t="s">
        <v>0</v>
      </c>
      <c r="B2" s="208" t="s">
        <v>1</v>
      </c>
      <c r="C2" s="215" t="s">
        <v>7</v>
      </c>
      <c r="D2" s="216"/>
      <c r="E2" s="216"/>
      <c r="F2" s="216"/>
      <c r="G2" s="216"/>
    </row>
    <row r="3" spans="1:13">
      <c r="A3" s="207"/>
      <c r="B3" s="208"/>
      <c r="C3" s="211" t="s">
        <v>2</v>
      </c>
      <c r="D3" s="211" t="s">
        <v>3</v>
      </c>
      <c r="E3" s="211" t="s">
        <v>4</v>
      </c>
      <c r="F3" s="211" t="s">
        <v>5</v>
      </c>
      <c r="G3" s="213" t="s">
        <v>6</v>
      </c>
    </row>
    <row r="4" spans="1:13">
      <c r="A4" s="207"/>
      <c r="B4" s="208"/>
      <c r="C4" s="212"/>
      <c r="D4" s="212"/>
      <c r="E4" s="212"/>
      <c r="F4" s="212"/>
      <c r="G4" s="214"/>
    </row>
    <row r="5" spans="1:13">
      <c r="A5" s="5">
        <v>1</v>
      </c>
      <c r="B5" s="50" t="s">
        <v>185</v>
      </c>
      <c r="C5" s="48" t="s">
        <v>9</v>
      </c>
      <c r="D5" s="48">
        <v>35</v>
      </c>
      <c r="E5" s="49">
        <v>8</v>
      </c>
      <c r="F5" s="5">
        <f>E5-D5</f>
        <v>-27</v>
      </c>
      <c r="G5" s="10">
        <f>E5/D5*100%</f>
        <v>0.22857142857142856</v>
      </c>
      <c r="I5" s="34" t="s">
        <v>92</v>
      </c>
      <c r="J5" s="34" t="s">
        <v>170</v>
      </c>
      <c r="K5" s="34" t="s">
        <v>41</v>
      </c>
      <c r="L5" s="34" t="s">
        <v>42</v>
      </c>
      <c r="M5" s="44" t="s">
        <v>6</v>
      </c>
    </row>
    <row r="6" spans="1:13">
      <c r="A6" s="5">
        <v>2</v>
      </c>
      <c r="B6" s="50" t="s">
        <v>186</v>
      </c>
      <c r="C6" s="48" t="s">
        <v>11</v>
      </c>
      <c r="D6" s="48">
        <v>25</v>
      </c>
      <c r="E6" s="49">
        <v>17</v>
      </c>
      <c r="F6" s="5">
        <f t="shared" ref="F6:F21" si="0">E6-D6</f>
        <v>-8</v>
      </c>
      <c r="G6" s="10">
        <f t="shared" ref="G6:G21" si="1">E6/D6*100%</f>
        <v>0.68</v>
      </c>
      <c r="I6" s="2">
        <v>1</v>
      </c>
      <c r="J6" s="2" t="s">
        <v>201</v>
      </c>
      <c r="K6" s="2">
        <v>190</v>
      </c>
      <c r="L6" s="2">
        <v>133</v>
      </c>
      <c r="M6" s="45">
        <f>L6/K6*100%</f>
        <v>0.7</v>
      </c>
    </row>
    <row r="7" spans="1:13">
      <c r="A7" s="5">
        <v>3</v>
      </c>
      <c r="B7" s="50" t="s">
        <v>187</v>
      </c>
      <c r="C7" s="48" t="s">
        <v>11</v>
      </c>
      <c r="D7" s="48">
        <v>25</v>
      </c>
      <c r="E7" s="49">
        <v>22</v>
      </c>
      <c r="F7" s="5">
        <f t="shared" si="0"/>
        <v>-3</v>
      </c>
      <c r="G7" s="10">
        <f t="shared" si="1"/>
        <v>0.88</v>
      </c>
      <c r="I7" s="2">
        <v>2</v>
      </c>
      <c r="J7" s="2" t="s">
        <v>202</v>
      </c>
      <c r="K7" s="2">
        <v>190</v>
      </c>
      <c r="L7" s="2">
        <v>129</v>
      </c>
      <c r="M7" s="45">
        <f>L7/K7*100%</f>
        <v>0.67894736842105263</v>
      </c>
    </row>
    <row r="8" spans="1:13">
      <c r="A8" s="5">
        <v>4</v>
      </c>
      <c r="B8" s="50" t="s">
        <v>188</v>
      </c>
      <c r="C8" s="48" t="s">
        <v>11</v>
      </c>
      <c r="D8" s="48">
        <v>25</v>
      </c>
      <c r="E8" s="49">
        <v>8</v>
      </c>
      <c r="F8" s="5">
        <f t="shared" si="0"/>
        <v>-17</v>
      </c>
      <c r="G8" s="10">
        <f t="shared" si="1"/>
        <v>0.32</v>
      </c>
    </row>
    <row r="9" spans="1:13">
      <c r="A9" s="5">
        <v>5</v>
      </c>
      <c r="B9" s="50" t="s">
        <v>189</v>
      </c>
      <c r="C9" s="48" t="s">
        <v>11</v>
      </c>
      <c r="D9" s="48">
        <v>25</v>
      </c>
      <c r="E9" s="49">
        <v>25</v>
      </c>
      <c r="F9" s="5">
        <f t="shared" si="0"/>
        <v>0</v>
      </c>
      <c r="G9" s="10">
        <f t="shared" si="1"/>
        <v>1</v>
      </c>
    </row>
    <row r="10" spans="1:13">
      <c r="A10" s="5">
        <v>6</v>
      </c>
      <c r="B10" s="50" t="s">
        <v>190</v>
      </c>
      <c r="C10" s="48" t="s">
        <v>11</v>
      </c>
      <c r="D10" s="48">
        <v>25</v>
      </c>
      <c r="E10" s="49">
        <v>22</v>
      </c>
      <c r="F10" s="5">
        <f t="shared" si="0"/>
        <v>-3</v>
      </c>
      <c r="G10" s="10">
        <f t="shared" si="1"/>
        <v>0.88</v>
      </c>
    </row>
    <row r="11" spans="1:13">
      <c r="A11" s="5">
        <v>7</v>
      </c>
      <c r="B11" s="51" t="s">
        <v>191</v>
      </c>
      <c r="C11" s="48" t="s">
        <v>11</v>
      </c>
      <c r="D11" s="48">
        <v>25</v>
      </c>
      <c r="E11" s="49">
        <v>24</v>
      </c>
      <c r="F11" s="5">
        <f t="shared" si="0"/>
        <v>-1</v>
      </c>
      <c r="G11" s="10">
        <f t="shared" si="1"/>
        <v>0.96</v>
      </c>
    </row>
    <row r="12" spans="1:13">
      <c r="A12" s="5">
        <v>8</v>
      </c>
      <c r="B12" s="51" t="s">
        <v>192</v>
      </c>
      <c r="C12" s="48" t="s">
        <v>11</v>
      </c>
      <c r="D12" s="48">
        <v>25</v>
      </c>
      <c r="E12" s="49">
        <v>7</v>
      </c>
      <c r="F12" s="5">
        <f t="shared" si="0"/>
        <v>-18</v>
      </c>
      <c r="G12" s="10">
        <f t="shared" si="1"/>
        <v>0.28000000000000003</v>
      </c>
    </row>
    <row r="13" spans="1:13">
      <c r="A13" s="5">
        <v>9</v>
      </c>
      <c r="B13" s="47" t="s">
        <v>193</v>
      </c>
      <c r="C13" s="48" t="s">
        <v>9</v>
      </c>
      <c r="D13" s="48">
        <v>35</v>
      </c>
      <c r="E13" s="49">
        <v>2</v>
      </c>
      <c r="F13" s="5">
        <f t="shared" si="0"/>
        <v>-33</v>
      </c>
      <c r="G13" s="10">
        <f t="shared" si="1"/>
        <v>5.7142857142857141E-2</v>
      </c>
    </row>
    <row r="14" spans="1:13">
      <c r="A14" s="5">
        <v>10</v>
      </c>
      <c r="B14" s="47" t="s">
        <v>194</v>
      </c>
      <c r="C14" s="48" t="s">
        <v>11</v>
      </c>
      <c r="D14" s="48">
        <v>25</v>
      </c>
      <c r="E14" s="49">
        <v>22</v>
      </c>
      <c r="F14" s="5">
        <f t="shared" si="0"/>
        <v>-3</v>
      </c>
      <c r="G14" s="10">
        <f t="shared" si="1"/>
        <v>0.88</v>
      </c>
    </row>
    <row r="15" spans="1:13">
      <c r="A15" s="5">
        <v>11</v>
      </c>
      <c r="B15" s="47" t="s">
        <v>195</v>
      </c>
      <c r="C15" s="48" t="s">
        <v>11</v>
      </c>
      <c r="D15" s="48">
        <v>25</v>
      </c>
      <c r="E15" s="49">
        <v>21</v>
      </c>
      <c r="F15" s="5">
        <f t="shared" si="0"/>
        <v>-4</v>
      </c>
      <c r="G15" s="10">
        <f t="shared" si="1"/>
        <v>0.84</v>
      </c>
    </row>
    <row r="16" spans="1:13">
      <c r="A16" s="5">
        <v>12</v>
      </c>
      <c r="B16" s="47" t="s">
        <v>196</v>
      </c>
      <c r="C16" s="48" t="s">
        <v>11</v>
      </c>
      <c r="D16" s="48">
        <v>25</v>
      </c>
      <c r="E16" s="49">
        <v>28</v>
      </c>
      <c r="F16" s="5">
        <f t="shared" si="0"/>
        <v>3</v>
      </c>
      <c r="G16" s="10">
        <f t="shared" si="1"/>
        <v>1.1200000000000001</v>
      </c>
    </row>
    <row r="17" spans="1:7">
      <c r="A17" s="5">
        <v>13</v>
      </c>
      <c r="B17" s="47" t="s">
        <v>197</v>
      </c>
      <c r="C17" s="48" t="s">
        <v>11</v>
      </c>
      <c r="D17" s="48">
        <v>25</v>
      </c>
      <c r="E17" s="49">
        <v>23</v>
      </c>
      <c r="F17" s="5">
        <f t="shared" si="0"/>
        <v>-2</v>
      </c>
      <c r="G17" s="10">
        <f t="shared" si="1"/>
        <v>0.92</v>
      </c>
    </row>
    <row r="18" spans="1:7">
      <c r="A18" s="5">
        <v>14</v>
      </c>
      <c r="B18" s="47" t="s">
        <v>198</v>
      </c>
      <c r="C18" s="48" t="s">
        <v>11</v>
      </c>
      <c r="D18" s="48">
        <v>25</v>
      </c>
      <c r="E18" s="49">
        <v>17</v>
      </c>
      <c r="F18" s="5">
        <f t="shared" si="0"/>
        <v>-8</v>
      </c>
      <c r="G18" s="10">
        <f t="shared" si="1"/>
        <v>0.68</v>
      </c>
    </row>
    <row r="19" spans="1:7">
      <c r="A19" s="5">
        <v>15</v>
      </c>
      <c r="B19" s="47" t="s">
        <v>199</v>
      </c>
      <c r="C19" s="48" t="s">
        <v>11</v>
      </c>
      <c r="D19" s="48">
        <v>25</v>
      </c>
      <c r="E19" s="49">
        <v>12</v>
      </c>
      <c r="F19" s="5">
        <f t="shared" si="0"/>
        <v>-13</v>
      </c>
      <c r="G19" s="10">
        <f t="shared" si="1"/>
        <v>0.48</v>
      </c>
    </row>
    <row r="20" spans="1:7">
      <c r="A20" s="5">
        <v>16</v>
      </c>
      <c r="B20" s="47" t="s">
        <v>200</v>
      </c>
      <c r="C20" s="48" t="s">
        <v>11</v>
      </c>
      <c r="D20" s="48">
        <v>25</v>
      </c>
      <c r="E20" s="49">
        <v>4</v>
      </c>
      <c r="F20" s="5">
        <f t="shared" si="0"/>
        <v>-21</v>
      </c>
      <c r="G20" s="10">
        <f t="shared" si="1"/>
        <v>0.16</v>
      </c>
    </row>
    <row r="21" spans="1:7">
      <c r="A21" s="5"/>
      <c r="B21" s="5" t="s">
        <v>31</v>
      </c>
      <c r="C21" s="5"/>
      <c r="D21" s="5">
        <v>380</v>
      </c>
      <c r="E21" s="5">
        <f>SUM(E5:E20)</f>
        <v>262</v>
      </c>
      <c r="F21" s="5">
        <f t="shared" si="0"/>
        <v>-118</v>
      </c>
      <c r="G21" s="10">
        <f t="shared" si="1"/>
        <v>0.68947368421052635</v>
      </c>
    </row>
    <row r="23" spans="1:7">
      <c r="B23" s="52" t="s">
        <v>203</v>
      </c>
    </row>
    <row r="24" spans="1:7">
      <c r="A24" s="207" t="s">
        <v>0</v>
      </c>
      <c r="B24" s="208" t="s">
        <v>1</v>
      </c>
      <c r="C24" s="215" t="s">
        <v>7</v>
      </c>
      <c r="D24" s="216"/>
      <c r="E24" s="216"/>
      <c r="F24" s="216"/>
      <c r="G24" s="216"/>
    </row>
    <row r="25" spans="1:7">
      <c r="A25" s="207"/>
      <c r="B25" s="208"/>
      <c r="C25" s="211" t="s">
        <v>2</v>
      </c>
      <c r="D25" s="211" t="s">
        <v>3</v>
      </c>
      <c r="E25" s="211" t="s">
        <v>4</v>
      </c>
      <c r="F25" s="211" t="s">
        <v>5</v>
      </c>
      <c r="G25" s="213" t="s">
        <v>6</v>
      </c>
    </row>
    <row r="26" spans="1:7">
      <c r="A26" s="207"/>
      <c r="B26" s="208"/>
      <c r="C26" s="212"/>
      <c r="D26" s="212"/>
      <c r="E26" s="212"/>
      <c r="F26" s="212"/>
      <c r="G26" s="214"/>
    </row>
    <row r="27" spans="1:7">
      <c r="A27" s="5">
        <v>1</v>
      </c>
      <c r="B27" s="50" t="s">
        <v>204</v>
      </c>
      <c r="C27" s="48" t="s">
        <v>9</v>
      </c>
      <c r="D27" s="48">
        <v>35</v>
      </c>
      <c r="E27" s="49">
        <v>0</v>
      </c>
      <c r="F27" s="5">
        <f>E27-D27</f>
        <v>-35</v>
      </c>
      <c r="G27" s="10">
        <f>E27/D27*100%</f>
        <v>0</v>
      </c>
    </row>
    <row r="28" spans="1:7">
      <c r="A28" s="5">
        <v>2</v>
      </c>
      <c r="B28" s="50" t="s">
        <v>205</v>
      </c>
      <c r="C28" s="48" t="s">
        <v>11</v>
      </c>
      <c r="D28" s="48">
        <v>25</v>
      </c>
      <c r="E28" s="49">
        <v>38</v>
      </c>
      <c r="F28" s="5">
        <f t="shared" ref="F28:F33" si="2">E28-D28</f>
        <v>13</v>
      </c>
      <c r="G28" s="10">
        <f t="shared" ref="G28:G33" si="3">E28/D28*100%</f>
        <v>1.52</v>
      </c>
    </row>
    <row r="29" spans="1:7">
      <c r="A29" s="5">
        <v>3</v>
      </c>
      <c r="B29" s="50" t="s">
        <v>206</v>
      </c>
      <c r="C29" s="48" t="s">
        <v>11</v>
      </c>
      <c r="D29" s="48">
        <v>25</v>
      </c>
      <c r="E29" s="49">
        <v>32</v>
      </c>
      <c r="F29" s="5">
        <f t="shared" si="2"/>
        <v>7</v>
      </c>
      <c r="G29" s="10">
        <f t="shared" si="3"/>
        <v>1.28</v>
      </c>
    </row>
    <row r="30" spans="1:7">
      <c r="A30" s="5">
        <v>4</v>
      </c>
      <c r="B30" s="50" t="s">
        <v>207</v>
      </c>
      <c r="C30" s="48" t="s">
        <v>11</v>
      </c>
      <c r="D30" s="48">
        <v>25</v>
      </c>
      <c r="E30" s="49">
        <v>11</v>
      </c>
      <c r="F30" s="5">
        <f t="shared" si="2"/>
        <v>-14</v>
      </c>
      <c r="G30" s="10">
        <f t="shared" si="3"/>
        <v>0.44</v>
      </c>
    </row>
    <row r="31" spans="1:7">
      <c r="A31" s="5">
        <v>5</v>
      </c>
      <c r="B31" s="50" t="s">
        <v>208</v>
      </c>
      <c r="C31" s="48" t="s">
        <v>11</v>
      </c>
      <c r="D31" s="48">
        <v>25</v>
      </c>
      <c r="E31" s="49">
        <v>22</v>
      </c>
      <c r="F31" s="5">
        <f t="shared" si="2"/>
        <v>-3</v>
      </c>
      <c r="G31" s="10">
        <f t="shared" si="3"/>
        <v>0.88</v>
      </c>
    </row>
    <row r="32" spans="1:7">
      <c r="A32" s="5">
        <v>6</v>
      </c>
      <c r="B32" s="50" t="s">
        <v>209</v>
      </c>
      <c r="C32" s="48" t="s">
        <v>11</v>
      </c>
      <c r="D32" s="48">
        <v>25</v>
      </c>
      <c r="E32" s="49">
        <v>12</v>
      </c>
      <c r="F32" s="5">
        <f t="shared" si="2"/>
        <v>-13</v>
      </c>
      <c r="G32" s="10">
        <f t="shared" si="3"/>
        <v>0.48</v>
      </c>
    </row>
    <row r="33" spans="1:7">
      <c r="A33" s="5"/>
      <c r="B33" s="24" t="s">
        <v>31</v>
      </c>
      <c r="C33" s="24"/>
      <c r="D33" s="24">
        <v>150</v>
      </c>
      <c r="E33" s="24">
        <f>SUM(E27:E32)</f>
        <v>115</v>
      </c>
      <c r="F33" s="24">
        <f t="shared" si="2"/>
        <v>-35</v>
      </c>
      <c r="G33" s="25">
        <f t="shared" si="3"/>
        <v>0.76666666666666672</v>
      </c>
    </row>
    <row r="36" spans="1:7">
      <c r="B36" t="s">
        <v>48</v>
      </c>
    </row>
    <row r="37" spans="1:7">
      <c r="A37" s="207" t="s">
        <v>0</v>
      </c>
      <c r="B37" s="208" t="s">
        <v>1</v>
      </c>
      <c r="C37" s="215" t="s">
        <v>7</v>
      </c>
      <c r="D37" s="216"/>
      <c r="E37" s="216"/>
      <c r="F37" s="216"/>
      <c r="G37" s="216"/>
    </row>
    <row r="38" spans="1:7">
      <c r="A38" s="207"/>
      <c r="B38" s="208"/>
      <c r="C38" s="211" t="s">
        <v>2</v>
      </c>
      <c r="D38" s="211" t="s">
        <v>3</v>
      </c>
      <c r="E38" s="211" t="s">
        <v>4</v>
      </c>
      <c r="F38" s="211" t="s">
        <v>5</v>
      </c>
      <c r="G38" s="213" t="s">
        <v>6</v>
      </c>
    </row>
    <row r="39" spans="1:7">
      <c r="A39" s="207"/>
      <c r="B39" s="208"/>
      <c r="C39" s="212"/>
      <c r="D39" s="212"/>
      <c r="E39" s="212"/>
      <c r="F39" s="212"/>
      <c r="G39" s="214"/>
    </row>
    <row r="40" spans="1:7">
      <c r="A40" s="5">
        <v>1</v>
      </c>
      <c r="B40" s="47" t="s">
        <v>210</v>
      </c>
      <c r="C40" s="48" t="s">
        <v>9</v>
      </c>
      <c r="D40" s="48">
        <v>35</v>
      </c>
      <c r="E40" s="49">
        <v>0</v>
      </c>
      <c r="F40" s="5">
        <f>E40-D40</f>
        <v>-35</v>
      </c>
      <c r="G40" s="10">
        <f>E40/D40*100%</f>
        <v>0</v>
      </c>
    </row>
    <row r="41" spans="1:7">
      <c r="A41" s="5">
        <v>2</v>
      </c>
      <c r="B41" s="47" t="s">
        <v>211</v>
      </c>
      <c r="C41" s="48" t="s">
        <v>11</v>
      </c>
      <c r="D41" s="48">
        <v>25</v>
      </c>
      <c r="E41" s="49">
        <v>7</v>
      </c>
      <c r="F41" s="5">
        <f t="shared" ref="F41:F46" si="4">E41-D41</f>
        <v>-18</v>
      </c>
      <c r="G41" s="10">
        <f t="shared" ref="G41:G46" si="5">E41/D41*100%</f>
        <v>0.28000000000000003</v>
      </c>
    </row>
    <row r="42" spans="1:7">
      <c r="A42" s="5">
        <v>3</v>
      </c>
      <c r="B42" s="47" t="s">
        <v>212</v>
      </c>
      <c r="C42" s="48" t="s">
        <v>11</v>
      </c>
      <c r="D42" s="48">
        <v>25</v>
      </c>
      <c r="E42" s="49">
        <v>10</v>
      </c>
      <c r="F42" s="5">
        <f t="shared" si="4"/>
        <v>-15</v>
      </c>
      <c r="G42" s="10">
        <f t="shared" si="5"/>
        <v>0.4</v>
      </c>
    </row>
    <row r="43" spans="1:7">
      <c r="A43" s="5">
        <v>4</v>
      </c>
      <c r="B43" s="47" t="s">
        <v>213</v>
      </c>
      <c r="C43" s="48" t="s">
        <v>11</v>
      </c>
      <c r="D43" s="48">
        <v>25</v>
      </c>
      <c r="E43" s="49">
        <v>5</v>
      </c>
      <c r="F43" s="5">
        <f t="shared" si="4"/>
        <v>-20</v>
      </c>
      <c r="G43" s="10">
        <f t="shared" si="5"/>
        <v>0.2</v>
      </c>
    </row>
    <row r="44" spans="1:7">
      <c r="A44" s="5">
        <v>5</v>
      </c>
      <c r="B44" s="47" t="s">
        <v>214</v>
      </c>
      <c r="C44" s="48" t="s">
        <v>11</v>
      </c>
      <c r="D44" s="48">
        <v>25</v>
      </c>
      <c r="E44" s="49">
        <v>26</v>
      </c>
      <c r="F44" s="5">
        <f t="shared" si="4"/>
        <v>1</v>
      </c>
      <c r="G44" s="10">
        <f t="shared" si="5"/>
        <v>1.04</v>
      </c>
    </row>
    <row r="45" spans="1:7">
      <c r="A45" s="5">
        <v>6</v>
      </c>
      <c r="B45" s="47" t="s">
        <v>215</v>
      </c>
      <c r="C45" s="48" t="s">
        <v>11</v>
      </c>
      <c r="D45" s="48">
        <v>25</v>
      </c>
      <c r="E45" s="49">
        <v>1</v>
      </c>
      <c r="F45" s="5">
        <f t="shared" si="4"/>
        <v>-24</v>
      </c>
      <c r="G45" s="10">
        <f t="shared" si="5"/>
        <v>0.04</v>
      </c>
    </row>
    <row r="46" spans="1:7">
      <c r="A46" s="5"/>
      <c r="B46" s="5" t="s">
        <v>31</v>
      </c>
      <c r="C46" s="5"/>
      <c r="D46" s="5">
        <v>150</v>
      </c>
      <c r="E46" s="5">
        <f>SUM(E40:E45)</f>
        <v>49</v>
      </c>
      <c r="F46" s="5">
        <f t="shared" si="4"/>
        <v>-101</v>
      </c>
      <c r="G46" s="10">
        <f t="shared" si="5"/>
        <v>0.32666666666666666</v>
      </c>
    </row>
  </sheetData>
  <mergeCells count="24">
    <mergeCell ref="A2:A4"/>
    <mergeCell ref="B2:B4"/>
    <mergeCell ref="C2:G2"/>
    <mergeCell ref="C3:C4"/>
    <mergeCell ref="D3:D4"/>
    <mergeCell ref="E3:E4"/>
    <mergeCell ref="F3:F4"/>
    <mergeCell ref="G3:G4"/>
    <mergeCell ref="A24:A26"/>
    <mergeCell ref="B24:B26"/>
    <mergeCell ref="C24:G24"/>
    <mergeCell ref="C25:C26"/>
    <mergeCell ref="D25:D26"/>
    <mergeCell ref="E25:E26"/>
    <mergeCell ref="F25:F26"/>
    <mergeCell ref="G25:G26"/>
    <mergeCell ref="A37:A39"/>
    <mergeCell ref="B37:B39"/>
    <mergeCell ref="C37:G37"/>
    <mergeCell ref="C38:C39"/>
    <mergeCell ref="D38:D39"/>
    <mergeCell ref="E38:E39"/>
    <mergeCell ref="F38:F39"/>
    <mergeCell ref="G38:G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CEF-49FE-4CC7-9C89-A3600E8637C1}">
  <dimension ref="A1:M30"/>
  <sheetViews>
    <sheetView workbookViewId="0">
      <selection activeCell="O3" sqref="O3"/>
    </sheetView>
  </sheetViews>
  <sheetFormatPr defaultRowHeight="14.5"/>
  <cols>
    <col min="1" max="1" width="5" customWidth="1"/>
    <col min="2" max="2" width="29.7265625" customWidth="1"/>
    <col min="7" max="7" width="8.7265625" style="11"/>
    <col min="9" max="9" width="4" customWidth="1"/>
    <col min="10" max="10" width="20.5429687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5">
        <v>1</v>
      </c>
      <c r="B4" s="55" t="s">
        <v>216</v>
      </c>
      <c r="C4" s="53" t="s">
        <v>9</v>
      </c>
      <c r="D4" s="53">
        <v>35</v>
      </c>
      <c r="E4" s="53">
        <v>5</v>
      </c>
      <c r="F4" s="5">
        <f>E4-D4</f>
        <v>-30</v>
      </c>
      <c r="G4" s="10">
        <f>E4/D4*100%</f>
        <v>0.14285714285714285</v>
      </c>
      <c r="I4" s="34" t="s">
        <v>92</v>
      </c>
      <c r="J4" s="34" t="s">
        <v>170</v>
      </c>
      <c r="K4" s="34" t="s">
        <v>41</v>
      </c>
      <c r="L4" s="34" t="s">
        <v>42</v>
      </c>
      <c r="M4" s="44" t="s">
        <v>6</v>
      </c>
    </row>
    <row r="5" spans="1:13">
      <c r="A5" s="5">
        <v>2</v>
      </c>
      <c r="B5" s="55" t="s">
        <v>217</v>
      </c>
      <c r="C5" s="54" t="s">
        <v>11</v>
      </c>
      <c r="D5" s="54">
        <v>25</v>
      </c>
      <c r="E5" s="53">
        <v>24</v>
      </c>
      <c r="F5" s="5">
        <f t="shared" ref="F5:F30" si="0">E5-D5</f>
        <v>-1</v>
      </c>
      <c r="G5" s="10">
        <f t="shared" ref="G5:G30" si="1">E5/D5*100%</f>
        <v>0.96</v>
      </c>
      <c r="I5" s="2">
        <v>1</v>
      </c>
      <c r="J5" s="2" t="s">
        <v>242</v>
      </c>
      <c r="K5" s="2">
        <v>150</v>
      </c>
      <c r="L5" s="2">
        <v>97</v>
      </c>
      <c r="M5" s="45">
        <f>L5/K5*100%</f>
        <v>0.64666666666666661</v>
      </c>
    </row>
    <row r="6" spans="1:13">
      <c r="A6" s="5">
        <v>3</v>
      </c>
      <c r="B6" s="55" t="s">
        <v>218</v>
      </c>
      <c r="C6" s="54" t="s">
        <v>11</v>
      </c>
      <c r="D6" s="53">
        <v>25</v>
      </c>
      <c r="E6" s="53">
        <v>24</v>
      </c>
      <c r="F6" s="5">
        <f t="shared" si="0"/>
        <v>-1</v>
      </c>
      <c r="G6" s="10">
        <f t="shared" si="1"/>
        <v>0.96</v>
      </c>
      <c r="I6" s="2">
        <v>2</v>
      </c>
      <c r="J6" s="2" t="s">
        <v>243</v>
      </c>
      <c r="K6" s="2">
        <v>190</v>
      </c>
      <c r="L6" s="2">
        <v>61</v>
      </c>
      <c r="M6" s="45">
        <f t="shared" ref="M6:M9" si="2">L6/K6*100%</f>
        <v>0.32105263157894737</v>
      </c>
    </row>
    <row r="7" spans="1:13">
      <c r="A7" s="5">
        <v>4</v>
      </c>
      <c r="B7" s="55" t="s">
        <v>219</v>
      </c>
      <c r="C7" s="54" t="s">
        <v>11</v>
      </c>
      <c r="D7" s="54">
        <v>25</v>
      </c>
      <c r="E7" s="53">
        <v>6</v>
      </c>
      <c r="F7" s="5">
        <f t="shared" si="0"/>
        <v>-19</v>
      </c>
      <c r="G7" s="10">
        <f t="shared" si="1"/>
        <v>0.24</v>
      </c>
      <c r="I7" s="2">
        <v>3</v>
      </c>
      <c r="J7" s="2" t="s">
        <v>244</v>
      </c>
      <c r="K7" s="2">
        <v>190</v>
      </c>
      <c r="L7" s="2">
        <v>114</v>
      </c>
      <c r="M7" s="45">
        <f t="shared" si="2"/>
        <v>0.6</v>
      </c>
    </row>
    <row r="8" spans="1:13">
      <c r="A8" s="5">
        <v>5</v>
      </c>
      <c r="B8" s="56" t="s">
        <v>220</v>
      </c>
      <c r="C8" s="54" t="s">
        <v>11</v>
      </c>
      <c r="D8" s="54">
        <v>25</v>
      </c>
      <c r="E8" s="53">
        <v>26</v>
      </c>
      <c r="F8" s="5">
        <f t="shared" si="0"/>
        <v>1</v>
      </c>
      <c r="G8" s="10">
        <f t="shared" si="1"/>
        <v>1.04</v>
      </c>
      <c r="I8" s="2">
        <v>4</v>
      </c>
      <c r="J8" s="2" t="s">
        <v>245</v>
      </c>
      <c r="K8" s="2">
        <v>150</v>
      </c>
      <c r="L8" s="2">
        <v>66</v>
      </c>
      <c r="M8" s="45">
        <f t="shared" si="2"/>
        <v>0.44</v>
      </c>
    </row>
    <row r="9" spans="1:13">
      <c r="A9" s="5">
        <v>6</v>
      </c>
      <c r="B9" s="55" t="s">
        <v>221</v>
      </c>
      <c r="C9" s="54" t="s">
        <v>11</v>
      </c>
      <c r="D9" s="53">
        <v>25</v>
      </c>
      <c r="E9" s="53">
        <v>12</v>
      </c>
      <c r="F9" s="5">
        <f t="shared" si="0"/>
        <v>-13</v>
      </c>
      <c r="G9" s="10">
        <f t="shared" si="1"/>
        <v>0.48</v>
      </c>
      <c r="I9" s="2">
        <v>5</v>
      </c>
      <c r="J9" s="2" t="s">
        <v>246</v>
      </c>
      <c r="K9" s="2">
        <v>150</v>
      </c>
      <c r="L9" s="2">
        <v>75</v>
      </c>
      <c r="M9" s="45">
        <f t="shared" si="2"/>
        <v>0.5</v>
      </c>
    </row>
    <row r="10" spans="1:13">
      <c r="A10" s="5">
        <v>7</v>
      </c>
      <c r="B10" s="56" t="s">
        <v>222</v>
      </c>
      <c r="C10" s="53" t="s">
        <v>9</v>
      </c>
      <c r="D10" s="53">
        <v>35</v>
      </c>
      <c r="E10" s="53">
        <v>7</v>
      </c>
      <c r="F10" s="5">
        <f t="shared" si="0"/>
        <v>-28</v>
      </c>
      <c r="G10" s="10">
        <f t="shared" si="1"/>
        <v>0.2</v>
      </c>
    </row>
    <row r="11" spans="1:13">
      <c r="A11" s="5">
        <v>8</v>
      </c>
      <c r="B11" s="5" t="s">
        <v>223</v>
      </c>
      <c r="C11" s="54" t="s">
        <v>11</v>
      </c>
      <c r="D11" s="54">
        <v>25</v>
      </c>
      <c r="E11" s="53">
        <v>12</v>
      </c>
      <c r="F11" s="5">
        <f t="shared" si="0"/>
        <v>-13</v>
      </c>
      <c r="G11" s="10">
        <f t="shared" si="1"/>
        <v>0.48</v>
      </c>
    </row>
    <row r="12" spans="1:13">
      <c r="A12" s="5">
        <v>9</v>
      </c>
      <c r="B12" s="55" t="s">
        <v>224</v>
      </c>
      <c r="C12" s="54" t="s">
        <v>11</v>
      </c>
      <c r="D12" s="54">
        <v>25</v>
      </c>
      <c r="E12" s="53">
        <v>27</v>
      </c>
      <c r="F12" s="5">
        <f t="shared" si="0"/>
        <v>2</v>
      </c>
      <c r="G12" s="10">
        <f t="shared" si="1"/>
        <v>1.08</v>
      </c>
    </row>
    <row r="13" spans="1:13">
      <c r="A13" s="5">
        <v>10</v>
      </c>
      <c r="B13" s="56" t="s">
        <v>225</v>
      </c>
      <c r="C13" s="54" t="s">
        <v>11</v>
      </c>
      <c r="D13" s="53">
        <v>25</v>
      </c>
      <c r="E13" s="53">
        <v>6</v>
      </c>
      <c r="F13" s="5">
        <f t="shared" si="0"/>
        <v>-19</v>
      </c>
      <c r="G13" s="10">
        <f t="shared" si="1"/>
        <v>0.24</v>
      </c>
    </row>
    <row r="14" spans="1:13">
      <c r="A14" s="5">
        <v>11</v>
      </c>
      <c r="B14" s="56" t="s">
        <v>226</v>
      </c>
      <c r="C14" s="54" t="s">
        <v>11</v>
      </c>
      <c r="D14" s="54">
        <v>25</v>
      </c>
      <c r="E14" s="53">
        <v>4</v>
      </c>
      <c r="F14" s="5">
        <f t="shared" si="0"/>
        <v>-21</v>
      </c>
      <c r="G14" s="10">
        <f t="shared" si="1"/>
        <v>0.16</v>
      </c>
    </row>
    <row r="15" spans="1:13">
      <c r="A15" s="5">
        <v>12</v>
      </c>
      <c r="B15" s="56" t="s">
        <v>227</v>
      </c>
      <c r="C15" s="54" t="s">
        <v>11</v>
      </c>
      <c r="D15" s="53">
        <v>25</v>
      </c>
      <c r="E15" s="53">
        <v>1</v>
      </c>
      <c r="F15" s="5">
        <f t="shared" si="0"/>
        <v>-24</v>
      </c>
      <c r="G15" s="10">
        <f t="shared" si="1"/>
        <v>0.04</v>
      </c>
    </row>
    <row r="16" spans="1:13">
      <c r="A16" s="5">
        <v>13</v>
      </c>
      <c r="B16" s="55" t="s">
        <v>228</v>
      </c>
      <c r="C16" s="54" t="s">
        <v>11</v>
      </c>
      <c r="D16" s="54">
        <v>25</v>
      </c>
      <c r="E16" s="53">
        <v>3</v>
      </c>
      <c r="F16" s="5">
        <f t="shared" si="0"/>
        <v>-22</v>
      </c>
      <c r="G16" s="10">
        <f t="shared" si="1"/>
        <v>0.12</v>
      </c>
    </row>
    <row r="17" spans="1:7">
      <c r="A17" s="5">
        <v>14</v>
      </c>
      <c r="B17" s="55" t="s">
        <v>229</v>
      </c>
      <c r="C17" s="54" t="s">
        <v>11</v>
      </c>
      <c r="D17" s="54">
        <v>25</v>
      </c>
      <c r="E17" s="53">
        <v>1</v>
      </c>
      <c r="F17" s="5">
        <f t="shared" si="0"/>
        <v>-24</v>
      </c>
      <c r="G17" s="10">
        <f t="shared" si="1"/>
        <v>0.04</v>
      </c>
    </row>
    <row r="18" spans="1:7">
      <c r="A18" s="5">
        <v>15</v>
      </c>
      <c r="B18" s="55" t="s">
        <v>230</v>
      </c>
      <c r="C18" s="53" t="s">
        <v>9</v>
      </c>
      <c r="D18" s="53">
        <v>35</v>
      </c>
      <c r="E18" s="53">
        <v>2</v>
      </c>
      <c r="F18" s="5">
        <f t="shared" si="0"/>
        <v>-33</v>
      </c>
      <c r="G18" s="10">
        <f t="shared" si="1"/>
        <v>5.7142857142857141E-2</v>
      </c>
    </row>
    <row r="19" spans="1:7">
      <c r="A19" s="5">
        <v>16</v>
      </c>
      <c r="B19" s="55" t="s">
        <v>231</v>
      </c>
      <c r="C19" s="54" t="s">
        <v>11</v>
      </c>
      <c r="D19" s="54">
        <v>25</v>
      </c>
      <c r="E19" s="53">
        <v>11</v>
      </c>
      <c r="F19" s="5">
        <f t="shared" si="0"/>
        <v>-14</v>
      </c>
      <c r="G19" s="10">
        <f t="shared" si="1"/>
        <v>0.44</v>
      </c>
    </row>
    <row r="20" spans="1:7">
      <c r="A20" s="5">
        <v>17</v>
      </c>
      <c r="B20" s="55" t="s">
        <v>232</v>
      </c>
      <c r="C20" s="54" t="s">
        <v>11</v>
      </c>
      <c r="D20" s="53">
        <v>25</v>
      </c>
      <c r="E20" s="53">
        <v>15</v>
      </c>
      <c r="F20" s="5">
        <f t="shared" si="0"/>
        <v>-10</v>
      </c>
      <c r="G20" s="10">
        <f t="shared" si="1"/>
        <v>0.6</v>
      </c>
    </row>
    <row r="21" spans="1:7">
      <c r="A21" s="5">
        <v>18</v>
      </c>
      <c r="B21" s="56" t="s">
        <v>233</v>
      </c>
      <c r="C21" s="54" t="s">
        <v>11</v>
      </c>
      <c r="D21" s="54">
        <v>25</v>
      </c>
      <c r="E21" s="53">
        <v>28</v>
      </c>
      <c r="F21" s="5">
        <f t="shared" si="0"/>
        <v>3</v>
      </c>
      <c r="G21" s="10">
        <f t="shared" si="1"/>
        <v>1.1200000000000001</v>
      </c>
    </row>
    <row r="22" spans="1:7">
      <c r="A22" s="5">
        <v>19</v>
      </c>
      <c r="B22" s="55" t="s">
        <v>234</v>
      </c>
      <c r="C22" s="54" t="s">
        <v>11</v>
      </c>
      <c r="D22" s="54">
        <v>25</v>
      </c>
      <c r="E22" s="53">
        <v>27</v>
      </c>
      <c r="F22" s="5">
        <f t="shared" si="0"/>
        <v>2</v>
      </c>
      <c r="G22" s="10">
        <f t="shared" si="1"/>
        <v>1.08</v>
      </c>
    </row>
    <row r="23" spans="1:7">
      <c r="A23" s="5">
        <v>20</v>
      </c>
      <c r="B23" s="55" t="s">
        <v>235</v>
      </c>
      <c r="C23" s="54" t="s">
        <v>11</v>
      </c>
      <c r="D23" s="53">
        <v>25</v>
      </c>
      <c r="E23" s="53">
        <v>26</v>
      </c>
      <c r="F23" s="5">
        <f t="shared" si="0"/>
        <v>1</v>
      </c>
      <c r="G23" s="10">
        <f t="shared" si="1"/>
        <v>1.04</v>
      </c>
    </row>
    <row r="24" spans="1:7">
      <c r="A24" s="5">
        <v>21</v>
      </c>
      <c r="B24" s="55" t="s">
        <v>236</v>
      </c>
      <c r="C24" s="54" t="s">
        <v>11</v>
      </c>
      <c r="D24" s="54">
        <v>25</v>
      </c>
      <c r="E24" s="53">
        <v>5</v>
      </c>
      <c r="F24" s="5">
        <f t="shared" si="0"/>
        <v>-20</v>
      </c>
      <c r="G24" s="10">
        <f t="shared" si="1"/>
        <v>0.2</v>
      </c>
    </row>
    <row r="25" spans="1:7">
      <c r="A25" s="5">
        <v>22</v>
      </c>
      <c r="B25" s="55" t="s">
        <v>237</v>
      </c>
      <c r="C25" s="53" t="s">
        <v>9</v>
      </c>
      <c r="D25" s="53">
        <v>35</v>
      </c>
      <c r="E25" s="53">
        <v>10</v>
      </c>
      <c r="F25" s="5">
        <f t="shared" si="0"/>
        <v>-25</v>
      </c>
      <c r="G25" s="10">
        <f t="shared" si="1"/>
        <v>0.2857142857142857</v>
      </c>
    </row>
    <row r="26" spans="1:7">
      <c r="A26" s="5">
        <v>23</v>
      </c>
      <c r="B26" s="55" t="s">
        <v>238</v>
      </c>
      <c r="C26" s="54" t="s">
        <v>11</v>
      </c>
      <c r="D26" s="53">
        <v>25</v>
      </c>
      <c r="E26" s="53">
        <v>13</v>
      </c>
      <c r="F26" s="5">
        <f t="shared" si="0"/>
        <v>-12</v>
      </c>
      <c r="G26" s="10">
        <f t="shared" si="1"/>
        <v>0.52</v>
      </c>
    </row>
    <row r="27" spans="1:7">
      <c r="A27" s="5">
        <v>24</v>
      </c>
      <c r="B27" s="56" t="s">
        <v>239</v>
      </c>
      <c r="C27" s="54" t="s">
        <v>11</v>
      </c>
      <c r="D27" s="53">
        <v>25</v>
      </c>
      <c r="E27" s="53">
        <v>21</v>
      </c>
      <c r="F27" s="5">
        <f t="shared" si="0"/>
        <v>-4</v>
      </c>
      <c r="G27" s="10">
        <f t="shared" si="1"/>
        <v>0.84</v>
      </c>
    </row>
    <row r="28" spans="1:7">
      <c r="A28" s="5">
        <v>25</v>
      </c>
      <c r="B28" s="55" t="s">
        <v>240</v>
      </c>
      <c r="C28" s="54" t="s">
        <v>11</v>
      </c>
      <c r="D28" s="53">
        <v>25</v>
      </c>
      <c r="E28" s="53">
        <v>19</v>
      </c>
      <c r="F28" s="5">
        <f t="shared" si="0"/>
        <v>-6</v>
      </c>
      <c r="G28" s="10">
        <f t="shared" si="1"/>
        <v>0.76</v>
      </c>
    </row>
    <row r="29" spans="1:7">
      <c r="A29" s="5">
        <v>26</v>
      </c>
      <c r="B29" s="56" t="s">
        <v>241</v>
      </c>
      <c r="C29" s="54" t="s">
        <v>11</v>
      </c>
      <c r="D29" s="53">
        <v>25</v>
      </c>
      <c r="E29" s="53">
        <v>3</v>
      </c>
      <c r="F29" s="5">
        <f t="shared" si="0"/>
        <v>-22</v>
      </c>
      <c r="G29" s="10">
        <f t="shared" si="1"/>
        <v>0.12</v>
      </c>
    </row>
    <row r="30" spans="1:7">
      <c r="A30" s="5"/>
      <c r="B30" s="24" t="s">
        <v>31</v>
      </c>
      <c r="C30" s="24"/>
      <c r="D30" s="24">
        <v>830</v>
      </c>
      <c r="E30" s="24">
        <f>SUM(E4:E29)</f>
        <v>338</v>
      </c>
      <c r="F30" s="24">
        <f t="shared" si="0"/>
        <v>-492</v>
      </c>
      <c r="G30" s="25">
        <f t="shared" si="1"/>
        <v>0.40722891566265063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EAF6-90C2-4D2C-AA33-7C6E3759AC94}">
  <dimension ref="A1:M24"/>
  <sheetViews>
    <sheetView workbookViewId="0">
      <selection activeCell="J5" sqref="J5:M7"/>
    </sheetView>
  </sheetViews>
  <sheetFormatPr defaultRowHeight="14.5"/>
  <cols>
    <col min="1" max="1" width="5.1796875" style="13" customWidth="1"/>
    <col min="2" max="2" width="28.6328125" customWidth="1"/>
    <col min="7" max="7" width="8.7265625" style="11"/>
    <col min="9" max="9" width="3.90625" customWidth="1"/>
    <col min="10" max="10" width="19.1796875" customWidth="1"/>
    <col min="11" max="11" width="10.363281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14">
        <v>1</v>
      </c>
      <c r="B4" s="56" t="s">
        <v>247</v>
      </c>
      <c r="C4" s="53" t="s">
        <v>9</v>
      </c>
      <c r="D4" s="53">
        <v>35</v>
      </c>
      <c r="E4" s="53">
        <v>9</v>
      </c>
      <c r="F4" s="5">
        <f>E4-D4</f>
        <v>-26</v>
      </c>
      <c r="G4" s="10">
        <f>E4/D4*100%</f>
        <v>0.25714285714285712</v>
      </c>
      <c r="I4" s="34" t="s">
        <v>92</v>
      </c>
      <c r="J4" s="34" t="s">
        <v>170</v>
      </c>
      <c r="K4" s="34" t="s">
        <v>41</v>
      </c>
      <c r="L4" s="34" t="s">
        <v>42</v>
      </c>
      <c r="M4" s="44" t="s">
        <v>6</v>
      </c>
    </row>
    <row r="5" spans="1:13">
      <c r="A5" s="14">
        <v>2</v>
      </c>
      <c r="B5" s="5" t="s">
        <v>248</v>
      </c>
      <c r="C5" s="54" t="s">
        <v>11</v>
      </c>
      <c r="D5" s="53">
        <v>25</v>
      </c>
      <c r="E5" s="53">
        <v>18</v>
      </c>
      <c r="F5" s="5">
        <f t="shared" ref="F5:F24" si="0">E5-D5</f>
        <v>-7</v>
      </c>
      <c r="G5" s="10">
        <f t="shared" ref="G5:G24" si="1">E5/D5*100%</f>
        <v>0.72</v>
      </c>
      <c r="I5" s="2">
        <v>1</v>
      </c>
      <c r="J5" s="2" t="s">
        <v>267</v>
      </c>
      <c r="K5" s="2">
        <v>150</v>
      </c>
      <c r="L5" s="2">
        <v>79</v>
      </c>
      <c r="M5" s="45">
        <f>L5/K5*100%</f>
        <v>0.52666666666666662</v>
      </c>
    </row>
    <row r="6" spans="1:13">
      <c r="A6" s="14">
        <v>3</v>
      </c>
      <c r="B6" s="56" t="s">
        <v>249</v>
      </c>
      <c r="C6" s="54" t="s">
        <v>11</v>
      </c>
      <c r="D6" s="54">
        <v>25</v>
      </c>
      <c r="E6" s="53">
        <v>18</v>
      </c>
      <c r="F6" s="5">
        <f t="shared" si="0"/>
        <v>-7</v>
      </c>
      <c r="G6" s="10">
        <f t="shared" si="1"/>
        <v>0.72</v>
      </c>
      <c r="I6" s="2">
        <v>2</v>
      </c>
      <c r="J6" s="2" t="s">
        <v>268</v>
      </c>
      <c r="K6" s="2">
        <v>190</v>
      </c>
      <c r="L6" s="2">
        <v>121</v>
      </c>
      <c r="M6" s="45">
        <f t="shared" ref="M6:M7" si="2">L6/K6*100%</f>
        <v>0.63684210526315788</v>
      </c>
    </row>
    <row r="7" spans="1:13">
      <c r="A7" s="14">
        <v>4</v>
      </c>
      <c r="B7" s="56" t="s">
        <v>250</v>
      </c>
      <c r="C7" s="54" t="s">
        <v>11</v>
      </c>
      <c r="D7" s="54">
        <v>25</v>
      </c>
      <c r="E7" s="53">
        <v>16</v>
      </c>
      <c r="F7" s="5">
        <f t="shared" si="0"/>
        <v>-9</v>
      </c>
      <c r="G7" s="10">
        <f t="shared" si="1"/>
        <v>0.64</v>
      </c>
      <c r="I7" s="2">
        <v>3</v>
      </c>
      <c r="J7" s="2" t="s">
        <v>269</v>
      </c>
      <c r="K7" s="2">
        <v>150</v>
      </c>
      <c r="L7" s="2">
        <v>49</v>
      </c>
      <c r="M7" s="45">
        <f t="shared" si="2"/>
        <v>0.32666666666666666</v>
      </c>
    </row>
    <row r="8" spans="1:13">
      <c r="A8" s="14">
        <v>5</v>
      </c>
      <c r="B8" s="56" t="s">
        <v>251</v>
      </c>
      <c r="C8" s="54" t="s">
        <v>11</v>
      </c>
      <c r="D8" s="54">
        <v>25</v>
      </c>
      <c r="E8" s="53">
        <v>14</v>
      </c>
      <c r="F8" s="5">
        <f t="shared" si="0"/>
        <v>-11</v>
      </c>
      <c r="G8" s="10">
        <f t="shared" si="1"/>
        <v>0.56000000000000005</v>
      </c>
    </row>
    <row r="9" spans="1:13">
      <c r="A9" s="14">
        <v>6</v>
      </c>
      <c r="B9" s="56" t="s">
        <v>252</v>
      </c>
      <c r="C9" s="54" t="s">
        <v>11</v>
      </c>
      <c r="D9" s="53">
        <v>25</v>
      </c>
      <c r="E9" s="53">
        <v>4</v>
      </c>
      <c r="F9" s="5">
        <f t="shared" si="0"/>
        <v>-21</v>
      </c>
      <c r="G9" s="10">
        <f t="shared" si="1"/>
        <v>0.16</v>
      </c>
    </row>
    <row r="10" spans="1:13">
      <c r="A10" s="14">
        <v>7</v>
      </c>
      <c r="B10" s="56" t="s">
        <v>253</v>
      </c>
      <c r="C10" s="53" t="s">
        <v>9</v>
      </c>
      <c r="D10" s="53">
        <v>35</v>
      </c>
      <c r="E10" s="53">
        <v>8</v>
      </c>
      <c r="F10" s="5">
        <f t="shared" si="0"/>
        <v>-27</v>
      </c>
      <c r="G10" s="10">
        <f t="shared" si="1"/>
        <v>0.22857142857142856</v>
      </c>
    </row>
    <row r="11" spans="1:13">
      <c r="A11" s="14">
        <v>8</v>
      </c>
      <c r="B11" s="56" t="s">
        <v>254</v>
      </c>
      <c r="C11" s="54" t="s">
        <v>11</v>
      </c>
      <c r="D11" s="53">
        <v>25</v>
      </c>
      <c r="E11" s="53">
        <v>18</v>
      </c>
      <c r="F11" s="5">
        <f t="shared" si="0"/>
        <v>-7</v>
      </c>
      <c r="G11" s="10">
        <f t="shared" si="1"/>
        <v>0.72</v>
      </c>
    </row>
    <row r="12" spans="1:13">
      <c r="A12" s="14">
        <v>9</v>
      </c>
      <c r="B12" s="56" t="s">
        <v>255</v>
      </c>
      <c r="C12" s="54" t="s">
        <v>11</v>
      </c>
      <c r="D12" s="54">
        <v>25</v>
      </c>
      <c r="E12" s="53">
        <v>21</v>
      </c>
      <c r="F12" s="5">
        <f t="shared" si="0"/>
        <v>-4</v>
      </c>
      <c r="G12" s="10">
        <f t="shared" si="1"/>
        <v>0.84</v>
      </c>
    </row>
    <row r="13" spans="1:13">
      <c r="A13" s="14">
        <v>10</v>
      </c>
      <c r="B13" s="56" t="s">
        <v>256</v>
      </c>
      <c r="C13" s="54" t="s">
        <v>11</v>
      </c>
      <c r="D13" s="53">
        <v>25</v>
      </c>
      <c r="E13" s="53">
        <v>17</v>
      </c>
      <c r="F13" s="5">
        <f t="shared" si="0"/>
        <v>-8</v>
      </c>
      <c r="G13" s="10">
        <f t="shared" si="1"/>
        <v>0.68</v>
      </c>
    </row>
    <row r="14" spans="1:13">
      <c r="A14" s="14">
        <v>11</v>
      </c>
      <c r="B14" s="56" t="s">
        <v>257</v>
      </c>
      <c r="C14" s="54" t="s">
        <v>11</v>
      </c>
      <c r="D14" s="54">
        <v>25</v>
      </c>
      <c r="E14" s="53">
        <v>33</v>
      </c>
      <c r="F14" s="5">
        <f t="shared" si="0"/>
        <v>8</v>
      </c>
      <c r="G14" s="10">
        <f t="shared" si="1"/>
        <v>1.32</v>
      </c>
    </row>
    <row r="15" spans="1:13">
      <c r="A15" s="14">
        <v>12</v>
      </c>
      <c r="B15" s="56" t="s">
        <v>258</v>
      </c>
      <c r="C15" s="54" t="s">
        <v>11</v>
      </c>
      <c r="D15" s="53">
        <v>25</v>
      </c>
      <c r="E15" s="53">
        <v>2</v>
      </c>
      <c r="F15" s="5">
        <f t="shared" si="0"/>
        <v>-23</v>
      </c>
      <c r="G15" s="10">
        <f t="shared" si="1"/>
        <v>0.08</v>
      </c>
    </row>
    <row r="16" spans="1:13">
      <c r="A16" s="14">
        <v>13</v>
      </c>
      <c r="B16" s="56" t="s">
        <v>259</v>
      </c>
      <c r="C16" s="54" t="s">
        <v>11</v>
      </c>
      <c r="D16" s="54">
        <v>25</v>
      </c>
      <c r="E16" s="53">
        <v>3</v>
      </c>
      <c r="F16" s="5">
        <f t="shared" si="0"/>
        <v>-22</v>
      </c>
      <c r="G16" s="10">
        <f t="shared" si="1"/>
        <v>0.12</v>
      </c>
    </row>
    <row r="17" spans="1:7">
      <c r="A17" s="14">
        <v>14</v>
      </c>
      <c r="B17" s="56" t="s">
        <v>260</v>
      </c>
      <c r="C17" s="54" t="s">
        <v>11</v>
      </c>
      <c r="D17" s="53">
        <v>25</v>
      </c>
      <c r="E17" s="53">
        <v>19</v>
      </c>
      <c r="F17" s="5">
        <f t="shared" si="0"/>
        <v>-6</v>
      </c>
      <c r="G17" s="10">
        <f t="shared" si="1"/>
        <v>0.76</v>
      </c>
    </row>
    <row r="18" spans="1:7">
      <c r="A18" s="14">
        <v>15</v>
      </c>
      <c r="B18" s="56" t="s">
        <v>261</v>
      </c>
      <c r="C18" s="53" t="s">
        <v>9</v>
      </c>
      <c r="D18" s="53">
        <v>35</v>
      </c>
      <c r="E18" s="53">
        <v>13</v>
      </c>
      <c r="F18" s="5">
        <f t="shared" si="0"/>
        <v>-22</v>
      </c>
      <c r="G18" s="10">
        <f t="shared" si="1"/>
        <v>0.37142857142857144</v>
      </c>
    </row>
    <row r="19" spans="1:7">
      <c r="A19" s="14">
        <v>16</v>
      </c>
      <c r="B19" s="56" t="s">
        <v>262</v>
      </c>
      <c r="C19" s="54" t="s">
        <v>11</v>
      </c>
      <c r="D19" s="54">
        <v>25</v>
      </c>
      <c r="E19" s="53">
        <v>1</v>
      </c>
      <c r="F19" s="5">
        <f t="shared" si="0"/>
        <v>-24</v>
      </c>
      <c r="G19" s="10">
        <f t="shared" si="1"/>
        <v>0.04</v>
      </c>
    </row>
    <row r="20" spans="1:7">
      <c r="A20" s="14">
        <v>17</v>
      </c>
      <c r="B20" s="56" t="s">
        <v>263</v>
      </c>
      <c r="C20" s="54" t="s">
        <v>11</v>
      </c>
      <c r="D20" s="53">
        <v>25</v>
      </c>
      <c r="E20" s="53">
        <v>10</v>
      </c>
      <c r="F20" s="5">
        <f t="shared" si="0"/>
        <v>-15</v>
      </c>
      <c r="G20" s="10">
        <f t="shared" si="1"/>
        <v>0.4</v>
      </c>
    </row>
    <row r="21" spans="1:7">
      <c r="A21" s="14">
        <v>18</v>
      </c>
      <c r="B21" s="56" t="s">
        <v>264</v>
      </c>
      <c r="C21" s="54" t="s">
        <v>11</v>
      </c>
      <c r="D21" s="53">
        <v>25</v>
      </c>
      <c r="E21" s="53">
        <v>17</v>
      </c>
      <c r="F21" s="5">
        <f t="shared" si="0"/>
        <v>-8</v>
      </c>
      <c r="G21" s="10">
        <f t="shared" si="1"/>
        <v>0.68</v>
      </c>
    </row>
    <row r="22" spans="1:7">
      <c r="A22" s="14">
        <v>19</v>
      </c>
      <c r="B22" s="56" t="s">
        <v>265</v>
      </c>
      <c r="C22" s="54" t="s">
        <v>11</v>
      </c>
      <c r="D22" s="54">
        <v>25</v>
      </c>
      <c r="E22" s="53">
        <v>4</v>
      </c>
      <c r="F22" s="5">
        <f t="shared" si="0"/>
        <v>-21</v>
      </c>
      <c r="G22" s="10">
        <f t="shared" si="1"/>
        <v>0.16</v>
      </c>
    </row>
    <row r="23" spans="1:7">
      <c r="A23" s="14">
        <v>20</v>
      </c>
      <c r="B23" s="56" t="s">
        <v>266</v>
      </c>
      <c r="C23" s="54" t="s">
        <v>11</v>
      </c>
      <c r="D23" s="54">
        <v>26</v>
      </c>
      <c r="E23" s="53">
        <v>4</v>
      </c>
      <c r="F23" s="5">
        <f t="shared" si="0"/>
        <v>-22</v>
      </c>
      <c r="G23" s="10">
        <f t="shared" si="1"/>
        <v>0.15384615384615385</v>
      </c>
    </row>
    <row r="24" spans="1:7">
      <c r="A24" s="14"/>
      <c r="B24" s="24" t="s">
        <v>31</v>
      </c>
      <c r="C24" s="24"/>
      <c r="D24" s="24">
        <v>490</v>
      </c>
      <c r="E24" s="24">
        <f>SUM(E4:E23)</f>
        <v>249</v>
      </c>
      <c r="F24" s="24">
        <f t="shared" si="0"/>
        <v>-241</v>
      </c>
      <c r="G24" s="25">
        <f t="shared" si="1"/>
        <v>0.50816326530612244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CDC3-1F1F-4843-B670-6FA41F07A941}">
  <dimension ref="A1:M57"/>
  <sheetViews>
    <sheetView topLeftCell="A40" workbookViewId="0">
      <selection activeCell="J47" sqref="J47:M48"/>
    </sheetView>
  </sheetViews>
  <sheetFormatPr defaultRowHeight="14.5"/>
  <cols>
    <col min="1" max="1" width="4.90625" customWidth="1"/>
    <col min="2" max="2" width="34.90625" customWidth="1"/>
    <col min="7" max="7" width="8.7265625" style="11"/>
    <col min="9" max="9" width="5.7265625" customWidth="1"/>
    <col min="10" max="10" width="18" customWidth="1"/>
    <col min="13" max="13" width="8.7265625" style="11"/>
  </cols>
  <sheetData>
    <row r="1" spans="1:7">
      <c r="B1" t="s">
        <v>50</v>
      </c>
    </row>
    <row r="2" spans="1:7">
      <c r="A2" s="207" t="s">
        <v>0</v>
      </c>
      <c r="B2" s="208" t="s">
        <v>1</v>
      </c>
      <c r="C2" s="209" t="s">
        <v>7</v>
      </c>
      <c r="D2" s="210"/>
      <c r="E2" s="210"/>
      <c r="F2" s="210"/>
      <c r="G2" s="210"/>
    </row>
    <row r="3" spans="1:7">
      <c r="A3" s="207"/>
      <c r="B3" s="208"/>
      <c r="C3" s="211" t="s">
        <v>2</v>
      </c>
      <c r="D3" s="211" t="s">
        <v>3</v>
      </c>
      <c r="E3" s="211" t="s">
        <v>4</v>
      </c>
      <c r="F3" s="211" t="s">
        <v>5</v>
      </c>
      <c r="G3" s="213" t="s">
        <v>6</v>
      </c>
    </row>
    <row r="4" spans="1:7">
      <c r="A4" s="217"/>
      <c r="B4" s="218"/>
      <c r="C4" s="219"/>
      <c r="D4" s="219"/>
      <c r="E4" s="219"/>
      <c r="F4" s="219"/>
      <c r="G4" s="220"/>
    </row>
    <row r="5" spans="1:7">
      <c r="A5" s="60">
        <v>1</v>
      </c>
      <c r="B5" s="76" t="s">
        <v>622</v>
      </c>
      <c r="C5" s="140" t="s">
        <v>9</v>
      </c>
      <c r="D5" s="82">
        <v>35</v>
      </c>
      <c r="E5" s="141">
        <v>0</v>
      </c>
      <c r="F5" s="60">
        <f>E5-D5</f>
        <v>-35</v>
      </c>
      <c r="G5" s="71">
        <f>E5/D5*100%</f>
        <v>0</v>
      </c>
    </row>
    <row r="6" spans="1:7">
      <c r="A6" s="60">
        <v>2</v>
      </c>
      <c r="B6" s="76" t="s">
        <v>623</v>
      </c>
      <c r="C6" s="140" t="s">
        <v>624</v>
      </c>
      <c r="D6" s="82">
        <v>25</v>
      </c>
      <c r="E6" s="141">
        <v>20</v>
      </c>
      <c r="F6" s="60">
        <f t="shared" ref="F6:F11" si="0">E6-D6</f>
        <v>-5</v>
      </c>
      <c r="G6" s="71">
        <f t="shared" ref="G6:G11" si="1">E6/D6*100%</f>
        <v>0.8</v>
      </c>
    </row>
    <row r="7" spans="1:7">
      <c r="A7" s="60">
        <v>3</v>
      </c>
      <c r="B7" s="76" t="s">
        <v>625</v>
      </c>
      <c r="C7" s="140" t="s">
        <v>624</v>
      </c>
      <c r="D7" s="82">
        <v>25</v>
      </c>
      <c r="E7" s="141">
        <v>14</v>
      </c>
      <c r="F7" s="60">
        <f t="shared" si="0"/>
        <v>-11</v>
      </c>
      <c r="G7" s="71">
        <f t="shared" si="1"/>
        <v>0.56000000000000005</v>
      </c>
    </row>
    <row r="8" spans="1:7">
      <c r="A8" s="60">
        <v>4</v>
      </c>
      <c r="B8" s="76" t="s">
        <v>626</v>
      </c>
      <c r="C8" s="140" t="s">
        <v>624</v>
      </c>
      <c r="D8" s="82">
        <v>25</v>
      </c>
      <c r="E8" s="141">
        <v>31</v>
      </c>
      <c r="F8" s="60">
        <f t="shared" si="0"/>
        <v>6</v>
      </c>
      <c r="G8" s="71">
        <f t="shared" si="1"/>
        <v>1.24</v>
      </c>
    </row>
    <row r="9" spans="1:7">
      <c r="A9" s="60">
        <v>5</v>
      </c>
      <c r="B9" s="76" t="s">
        <v>627</v>
      </c>
      <c r="C9" s="140" t="s">
        <v>624</v>
      </c>
      <c r="D9" s="82">
        <v>25</v>
      </c>
      <c r="E9" s="141">
        <v>16</v>
      </c>
      <c r="F9" s="60">
        <f t="shared" si="0"/>
        <v>-9</v>
      </c>
      <c r="G9" s="71">
        <f t="shared" si="1"/>
        <v>0.64</v>
      </c>
    </row>
    <row r="10" spans="1:7">
      <c r="A10" s="60">
        <v>6</v>
      </c>
      <c r="B10" s="76" t="s">
        <v>628</v>
      </c>
      <c r="C10" s="140" t="s">
        <v>624</v>
      </c>
      <c r="D10" s="82">
        <v>25</v>
      </c>
      <c r="E10" s="141">
        <v>10</v>
      </c>
      <c r="F10" s="60">
        <f t="shared" si="0"/>
        <v>-15</v>
      </c>
      <c r="G10" s="71">
        <f t="shared" si="1"/>
        <v>0.4</v>
      </c>
    </row>
    <row r="11" spans="1:7">
      <c r="A11" s="60"/>
      <c r="B11" s="60" t="s">
        <v>31</v>
      </c>
      <c r="C11" s="60"/>
      <c r="D11" s="60">
        <v>150</v>
      </c>
      <c r="E11" s="60">
        <f>SUM(E5:E10)</f>
        <v>91</v>
      </c>
      <c r="F11" s="60">
        <f t="shared" si="0"/>
        <v>-59</v>
      </c>
      <c r="G11" s="71">
        <f t="shared" si="1"/>
        <v>0.60666666666666669</v>
      </c>
    </row>
    <row r="13" spans="1:7">
      <c r="B13" s="142" t="s">
        <v>51</v>
      </c>
    </row>
    <row r="14" spans="1:7">
      <c r="A14" s="207" t="s">
        <v>0</v>
      </c>
      <c r="B14" s="208" t="s">
        <v>1</v>
      </c>
      <c r="C14" s="209" t="s">
        <v>7</v>
      </c>
      <c r="D14" s="210"/>
      <c r="E14" s="210"/>
      <c r="F14" s="210"/>
      <c r="G14" s="210"/>
    </row>
    <row r="15" spans="1:7">
      <c r="A15" s="207"/>
      <c r="B15" s="208"/>
      <c r="C15" s="211" t="s">
        <v>2</v>
      </c>
      <c r="D15" s="211" t="s">
        <v>3</v>
      </c>
      <c r="E15" s="211" t="s">
        <v>4</v>
      </c>
      <c r="F15" s="211" t="s">
        <v>5</v>
      </c>
      <c r="G15" s="213" t="s">
        <v>6</v>
      </c>
    </row>
    <row r="16" spans="1:7">
      <c r="A16" s="217"/>
      <c r="B16" s="218"/>
      <c r="C16" s="219"/>
      <c r="D16" s="219"/>
      <c r="E16" s="219"/>
      <c r="F16" s="219"/>
      <c r="G16" s="220"/>
    </row>
    <row r="17" spans="1:7">
      <c r="A17" s="60">
        <v>1</v>
      </c>
      <c r="B17" s="76" t="s">
        <v>629</v>
      </c>
      <c r="C17" s="140" t="s">
        <v>9</v>
      </c>
      <c r="D17" s="82">
        <v>35</v>
      </c>
      <c r="E17" s="141">
        <v>0</v>
      </c>
      <c r="F17" s="60">
        <f>E17-D17</f>
        <v>-35</v>
      </c>
      <c r="G17" s="71">
        <f>E17/D17*100%</f>
        <v>0</v>
      </c>
    </row>
    <row r="18" spans="1:7">
      <c r="A18" s="60">
        <v>2</v>
      </c>
      <c r="B18" s="76" t="s">
        <v>630</v>
      </c>
      <c r="C18" s="140" t="s">
        <v>624</v>
      </c>
      <c r="D18" s="82">
        <v>25</v>
      </c>
      <c r="E18" s="141">
        <v>26</v>
      </c>
      <c r="F18" s="60">
        <f t="shared" ref="F18:F23" si="2">E18-D18</f>
        <v>1</v>
      </c>
      <c r="G18" s="71">
        <f t="shared" ref="G18:G23" si="3">E18/D18*100%</f>
        <v>1.04</v>
      </c>
    </row>
    <row r="19" spans="1:7">
      <c r="A19" s="60">
        <v>3</v>
      </c>
      <c r="B19" s="76" t="s">
        <v>631</v>
      </c>
      <c r="C19" s="140" t="s">
        <v>624</v>
      </c>
      <c r="D19" s="82">
        <v>25</v>
      </c>
      <c r="E19" s="141">
        <v>38</v>
      </c>
      <c r="F19" s="60">
        <f t="shared" si="2"/>
        <v>13</v>
      </c>
      <c r="G19" s="71">
        <f t="shared" si="3"/>
        <v>1.52</v>
      </c>
    </row>
    <row r="20" spans="1:7">
      <c r="A20" s="60">
        <v>4</v>
      </c>
      <c r="B20" s="76" t="s">
        <v>632</v>
      </c>
      <c r="C20" s="140" t="s">
        <v>624</v>
      </c>
      <c r="D20" s="82">
        <v>25</v>
      </c>
      <c r="E20" s="141">
        <v>7</v>
      </c>
      <c r="F20" s="60">
        <f t="shared" si="2"/>
        <v>-18</v>
      </c>
      <c r="G20" s="71">
        <f t="shared" si="3"/>
        <v>0.28000000000000003</v>
      </c>
    </row>
    <row r="21" spans="1:7">
      <c r="A21" s="60">
        <v>5</v>
      </c>
      <c r="B21" s="76" t="s">
        <v>633</v>
      </c>
      <c r="C21" s="140" t="s">
        <v>624</v>
      </c>
      <c r="D21" s="82">
        <v>25</v>
      </c>
      <c r="E21" s="141">
        <v>20</v>
      </c>
      <c r="F21" s="60">
        <f t="shared" si="2"/>
        <v>-5</v>
      </c>
      <c r="G21" s="71">
        <f t="shared" si="3"/>
        <v>0.8</v>
      </c>
    </row>
    <row r="22" spans="1:7">
      <c r="A22" s="60">
        <v>6</v>
      </c>
      <c r="B22" s="81" t="s">
        <v>634</v>
      </c>
      <c r="C22" s="140" t="s">
        <v>624</v>
      </c>
      <c r="D22" s="82">
        <v>25</v>
      </c>
      <c r="E22" s="141">
        <v>23</v>
      </c>
      <c r="F22" s="60">
        <f t="shared" si="2"/>
        <v>-2</v>
      </c>
      <c r="G22" s="71">
        <f t="shared" si="3"/>
        <v>0.92</v>
      </c>
    </row>
    <row r="23" spans="1:7">
      <c r="A23" s="60"/>
      <c r="B23" s="60" t="s">
        <v>31</v>
      </c>
      <c r="C23" s="60"/>
      <c r="D23" s="60">
        <v>150</v>
      </c>
      <c r="E23" s="60">
        <f>SUM(E17:E22)</f>
        <v>114</v>
      </c>
      <c r="F23" s="60">
        <f t="shared" si="2"/>
        <v>-36</v>
      </c>
      <c r="G23" s="71">
        <f t="shared" si="3"/>
        <v>0.76</v>
      </c>
    </row>
    <row r="25" spans="1:7">
      <c r="B25" s="142" t="s">
        <v>660</v>
      </c>
    </row>
    <row r="26" spans="1:7">
      <c r="A26" s="207" t="s">
        <v>0</v>
      </c>
      <c r="B26" s="208" t="s">
        <v>1</v>
      </c>
      <c r="C26" s="209" t="s">
        <v>7</v>
      </c>
      <c r="D26" s="210"/>
      <c r="E26" s="210"/>
      <c r="F26" s="210"/>
      <c r="G26" s="210"/>
    </row>
    <row r="27" spans="1:7">
      <c r="A27" s="207"/>
      <c r="B27" s="208"/>
      <c r="C27" s="211" t="s">
        <v>2</v>
      </c>
      <c r="D27" s="211" t="s">
        <v>3</v>
      </c>
      <c r="E27" s="211" t="s">
        <v>4</v>
      </c>
      <c r="F27" s="211" t="s">
        <v>5</v>
      </c>
      <c r="G27" s="213" t="s">
        <v>6</v>
      </c>
    </row>
    <row r="28" spans="1:7">
      <c r="A28" s="217"/>
      <c r="B28" s="218"/>
      <c r="C28" s="219"/>
      <c r="D28" s="219"/>
      <c r="E28" s="219"/>
      <c r="F28" s="219"/>
      <c r="G28" s="220"/>
    </row>
    <row r="29" spans="1:7">
      <c r="A29" s="60">
        <v>1</v>
      </c>
      <c r="B29" s="61" t="s">
        <v>635</v>
      </c>
      <c r="C29" s="143" t="s">
        <v>9</v>
      </c>
      <c r="D29" s="68">
        <v>35</v>
      </c>
      <c r="E29" s="83">
        <v>0</v>
      </c>
      <c r="F29" s="60">
        <f>E29-D29</f>
        <v>-35</v>
      </c>
      <c r="G29" s="71">
        <f>E29/D29*100%</f>
        <v>0</v>
      </c>
    </row>
    <row r="30" spans="1:7">
      <c r="A30" s="60">
        <v>2</v>
      </c>
      <c r="B30" s="61" t="s">
        <v>636</v>
      </c>
      <c r="C30" s="143" t="s">
        <v>624</v>
      </c>
      <c r="D30" s="68">
        <v>25</v>
      </c>
      <c r="E30" s="83">
        <v>6</v>
      </c>
      <c r="F30" s="60">
        <f t="shared" ref="F30:F39" si="4">E30-D30</f>
        <v>-19</v>
      </c>
      <c r="G30" s="71">
        <f t="shared" ref="G30:G39" si="5">E30/D30*100%</f>
        <v>0.24</v>
      </c>
    </row>
    <row r="31" spans="1:7">
      <c r="A31" s="60">
        <v>3</v>
      </c>
      <c r="B31" s="61" t="s">
        <v>637</v>
      </c>
      <c r="C31" s="143" t="s">
        <v>624</v>
      </c>
      <c r="D31" s="68">
        <v>25</v>
      </c>
      <c r="E31" s="83">
        <v>6</v>
      </c>
      <c r="F31" s="60">
        <f t="shared" si="4"/>
        <v>-19</v>
      </c>
      <c r="G31" s="71">
        <f t="shared" si="5"/>
        <v>0.24</v>
      </c>
    </row>
    <row r="32" spans="1:7">
      <c r="A32" s="60">
        <v>4</v>
      </c>
      <c r="B32" s="61" t="s">
        <v>638</v>
      </c>
      <c r="C32" s="143" t="s">
        <v>624</v>
      </c>
      <c r="D32" s="68">
        <v>25</v>
      </c>
      <c r="E32" s="83">
        <v>2</v>
      </c>
      <c r="F32" s="60">
        <f t="shared" si="4"/>
        <v>-23</v>
      </c>
      <c r="G32" s="71">
        <f t="shared" si="5"/>
        <v>0.08</v>
      </c>
    </row>
    <row r="33" spans="1:13">
      <c r="A33" s="60">
        <v>5</v>
      </c>
      <c r="B33" s="69" t="s">
        <v>639</v>
      </c>
      <c r="C33" s="143" t="s">
        <v>624</v>
      </c>
      <c r="D33" s="68">
        <v>25</v>
      </c>
      <c r="E33" s="83">
        <v>16</v>
      </c>
      <c r="F33" s="60">
        <f t="shared" si="4"/>
        <v>-9</v>
      </c>
      <c r="G33" s="71">
        <f t="shared" si="5"/>
        <v>0.64</v>
      </c>
    </row>
    <row r="34" spans="1:13">
      <c r="A34" s="60">
        <v>6</v>
      </c>
      <c r="B34" s="69" t="s">
        <v>640</v>
      </c>
      <c r="C34" s="143" t="s">
        <v>624</v>
      </c>
      <c r="D34" s="68">
        <v>25</v>
      </c>
      <c r="E34" s="83">
        <v>1</v>
      </c>
      <c r="F34" s="60">
        <f t="shared" si="4"/>
        <v>-24</v>
      </c>
      <c r="G34" s="71">
        <f t="shared" si="5"/>
        <v>0.04</v>
      </c>
    </row>
    <row r="35" spans="1:13">
      <c r="A35" s="60">
        <v>7</v>
      </c>
      <c r="B35" s="69" t="s">
        <v>641</v>
      </c>
      <c r="C35" s="143" t="s">
        <v>624</v>
      </c>
      <c r="D35" s="68">
        <v>25</v>
      </c>
      <c r="E35" s="83">
        <v>2</v>
      </c>
      <c r="F35" s="60">
        <f t="shared" si="4"/>
        <v>-23</v>
      </c>
      <c r="G35" s="71">
        <f t="shared" si="5"/>
        <v>0.08</v>
      </c>
    </row>
    <row r="36" spans="1:13">
      <c r="A36" s="60">
        <v>8</v>
      </c>
      <c r="B36" s="69" t="s">
        <v>642</v>
      </c>
      <c r="C36" s="143" t="s">
        <v>624</v>
      </c>
      <c r="D36" s="68">
        <v>25</v>
      </c>
      <c r="E36" s="83">
        <v>0</v>
      </c>
      <c r="F36" s="60">
        <f t="shared" si="4"/>
        <v>-25</v>
      </c>
      <c r="G36" s="71">
        <f t="shared" si="5"/>
        <v>0</v>
      </c>
    </row>
    <row r="37" spans="1:13">
      <c r="A37" s="60">
        <v>9</v>
      </c>
      <c r="B37" s="69" t="s">
        <v>643</v>
      </c>
      <c r="C37" s="143" t="s">
        <v>624</v>
      </c>
      <c r="D37" s="68">
        <v>25</v>
      </c>
      <c r="E37" s="83">
        <v>1</v>
      </c>
      <c r="F37" s="60">
        <f t="shared" si="4"/>
        <v>-24</v>
      </c>
      <c r="G37" s="71">
        <f t="shared" si="5"/>
        <v>0.04</v>
      </c>
    </row>
    <row r="38" spans="1:13">
      <c r="A38" s="60">
        <v>10</v>
      </c>
      <c r="B38" s="61" t="s">
        <v>644</v>
      </c>
      <c r="C38" s="143" t="s">
        <v>624</v>
      </c>
      <c r="D38" s="68">
        <v>25</v>
      </c>
      <c r="E38" s="83">
        <v>2</v>
      </c>
      <c r="F38" s="60">
        <f t="shared" si="4"/>
        <v>-23</v>
      </c>
      <c r="G38" s="71">
        <f t="shared" si="5"/>
        <v>0.08</v>
      </c>
    </row>
    <row r="39" spans="1:13">
      <c r="A39" s="60"/>
      <c r="B39" s="60" t="s">
        <v>31</v>
      </c>
      <c r="C39" s="60"/>
      <c r="D39" s="60">
        <v>230</v>
      </c>
      <c r="E39" s="177">
        <f>SUM(E29:E38)</f>
        <v>36</v>
      </c>
      <c r="F39" s="60">
        <f t="shared" si="4"/>
        <v>-194</v>
      </c>
      <c r="G39" s="71">
        <f t="shared" si="5"/>
        <v>0.15652173913043479</v>
      </c>
    </row>
    <row r="41" spans="1:13">
      <c r="B41" t="s">
        <v>645</v>
      </c>
    </row>
    <row r="42" spans="1:13">
      <c r="A42" s="207" t="s">
        <v>0</v>
      </c>
      <c r="B42" s="208" t="s">
        <v>1</v>
      </c>
      <c r="C42" s="209" t="s">
        <v>7</v>
      </c>
      <c r="D42" s="210"/>
      <c r="E42" s="210"/>
      <c r="F42" s="210"/>
      <c r="G42" s="210"/>
    </row>
    <row r="43" spans="1:13">
      <c r="A43" s="207"/>
      <c r="B43" s="208"/>
      <c r="C43" s="211" t="s">
        <v>2</v>
      </c>
      <c r="D43" s="211" t="s">
        <v>3</v>
      </c>
      <c r="E43" s="211" t="s">
        <v>4</v>
      </c>
      <c r="F43" s="211" t="s">
        <v>5</v>
      </c>
      <c r="G43" s="213" t="s">
        <v>6</v>
      </c>
    </row>
    <row r="44" spans="1:13">
      <c r="A44" s="217"/>
      <c r="B44" s="218"/>
      <c r="C44" s="219"/>
      <c r="D44" s="219"/>
      <c r="E44" s="219"/>
      <c r="F44" s="219"/>
      <c r="G44" s="220"/>
    </row>
    <row r="45" spans="1:13" ht="15.5">
      <c r="A45" s="147">
        <v>1</v>
      </c>
      <c r="B45" s="144" t="s">
        <v>646</v>
      </c>
      <c r="C45" s="148" t="s">
        <v>9</v>
      </c>
      <c r="D45" s="149">
        <v>35</v>
      </c>
      <c r="E45" s="151">
        <v>0</v>
      </c>
      <c r="F45" s="147">
        <f>E45-D45</f>
        <v>-35</v>
      </c>
      <c r="G45" s="150">
        <f>E45/D45*100%</f>
        <v>0</v>
      </c>
    </row>
    <row r="46" spans="1:13" ht="15.5">
      <c r="A46" s="147">
        <v>2</v>
      </c>
      <c r="B46" s="145" t="s">
        <v>647</v>
      </c>
      <c r="C46" s="148" t="s">
        <v>624</v>
      </c>
      <c r="D46" s="149">
        <v>25</v>
      </c>
      <c r="E46" s="151">
        <v>34</v>
      </c>
      <c r="F46" s="147">
        <f t="shared" ref="F46:F57" si="6">E46-D46</f>
        <v>9</v>
      </c>
      <c r="G46" s="150">
        <f t="shared" ref="G46:G57" si="7">E46/D46*100%</f>
        <v>1.36</v>
      </c>
      <c r="I46" s="34" t="s">
        <v>92</v>
      </c>
      <c r="J46" s="33" t="s">
        <v>170</v>
      </c>
      <c r="K46" s="33" t="s">
        <v>41</v>
      </c>
      <c r="L46" s="33" t="s">
        <v>42</v>
      </c>
      <c r="M46" s="46" t="s">
        <v>6</v>
      </c>
    </row>
    <row r="47" spans="1:13" ht="15.5">
      <c r="A47" s="147">
        <v>3</v>
      </c>
      <c r="B47" s="146" t="s">
        <v>648</v>
      </c>
      <c r="C47" s="148" t="s">
        <v>624</v>
      </c>
      <c r="D47" s="149">
        <v>25</v>
      </c>
      <c r="E47" s="151">
        <v>21</v>
      </c>
      <c r="F47" s="147">
        <f t="shared" si="6"/>
        <v>-4</v>
      </c>
      <c r="G47" s="150">
        <f t="shared" si="7"/>
        <v>0.84</v>
      </c>
      <c r="I47" s="58">
        <v>1</v>
      </c>
      <c r="J47" s="58" t="s">
        <v>658</v>
      </c>
      <c r="K47" s="58">
        <v>150</v>
      </c>
      <c r="L47" s="58">
        <v>90</v>
      </c>
      <c r="M47" s="75">
        <f>L47/K47*100%</f>
        <v>0.6</v>
      </c>
    </row>
    <row r="48" spans="1:13" ht="15.5">
      <c r="A48" s="147">
        <v>4</v>
      </c>
      <c r="B48" s="144" t="s">
        <v>649</v>
      </c>
      <c r="C48" s="148" t="s">
        <v>624</v>
      </c>
      <c r="D48" s="149">
        <v>25</v>
      </c>
      <c r="E48" s="151">
        <v>17</v>
      </c>
      <c r="F48" s="147">
        <f t="shared" si="6"/>
        <v>-8</v>
      </c>
      <c r="G48" s="150">
        <f t="shared" si="7"/>
        <v>0.68</v>
      </c>
      <c r="I48" s="58">
        <v>2</v>
      </c>
      <c r="J48" s="58" t="s">
        <v>659</v>
      </c>
      <c r="K48" s="58">
        <v>150</v>
      </c>
      <c r="L48" s="58">
        <v>72</v>
      </c>
      <c r="M48" s="75">
        <f>L48/K48*100%</f>
        <v>0.48</v>
      </c>
    </row>
    <row r="49" spans="1:7" ht="15.5">
      <c r="A49" s="147">
        <v>5</v>
      </c>
      <c r="B49" s="145" t="s">
        <v>650</v>
      </c>
      <c r="C49" s="148" t="s">
        <v>624</v>
      </c>
      <c r="D49" s="149">
        <v>25</v>
      </c>
      <c r="E49" s="151">
        <v>17</v>
      </c>
      <c r="F49" s="147">
        <f t="shared" si="6"/>
        <v>-8</v>
      </c>
      <c r="G49" s="150">
        <f t="shared" si="7"/>
        <v>0.68</v>
      </c>
    </row>
    <row r="50" spans="1:7" ht="15.5">
      <c r="A50" s="147">
        <v>6</v>
      </c>
      <c r="B50" s="144" t="s">
        <v>651</v>
      </c>
      <c r="C50" s="148" t="s">
        <v>624</v>
      </c>
      <c r="D50" s="149">
        <v>25</v>
      </c>
      <c r="E50" s="151">
        <v>1</v>
      </c>
      <c r="F50" s="147">
        <f t="shared" si="6"/>
        <v>-24</v>
      </c>
      <c r="G50" s="150">
        <f t="shared" si="7"/>
        <v>0.04</v>
      </c>
    </row>
    <row r="51" spans="1:7" ht="15.5">
      <c r="A51" s="147">
        <v>7</v>
      </c>
      <c r="B51" s="61" t="s">
        <v>652</v>
      </c>
      <c r="C51" s="143" t="s">
        <v>9</v>
      </c>
      <c r="D51" s="68">
        <v>35</v>
      </c>
      <c r="E51" s="83">
        <v>8</v>
      </c>
      <c r="F51" s="147">
        <f t="shared" si="6"/>
        <v>-27</v>
      </c>
      <c r="G51" s="150">
        <f t="shared" si="7"/>
        <v>0.22857142857142856</v>
      </c>
    </row>
    <row r="52" spans="1:7" ht="15.5">
      <c r="A52" s="147">
        <v>8</v>
      </c>
      <c r="B52" s="64" t="s">
        <v>653</v>
      </c>
      <c r="C52" s="143" t="s">
        <v>624</v>
      </c>
      <c r="D52" s="68">
        <v>25</v>
      </c>
      <c r="E52" s="83">
        <v>17</v>
      </c>
      <c r="F52" s="147">
        <f t="shared" si="6"/>
        <v>-8</v>
      </c>
      <c r="G52" s="150">
        <f t="shared" si="7"/>
        <v>0.68</v>
      </c>
    </row>
    <row r="53" spans="1:7" ht="15.5">
      <c r="A53" s="147">
        <v>9</v>
      </c>
      <c r="B53" s="61" t="s">
        <v>654</v>
      </c>
      <c r="C53" s="143" t="s">
        <v>624</v>
      </c>
      <c r="D53" s="68">
        <v>25</v>
      </c>
      <c r="E53" s="83">
        <v>28</v>
      </c>
      <c r="F53" s="147">
        <f t="shared" si="6"/>
        <v>3</v>
      </c>
      <c r="G53" s="150">
        <f t="shared" si="7"/>
        <v>1.1200000000000001</v>
      </c>
    </row>
    <row r="54" spans="1:7" ht="15.5">
      <c r="A54" s="147">
        <v>10</v>
      </c>
      <c r="B54" s="61" t="s">
        <v>655</v>
      </c>
      <c r="C54" s="143" t="s">
        <v>624</v>
      </c>
      <c r="D54" s="68">
        <v>25</v>
      </c>
      <c r="E54" s="83">
        <v>4</v>
      </c>
      <c r="F54" s="147">
        <f t="shared" si="6"/>
        <v>-21</v>
      </c>
      <c r="G54" s="150">
        <f t="shared" si="7"/>
        <v>0.16</v>
      </c>
    </row>
    <row r="55" spans="1:7" ht="15.5">
      <c r="A55" s="147">
        <v>11</v>
      </c>
      <c r="B55" s="64" t="s">
        <v>656</v>
      </c>
      <c r="C55" s="143" t="s">
        <v>624</v>
      </c>
      <c r="D55" s="68">
        <v>25</v>
      </c>
      <c r="E55" s="83">
        <v>3</v>
      </c>
      <c r="F55" s="147">
        <f t="shared" si="6"/>
        <v>-22</v>
      </c>
      <c r="G55" s="150">
        <f t="shared" si="7"/>
        <v>0.12</v>
      </c>
    </row>
    <row r="56" spans="1:7" ht="15.5">
      <c r="A56" s="147">
        <v>12</v>
      </c>
      <c r="B56" s="61" t="s">
        <v>657</v>
      </c>
      <c r="C56" s="143" t="s">
        <v>624</v>
      </c>
      <c r="D56" s="68">
        <v>25</v>
      </c>
      <c r="E56" s="83">
        <v>10</v>
      </c>
      <c r="F56" s="147">
        <f t="shared" si="6"/>
        <v>-15</v>
      </c>
      <c r="G56" s="150">
        <f t="shared" si="7"/>
        <v>0.4</v>
      </c>
    </row>
    <row r="57" spans="1:7" ht="15.5">
      <c r="A57" s="60"/>
      <c r="B57" s="60" t="s">
        <v>31</v>
      </c>
      <c r="C57" s="60"/>
      <c r="D57" s="60">
        <v>300</v>
      </c>
      <c r="E57" s="60">
        <f>SUM(E45:E56)</f>
        <v>160</v>
      </c>
      <c r="F57" s="147">
        <f t="shared" si="6"/>
        <v>-140</v>
      </c>
      <c r="G57" s="150">
        <f t="shared" si="7"/>
        <v>0.53333333333333333</v>
      </c>
    </row>
  </sheetData>
  <mergeCells count="32">
    <mergeCell ref="A42:A44"/>
    <mergeCell ref="B42:B44"/>
    <mergeCell ref="C42:G42"/>
    <mergeCell ref="C43:C44"/>
    <mergeCell ref="D43:D44"/>
    <mergeCell ref="E43:E44"/>
    <mergeCell ref="F43:F44"/>
    <mergeCell ref="G43:G44"/>
    <mergeCell ref="A26:A28"/>
    <mergeCell ref="B26:B28"/>
    <mergeCell ref="C26:G26"/>
    <mergeCell ref="C27:C28"/>
    <mergeCell ref="D27:D28"/>
    <mergeCell ref="E27:E28"/>
    <mergeCell ref="F27:F28"/>
    <mergeCell ref="G27:G28"/>
    <mergeCell ref="A14:A16"/>
    <mergeCell ref="B14:B16"/>
    <mergeCell ref="C14:G14"/>
    <mergeCell ref="C15:C16"/>
    <mergeCell ref="D15:D16"/>
    <mergeCell ref="E15:E16"/>
    <mergeCell ref="F15:F16"/>
    <mergeCell ref="G15:G16"/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D57B-D79A-4821-B156-101260B0FEE7}">
  <dimension ref="A1:M28"/>
  <sheetViews>
    <sheetView topLeftCell="A4" workbookViewId="0">
      <selection activeCell="J5" sqref="J5:M7"/>
    </sheetView>
  </sheetViews>
  <sheetFormatPr defaultRowHeight="14.5"/>
  <cols>
    <col min="1" max="1" width="5.7265625" customWidth="1"/>
    <col min="2" max="2" width="29.81640625" customWidth="1"/>
    <col min="7" max="7" width="8.7265625" style="11"/>
    <col min="9" max="9" width="4.453125" customWidth="1"/>
    <col min="10" max="10" width="18.8164062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08" t="s">
        <v>470</v>
      </c>
      <c r="C4" s="109" t="s">
        <v>9</v>
      </c>
      <c r="D4" s="109">
        <v>35</v>
      </c>
      <c r="E4" s="109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08" t="s">
        <v>471</v>
      </c>
      <c r="C5" s="109" t="s">
        <v>11</v>
      </c>
      <c r="D5" s="109">
        <v>25</v>
      </c>
      <c r="E5" s="109">
        <v>13</v>
      </c>
      <c r="F5" s="60">
        <f t="shared" ref="F5:F28" si="0">E5-D5</f>
        <v>-12</v>
      </c>
      <c r="G5" s="71">
        <f t="shared" ref="G5:G28" si="1">E5/D5*100%</f>
        <v>0.52</v>
      </c>
      <c r="I5" s="72">
        <v>1</v>
      </c>
      <c r="J5" s="72" t="s">
        <v>494</v>
      </c>
      <c r="K5" s="72">
        <v>190</v>
      </c>
      <c r="L5" s="72">
        <v>76</v>
      </c>
      <c r="M5" s="73">
        <f>L5/K5*100%</f>
        <v>0.4</v>
      </c>
    </row>
    <row r="6" spans="1:13">
      <c r="A6" s="60">
        <v>3</v>
      </c>
      <c r="B6" s="108" t="s">
        <v>472</v>
      </c>
      <c r="C6" s="109" t="s">
        <v>11</v>
      </c>
      <c r="D6" s="109">
        <v>25</v>
      </c>
      <c r="E6" s="109">
        <v>16</v>
      </c>
      <c r="F6" s="60">
        <f t="shared" si="0"/>
        <v>-9</v>
      </c>
      <c r="G6" s="71">
        <f t="shared" si="1"/>
        <v>0.64</v>
      </c>
      <c r="I6" s="72">
        <v>2</v>
      </c>
      <c r="J6" s="72" t="s">
        <v>495</v>
      </c>
      <c r="K6" s="72">
        <v>190</v>
      </c>
      <c r="L6" s="72">
        <v>136</v>
      </c>
      <c r="M6" s="73">
        <f t="shared" ref="M6:M7" si="2">L6/K6*100%</f>
        <v>0.71578947368421053</v>
      </c>
    </row>
    <row r="7" spans="1:13">
      <c r="A7" s="60">
        <v>4</v>
      </c>
      <c r="B7" s="108" t="s">
        <v>473</v>
      </c>
      <c r="C7" s="109" t="s">
        <v>11</v>
      </c>
      <c r="D7" s="109">
        <v>25</v>
      </c>
      <c r="E7" s="109">
        <v>9</v>
      </c>
      <c r="F7" s="60">
        <f t="shared" si="0"/>
        <v>-16</v>
      </c>
      <c r="G7" s="71">
        <f t="shared" si="1"/>
        <v>0.36</v>
      </c>
      <c r="I7" s="72">
        <v>3</v>
      </c>
      <c r="J7" s="72" t="s">
        <v>496</v>
      </c>
      <c r="K7" s="72">
        <v>190</v>
      </c>
      <c r="L7" s="72">
        <v>127</v>
      </c>
      <c r="M7" s="73">
        <f t="shared" si="2"/>
        <v>0.66842105263157892</v>
      </c>
    </row>
    <row r="8" spans="1:13">
      <c r="A8" s="60">
        <v>5</v>
      </c>
      <c r="B8" s="108" t="s">
        <v>474</v>
      </c>
      <c r="C8" s="109" t="s">
        <v>11</v>
      </c>
      <c r="D8" s="109">
        <v>25</v>
      </c>
      <c r="E8" s="109">
        <v>4</v>
      </c>
      <c r="F8" s="60">
        <f t="shared" si="0"/>
        <v>-21</v>
      </c>
      <c r="G8" s="71">
        <f t="shared" si="1"/>
        <v>0.16</v>
      </c>
    </row>
    <row r="9" spans="1:13">
      <c r="A9" s="60">
        <v>6</v>
      </c>
      <c r="B9" s="108" t="s">
        <v>475</v>
      </c>
      <c r="C9" s="109" t="s">
        <v>11</v>
      </c>
      <c r="D9" s="109">
        <v>25</v>
      </c>
      <c r="E9" s="109">
        <v>15</v>
      </c>
      <c r="F9" s="60">
        <f t="shared" si="0"/>
        <v>-10</v>
      </c>
      <c r="G9" s="71">
        <f t="shared" si="1"/>
        <v>0.6</v>
      </c>
    </row>
    <row r="10" spans="1:13">
      <c r="A10" s="60">
        <v>7</v>
      </c>
      <c r="B10" s="108" t="s">
        <v>476</v>
      </c>
      <c r="C10" s="109" t="s">
        <v>11</v>
      </c>
      <c r="D10" s="109">
        <v>25</v>
      </c>
      <c r="E10" s="109">
        <v>13</v>
      </c>
      <c r="F10" s="60">
        <f t="shared" si="0"/>
        <v>-12</v>
      </c>
      <c r="G10" s="71">
        <f t="shared" si="1"/>
        <v>0.52</v>
      </c>
    </row>
    <row r="11" spans="1:13">
      <c r="A11" s="60">
        <v>8</v>
      </c>
      <c r="B11" s="108" t="s">
        <v>477</v>
      </c>
      <c r="C11" s="109" t="s">
        <v>11</v>
      </c>
      <c r="D11" s="109">
        <v>25</v>
      </c>
      <c r="E11" s="109">
        <v>6</v>
      </c>
      <c r="F11" s="60">
        <f t="shared" si="0"/>
        <v>-19</v>
      </c>
      <c r="G11" s="71">
        <f t="shared" si="1"/>
        <v>0.24</v>
      </c>
    </row>
    <row r="12" spans="1:13">
      <c r="A12" s="60">
        <v>9</v>
      </c>
      <c r="B12" s="108" t="s">
        <v>478</v>
      </c>
      <c r="C12" s="109" t="s">
        <v>9</v>
      </c>
      <c r="D12" s="109">
        <v>35</v>
      </c>
      <c r="E12" s="109">
        <v>1</v>
      </c>
      <c r="F12" s="60">
        <f t="shared" si="0"/>
        <v>-34</v>
      </c>
      <c r="G12" s="71">
        <f t="shared" si="1"/>
        <v>2.8571428571428571E-2</v>
      </c>
    </row>
    <row r="13" spans="1:13">
      <c r="A13" s="60">
        <v>10</v>
      </c>
      <c r="B13" s="108" t="s">
        <v>479</v>
      </c>
      <c r="C13" s="109" t="s">
        <v>11</v>
      </c>
      <c r="D13" s="109">
        <v>25</v>
      </c>
      <c r="E13" s="109">
        <v>44</v>
      </c>
      <c r="F13" s="60">
        <f t="shared" si="0"/>
        <v>19</v>
      </c>
      <c r="G13" s="71">
        <f t="shared" si="1"/>
        <v>1.76</v>
      </c>
    </row>
    <row r="14" spans="1:13">
      <c r="A14" s="60">
        <v>11</v>
      </c>
      <c r="B14" s="108" t="s">
        <v>480</v>
      </c>
      <c r="C14" s="109" t="s">
        <v>11</v>
      </c>
      <c r="D14" s="109">
        <v>25</v>
      </c>
      <c r="E14" s="109">
        <v>16</v>
      </c>
      <c r="F14" s="60">
        <f t="shared" si="0"/>
        <v>-9</v>
      </c>
      <c r="G14" s="71">
        <f t="shared" si="1"/>
        <v>0.64</v>
      </c>
    </row>
    <row r="15" spans="1:13">
      <c r="A15" s="60">
        <v>12</v>
      </c>
      <c r="B15" s="108" t="s">
        <v>481</v>
      </c>
      <c r="C15" s="109" t="s">
        <v>11</v>
      </c>
      <c r="D15" s="109">
        <v>25</v>
      </c>
      <c r="E15" s="109">
        <v>33</v>
      </c>
      <c r="F15" s="60">
        <f t="shared" si="0"/>
        <v>8</v>
      </c>
      <c r="G15" s="71">
        <f t="shared" si="1"/>
        <v>1.32</v>
      </c>
    </row>
    <row r="16" spans="1:13">
      <c r="A16" s="60">
        <v>13</v>
      </c>
      <c r="B16" s="108" t="s">
        <v>482</v>
      </c>
      <c r="C16" s="109" t="s">
        <v>11</v>
      </c>
      <c r="D16" s="109">
        <v>25</v>
      </c>
      <c r="E16" s="109">
        <v>9</v>
      </c>
      <c r="F16" s="60">
        <f t="shared" si="0"/>
        <v>-16</v>
      </c>
      <c r="G16" s="71">
        <f t="shared" si="1"/>
        <v>0.36</v>
      </c>
    </row>
    <row r="17" spans="1:7">
      <c r="A17" s="60">
        <v>14</v>
      </c>
      <c r="B17" s="108" t="s">
        <v>483</v>
      </c>
      <c r="C17" s="109" t="s">
        <v>11</v>
      </c>
      <c r="D17" s="109">
        <v>25</v>
      </c>
      <c r="E17" s="109">
        <v>4</v>
      </c>
      <c r="F17" s="60">
        <f t="shared" si="0"/>
        <v>-21</v>
      </c>
      <c r="G17" s="71">
        <f t="shared" si="1"/>
        <v>0.16</v>
      </c>
    </row>
    <row r="18" spans="1:7">
      <c r="A18" s="60">
        <v>15</v>
      </c>
      <c r="B18" s="108" t="s">
        <v>484</v>
      </c>
      <c r="C18" s="109" t="s">
        <v>11</v>
      </c>
      <c r="D18" s="109">
        <v>25</v>
      </c>
      <c r="E18" s="109">
        <v>27</v>
      </c>
      <c r="F18" s="60">
        <f t="shared" si="0"/>
        <v>2</v>
      </c>
      <c r="G18" s="71">
        <f t="shared" si="1"/>
        <v>1.08</v>
      </c>
    </row>
    <row r="19" spans="1:7">
      <c r="A19" s="60">
        <v>16</v>
      </c>
      <c r="B19" s="108" t="s">
        <v>485</v>
      </c>
      <c r="C19" s="109" t="s">
        <v>11</v>
      </c>
      <c r="D19" s="109">
        <v>25</v>
      </c>
      <c r="E19" s="109">
        <v>2</v>
      </c>
      <c r="F19" s="60">
        <f t="shared" si="0"/>
        <v>-23</v>
      </c>
      <c r="G19" s="71">
        <f t="shared" si="1"/>
        <v>0.08</v>
      </c>
    </row>
    <row r="20" spans="1:7">
      <c r="A20" s="60">
        <v>17</v>
      </c>
      <c r="B20" s="108" t="s">
        <v>486</v>
      </c>
      <c r="C20" s="109" t="s">
        <v>9</v>
      </c>
      <c r="D20" s="109">
        <v>35</v>
      </c>
      <c r="E20" s="109">
        <v>0</v>
      </c>
      <c r="F20" s="60">
        <f t="shared" si="0"/>
        <v>-35</v>
      </c>
      <c r="G20" s="71">
        <f t="shared" si="1"/>
        <v>0</v>
      </c>
    </row>
    <row r="21" spans="1:7">
      <c r="A21" s="60">
        <v>18</v>
      </c>
      <c r="B21" s="108" t="s">
        <v>487</v>
      </c>
      <c r="C21" s="109" t="s">
        <v>11</v>
      </c>
      <c r="D21" s="109">
        <v>25</v>
      </c>
      <c r="E21" s="109">
        <v>16</v>
      </c>
      <c r="F21" s="60">
        <f t="shared" si="0"/>
        <v>-9</v>
      </c>
      <c r="G21" s="71">
        <f t="shared" si="1"/>
        <v>0.64</v>
      </c>
    </row>
    <row r="22" spans="1:7">
      <c r="A22" s="60">
        <v>19</v>
      </c>
      <c r="B22" s="108" t="s">
        <v>488</v>
      </c>
      <c r="C22" s="109" t="s">
        <v>11</v>
      </c>
      <c r="D22" s="109">
        <v>25</v>
      </c>
      <c r="E22" s="109">
        <v>23</v>
      </c>
      <c r="F22" s="60">
        <f t="shared" si="0"/>
        <v>-2</v>
      </c>
      <c r="G22" s="71">
        <f t="shared" si="1"/>
        <v>0.92</v>
      </c>
    </row>
    <row r="23" spans="1:7">
      <c r="A23" s="60">
        <v>20</v>
      </c>
      <c r="B23" s="108" t="s">
        <v>489</v>
      </c>
      <c r="C23" s="109" t="s">
        <v>11</v>
      </c>
      <c r="D23" s="109">
        <v>25</v>
      </c>
      <c r="E23" s="109">
        <v>10</v>
      </c>
      <c r="F23" s="60">
        <f t="shared" si="0"/>
        <v>-15</v>
      </c>
      <c r="G23" s="71">
        <f t="shared" si="1"/>
        <v>0.4</v>
      </c>
    </row>
    <row r="24" spans="1:7">
      <c r="A24" s="60">
        <v>21</v>
      </c>
      <c r="B24" s="108" t="s">
        <v>490</v>
      </c>
      <c r="C24" s="109" t="s">
        <v>11</v>
      </c>
      <c r="D24" s="109">
        <v>25</v>
      </c>
      <c r="E24" s="109">
        <v>16</v>
      </c>
      <c r="F24" s="60">
        <f t="shared" si="0"/>
        <v>-9</v>
      </c>
      <c r="G24" s="71">
        <f t="shared" si="1"/>
        <v>0.64</v>
      </c>
    </row>
    <row r="25" spans="1:7">
      <c r="A25" s="60">
        <v>22</v>
      </c>
      <c r="B25" s="108" t="s">
        <v>491</v>
      </c>
      <c r="C25" s="109" t="s">
        <v>11</v>
      </c>
      <c r="D25" s="109">
        <v>25</v>
      </c>
      <c r="E25" s="109">
        <v>30</v>
      </c>
      <c r="F25" s="60">
        <f t="shared" si="0"/>
        <v>5</v>
      </c>
      <c r="G25" s="71">
        <f t="shared" si="1"/>
        <v>1.2</v>
      </c>
    </row>
    <row r="26" spans="1:7">
      <c r="A26" s="60">
        <v>23</v>
      </c>
      <c r="B26" s="108" t="s">
        <v>492</v>
      </c>
      <c r="C26" s="109" t="s">
        <v>11</v>
      </c>
      <c r="D26" s="109">
        <v>25</v>
      </c>
      <c r="E26" s="109">
        <v>16</v>
      </c>
      <c r="F26" s="60">
        <f t="shared" si="0"/>
        <v>-9</v>
      </c>
      <c r="G26" s="71">
        <f t="shared" si="1"/>
        <v>0.64</v>
      </c>
    </row>
    <row r="27" spans="1:7">
      <c r="A27" s="60">
        <v>24</v>
      </c>
      <c r="B27" s="108" t="s">
        <v>493</v>
      </c>
      <c r="C27" s="109" t="s">
        <v>11</v>
      </c>
      <c r="D27" s="109">
        <v>25</v>
      </c>
      <c r="E27" s="109">
        <v>16</v>
      </c>
      <c r="F27" s="60">
        <f t="shared" si="0"/>
        <v>-9</v>
      </c>
      <c r="G27" s="71">
        <f t="shared" si="1"/>
        <v>0.64</v>
      </c>
    </row>
    <row r="28" spans="1:7">
      <c r="A28" s="60"/>
      <c r="B28" s="60" t="s">
        <v>31</v>
      </c>
      <c r="C28" s="60"/>
      <c r="D28" s="60">
        <v>570</v>
      </c>
      <c r="E28" s="60">
        <f>SUM(E4:E27)</f>
        <v>339</v>
      </c>
      <c r="F28" s="60">
        <f t="shared" si="0"/>
        <v>-231</v>
      </c>
      <c r="G28" s="71">
        <f t="shared" si="1"/>
        <v>0.59473684210526312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A239-799E-4493-A7B7-5BA454D00A2A}">
  <dimension ref="A1:M20"/>
  <sheetViews>
    <sheetView workbookViewId="0">
      <selection activeCell="J5" sqref="J5:M6"/>
    </sheetView>
  </sheetViews>
  <sheetFormatPr defaultRowHeight="14.5"/>
  <cols>
    <col min="1" max="1" width="3.90625" customWidth="1"/>
    <col min="2" max="2" width="29.7265625" customWidth="1"/>
    <col min="7" max="7" width="8.7265625" style="11"/>
    <col min="9" max="9" width="4.453125" customWidth="1"/>
    <col min="10" max="10" width="18.179687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08" t="s">
        <v>497</v>
      </c>
      <c r="C4" s="109" t="s">
        <v>9</v>
      </c>
      <c r="D4" s="109">
        <v>35</v>
      </c>
      <c r="E4" s="109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08" t="s">
        <v>498</v>
      </c>
      <c r="C5" s="109" t="s">
        <v>11</v>
      </c>
      <c r="D5" s="109">
        <v>25</v>
      </c>
      <c r="E5" s="109">
        <v>21</v>
      </c>
      <c r="F5" s="60">
        <f t="shared" ref="F5:F20" si="0">E5-D5</f>
        <v>-4</v>
      </c>
      <c r="G5" s="71">
        <f t="shared" ref="G5:G20" si="1">E5/D5*100%</f>
        <v>0.84</v>
      </c>
      <c r="I5" s="58">
        <v>1</v>
      </c>
      <c r="J5" s="58" t="s">
        <v>513</v>
      </c>
      <c r="K5" s="58">
        <v>190</v>
      </c>
      <c r="L5" s="58">
        <v>144</v>
      </c>
      <c r="M5" s="75">
        <f>L5/K5*100%</f>
        <v>0.75789473684210529</v>
      </c>
    </row>
    <row r="6" spans="1:13">
      <c r="A6" s="60">
        <v>3</v>
      </c>
      <c r="B6" s="108" t="s">
        <v>499</v>
      </c>
      <c r="C6" s="109" t="s">
        <v>11</v>
      </c>
      <c r="D6" s="109">
        <v>25</v>
      </c>
      <c r="E6" s="109">
        <v>25</v>
      </c>
      <c r="F6" s="60">
        <f t="shared" si="0"/>
        <v>0</v>
      </c>
      <c r="G6" s="71">
        <f t="shared" si="1"/>
        <v>1</v>
      </c>
      <c r="I6" s="58">
        <v>2</v>
      </c>
      <c r="J6" s="58" t="s">
        <v>514</v>
      </c>
      <c r="K6" s="58">
        <v>190</v>
      </c>
      <c r="L6" s="58">
        <v>123</v>
      </c>
      <c r="M6" s="75">
        <f>L6/K6*100%</f>
        <v>0.64736842105263159</v>
      </c>
    </row>
    <row r="7" spans="1:13">
      <c r="A7" s="60">
        <v>4</v>
      </c>
      <c r="B7" s="108" t="s">
        <v>500</v>
      </c>
      <c r="C7" s="109" t="s">
        <v>11</v>
      </c>
      <c r="D7" s="109">
        <v>25</v>
      </c>
      <c r="E7" s="109">
        <v>30</v>
      </c>
      <c r="F7" s="60">
        <f t="shared" si="0"/>
        <v>5</v>
      </c>
      <c r="G7" s="71">
        <f t="shared" si="1"/>
        <v>1.2</v>
      </c>
    </row>
    <row r="8" spans="1:13">
      <c r="A8" s="60">
        <v>5</v>
      </c>
      <c r="B8" s="108" t="s">
        <v>501</v>
      </c>
      <c r="C8" s="109" t="s">
        <v>11</v>
      </c>
      <c r="D8" s="109">
        <v>25</v>
      </c>
      <c r="E8" s="109">
        <v>31</v>
      </c>
      <c r="F8" s="60">
        <f t="shared" si="0"/>
        <v>6</v>
      </c>
      <c r="G8" s="71">
        <f t="shared" si="1"/>
        <v>1.24</v>
      </c>
    </row>
    <row r="9" spans="1:13">
      <c r="A9" s="60">
        <v>6</v>
      </c>
      <c r="B9" s="108" t="s">
        <v>502</v>
      </c>
      <c r="C9" s="109" t="s">
        <v>11</v>
      </c>
      <c r="D9" s="109">
        <v>25</v>
      </c>
      <c r="E9" s="109">
        <v>10</v>
      </c>
      <c r="F9" s="60">
        <f t="shared" si="0"/>
        <v>-15</v>
      </c>
      <c r="G9" s="71">
        <f t="shared" si="1"/>
        <v>0.4</v>
      </c>
    </row>
    <row r="10" spans="1:13">
      <c r="A10" s="60">
        <v>7</v>
      </c>
      <c r="B10" s="108" t="s">
        <v>503</v>
      </c>
      <c r="C10" s="109" t="s">
        <v>11</v>
      </c>
      <c r="D10" s="109">
        <v>25</v>
      </c>
      <c r="E10" s="109">
        <v>2</v>
      </c>
      <c r="F10" s="60">
        <f t="shared" si="0"/>
        <v>-23</v>
      </c>
      <c r="G10" s="71">
        <f t="shared" si="1"/>
        <v>0.08</v>
      </c>
    </row>
    <row r="11" spans="1:13">
      <c r="A11" s="60">
        <v>8</v>
      </c>
      <c r="B11" s="108" t="s">
        <v>504</v>
      </c>
      <c r="C11" s="109" t="s">
        <v>11</v>
      </c>
      <c r="D11" s="109">
        <v>25</v>
      </c>
      <c r="E11" s="109">
        <v>25</v>
      </c>
      <c r="F11" s="60">
        <f t="shared" si="0"/>
        <v>0</v>
      </c>
      <c r="G11" s="71">
        <f t="shared" si="1"/>
        <v>1</v>
      </c>
    </row>
    <row r="12" spans="1:13">
      <c r="A12" s="60">
        <v>9</v>
      </c>
      <c r="B12" s="108" t="s">
        <v>505</v>
      </c>
      <c r="C12" s="109" t="s">
        <v>9</v>
      </c>
      <c r="D12" s="109">
        <v>35</v>
      </c>
      <c r="E12" s="109">
        <v>0</v>
      </c>
      <c r="F12" s="60">
        <f t="shared" si="0"/>
        <v>-35</v>
      </c>
      <c r="G12" s="71">
        <f t="shared" si="1"/>
        <v>0</v>
      </c>
    </row>
    <row r="13" spans="1:13">
      <c r="A13" s="60">
        <v>10</v>
      </c>
      <c r="B13" s="108" t="s">
        <v>506</v>
      </c>
      <c r="C13" s="109" t="s">
        <v>11</v>
      </c>
      <c r="D13" s="109">
        <v>25</v>
      </c>
      <c r="E13" s="109">
        <v>16</v>
      </c>
      <c r="F13" s="60">
        <f t="shared" si="0"/>
        <v>-9</v>
      </c>
      <c r="G13" s="71">
        <f t="shared" si="1"/>
        <v>0.64</v>
      </c>
    </row>
    <row r="14" spans="1:13">
      <c r="A14" s="60">
        <v>11</v>
      </c>
      <c r="B14" s="108" t="s">
        <v>507</v>
      </c>
      <c r="C14" s="109" t="s">
        <v>11</v>
      </c>
      <c r="D14" s="109">
        <v>25</v>
      </c>
      <c r="E14" s="109">
        <v>6</v>
      </c>
      <c r="F14" s="60">
        <f t="shared" si="0"/>
        <v>-19</v>
      </c>
      <c r="G14" s="71">
        <f t="shared" si="1"/>
        <v>0.24</v>
      </c>
    </row>
    <row r="15" spans="1:13">
      <c r="A15" s="60">
        <v>12</v>
      </c>
      <c r="B15" s="108" t="s">
        <v>508</v>
      </c>
      <c r="C15" s="109" t="s">
        <v>11</v>
      </c>
      <c r="D15" s="109">
        <v>25</v>
      </c>
      <c r="E15" s="109">
        <v>32</v>
      </c>
      <c r="F15" s="60">
        <f t="shared" si="0"/>
        <v>7</v>
      </c>
      <c r="G15" s="71">
        <f t="shared" si="1"/>
        <v>1.28</v>
      </c>
    </row>
    <row r="16" spans="1:13">
      <c r="A16" s="60">
        <v>13</v>
      </c>
      <c r="B16" s="108" t="s">
        <v>509</v>
      </c>
      <c r="C16" s="109" t="s">
        <v>11</v>
      </c>
      <c r="D16" s="109">
        <v>25</v>
      </c>
      <c r="E16" s="109">
        <v>20</v>
      </c>
      <c r="F16" s="60">
        <f t="shared" si="0"/>
        <v>-5</v>
      </c>
      <c r="G16" s="71">
        <f t="shared" si="1"/>
        <v>0.8</v>
      </c>
    </row>
    <row r="17" spans="1:7">
      <c r="A17" s="60">
        <v>14</v>
      </c>
      <c r="B17" s="108" t="s">
        <v>510</v>
      </c>
      <c r="C17" s="109" t="s">
        <v>11</v>
      </c>
      <c r="D17" s="109">
        <v>25</v>
      </c>
      <c r="E17" s="109">
        <v>11</v>
      </c>
      <c r="F17" s="60">
        <f t="shared" si="0"/>
        <v>-14</v>
      </c>
      <c r="G17" s="71">
        <f t="shared" si="1"/>
        <v>0.44</v>
      </c>
    </row>
    <row r="18" spans="1:7">
      <c r="A18" s="60">
        <v>15</v>
      </c>
      <c r="B18" s="108" t="s">
        <v>511</v>
      </c>
      <c r="C18" s="109" t="s">
        <v>11</v>
      </c>
      <c r="D18" s="109">
        <v>25</v>
      </c>
      <c r="E18" s="109">
        <v>18</v>
      </c>
      <c r="F18" s="60">
        <f t="shared" si="0"/>
        <v>-7</v>
      </c>
      <c r="G18" s="71">
        <f t="shared" si="1"/>
        <v>0.72</v>
      </c>
    </row>
    <row r="19" spans="1:7">
      <c r="A19" s="60">
        <v>16</v>
      </c>
      <c r="B19" s="108" t="s">
        <v>512</v>
      </c>
      <c r="C19" s="109" t="s">
        <v>11</v>
      </c>
      <c r="D19" s="109">
        <v>25</v>
      </c>
      <c r="E19" s="109">
        <v>20</v>
      </c>
      <c r="F19" s="60">
        <f t="shared" si="0"/>
        <v>-5</v>
      </c>
      <c r="G19" s="71">
        <f t="shared" si="1"/>
        <v>0.8</v>
      </c>
    </row>
    <row r="20" spans="1:7">
      <c r="A20" s="60"/>
      <c r="B20" s="60" t="s">
        <v>176</v>
      </c>
      <c r="C20" s="60"/>
      <c r="D20" s="60">
        <v>380</v>
      </c>
      <c r="E20" s="60">
        <f>SUM(E4:E19)</f>
        <v>267</v>
      </c>
      <c r="F20" s="60">
        <f t="shared" si="0"/>
        <v>-113</v>
      </c>
      <c r="G20" s="71">
        <f t="shared" si="1"/>
        <v>0.70263157894736838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EC0C-FC09-443A-9E84-89DFC12CC76F}">
  <dimension ref="A1:G8"/>
  <sheetViews>
    <sheetView workbookViewId="0">
      <selection activeCell="B11" sqref="B11"/>
    </sheetView>
  </sheetViews>
  <sheetFormatPr defaultRowHeight="14.5"/>
  <cols>
    <col min="1" max="1" width="3.81640625" customWidth="1"/>
    <col min="2" max="2" width="29.72656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08" t="s">
        <v>515</v>
      </c>
      <c r="C4" s="109" t="s">
        <v>9</v>
      </c>
      <c r="D4" s="109">
        <v>35</v>
      </c>
      <c r="E4" s="109">
        <v>0</v>
      </c>
      <c r="F4" s="60">
        <f>E4-D4</f>
        <v>-35</v>
      </c>
      <c r="G4" s="71">
        <f>E4/D4*100%</f>
        <v>0</v>
      </c>
    </row>
    <row r="5" spans="1:7">
      <c r="A5" s="60">
        <v>2</v>
      </c>
      <c r="B5" s="108" t="s">
        <v>516</v>
      </c>
      <c r="C5" s="109" t="s">
        <v>11</v>
      </c>
      <c r="D5" s="109">
        <v>25</v>
      </c>
      <c r="E5" s="109">
        <v>25</v>
      </c>
      <c r="F5" s="60">
        <f t="shared" ref="F5:F8" si="0">E5-D5</f>
        <v>0</v>
      </c>
      <c r="G5" s="71">
        <f t="shared" ref="G5:G8" si="1">E5/D5*100%</f>
        <v>1</v>
      </c>
    </row>
    <row r="6" spans="1:7">
      <c r="A6" s="60">
        <v>3</v>
      </c>
      <c r="B6" s="108" t="s">
        <v>517</v>
      </c>
      <c r="C6" s="109" t="s">
        <v>11</v>
      </c>
      <c r="D6" s="109">
        <v>25</v>
      </c>
      <c r="E6" s="109">
        <v>25</v>
      </c>
      <c r="F6" s="60">
        <f t="shared" si="0"/>
        <v>0</v>
      </c>
      <c r="G6" s="71">
        <f t="shared" si="1"/>
        <v>1</v>
      </c>
    </row>
    <row r="7" spans="1:7">
      <c r="A7" s="60">
        <v>4</v>
      </c>
      <c r="B7" s="108" t="s">
        <v>518</v>
      </c>
      <c r="C7" s="109" t="s">
        <v>11</v>
      </c>
      <c r="D7" s="109">
        <v>25</v>
      </c>
      <c r="E7" s="109">
        <v>51</v>
      </c>
      <c r="F7" s="60">
        <f t="shared" si="0"/>
        <v>26</v>
      </c>
      <c r="G7" s="71">
        <f t="shared" si="1"/>
        <v>2.04</v>
      </c>
    </row>
    <row r="8" spans="1:7">
      <c r="A8" s="60"/>
      <c r="B8" s="60" t="s">
        <v>31</v>
      </c>
      <c r="C8" s="60"/>
      <c r="D8" s="60">
        <v>150</v>
      </c>
      <c r="E8" s="60">
        <f>SUM(E4:E7)</f>
        <v>101</v>
      </c>
      <c r="F8" s="60">
        <f t="shared" si="0"/>
        <v>-49</v>
      </c>
      <c r="G8" s="71">
        <f t="shared" si="1"/>
        <v>0.67333333333333334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15F7-EA2D-4179-8206-20F25F20F757}">
  <dimension ref="A1:G8"/>
  <sheetViews>
    <sheetView workbookViewId="0">
      <selection activeCell="D12" sqref="D12"/>
    </sheetView>
  </sheetViews>
  <sheetFormatPr defaultRowHeight="14.5"/>
  <cols>
    <col min="1" max="1" width="6.08984375" customWidth="1"/>
    <col min="2" max="2" width="27.906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08" t="s">
        <v>519</v>
      </c>
      <c r="C4" s="109" t="s">
        <v>11</v>
      </c>
      <c r="D4" s="109">
        <v>25</v>
      </c>
      <c r="E4" s="109">
        <v>4</v>
      </c>
      <c r="F4" s="60">
        <f>E4-D4</f>
        <v>-21</v>
      </c>
      <c r="G4" s="71">
        <f>E4/D4*100%</f>
        <v>0.16</v>
      </c>
    </row>
    <row r="5" spans="1:7">
      <c r="A5" s="60">
        <v>2</v>
      </c>
      <c r="B5" s="108" t="s">
        <v>520</v>
      </c>
      <c r="C5" s="109" t="s">
        <v>11</v>
      </c>
      <c r="D5" s="109">
        <v>25</v>
      </c>
      <c r="E5" s="109">
        <v>2</v>
      </c>
      <c r="F5" s="60">
        <f t="shared" ref="F5:F8" si="0">E5-D5</f>
        <v>-23</v>
      </c>
      <c r="G5" s="71">
        <f t="shared" ref="G5:G8" si="1">E5/D5*100%</f>
        <v>0.08</v>
      </c>
    </row>
    <row r="6" spans="1:7">
      <c r="A6" s="60">
        <v>3</v>
      </c>
      <c r="B6" s="108" t="s">
        <v>521</v>
      </c>
      <c r="C6" s="109" t="s">
        <v>11</v>
      </c>
      <c r="D6" s="109">
        <v>25</v>
      </c>
      <c r="E6" s="109">
        <v>5</v>
      </c>
      <c r="F6" s="60">
        <f t="shared" si="0"/>
        <v>-20</v>
      </c>
      <c r="G6" s="71">
        <f t="shared" si="1"/>
        <v>0.2</v>
      </c>
    </row>
    <row r="7" spans="1:7">
      <c r="A7" s="60">
        <v>4</v>
      </c>
      <c r="B7" s="108" t="s">
        <v>522</v>
      </c>
      <c r="C7" s="109" t="s">
        <v>11</v>
      </c>
      <c r="D7" s="109">
        <v>25</v>
      </c>
      <c r="E7" s="109">
        <v>3</v>
      </c>
      <c r="F7" s="60">
        <f t="shared" si="0"/>
        <v>-22</v>
      </c>
      <c r="G7" s="71">
        <f t="shared" si="1"/>
        <v>0.12</v>
      </c>
    </row>
    <row r="8" spans="1:7">
      <c r="A8" s="60"/>
      <c r="B8" s="60" t="s">
        <v>31</v>
      </c>
      <c r="C8" s="60"/>
      <c r="D8" s="60">
        <v>100</v>
      </c>
      <c r="E8" s="60">
        <f>SUM(E4:E7)</f>
        <v>14</v>
      </c>
      <c r="F8" s="60">
        <f t="shared" si="0"/>
        <v>-86</v>
      </c>
      <c r="G8" s="71">
        <f t="shared" si="1"/>
        <v>0.14000000000000001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C316-3961-48F1-B499-515518AFDEC6}">
  <dimension ref="A1:G9"/>
  <sheetViews>
    <sheetView workbookViewId="0">
      <selection activeCell="E13" sqref="E13"/>
    </sheetView>
  </sheetViews>
  <sheetFormatPr defaultRowHeight="14.5"/>
  <cols>
    <col min="1" max="1" width="4.54296875" customWidth="1"/>
    <col min="2" max="2" width="29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08" t="s">
        <v>523</v>
      </c>
      <c r="C4" s="109" t="s">
        <v>9</v>
      </c>
      <c r="D4" s="109">
        <v>35</v>
      </c>
      <c r="E4" s="109">
        <v>1</v>
      </c>
      <c r="F4" s="60">
        <f>E4-D4</f>
        <v>-34</v>
      </c>
      <c r="G4" s="71">
        <f>E4/D4*100%</f>
        <v>2.8571428571428571E-2</v>
      </c>
    </row>
    <row r="5" spans="1:7">
      <c r="A5" s="60">
        <v>2</v>
      </c>
      <c r="B5" s="108" t="s">
        <v>524</v>
      </c>
      <c r="C5" s="109" t="s">
        <v>11</v>
      </c>
      <c r="D5" s="109">
        <v>25</v>
      </c>
      <c r="E5" s="109">
        <v>6</v>
      </c>
      <c r="F5" s="60">
        <f t="shared" ref="F5:F9" si="0">E5-D5</f>
        <v>-19</v>
      </c>
      <c r="G5" s="71">
        <f t="shared" ref="G5:G9" si="1">E5/D5*100%</f>
        <v>0.24</v>
      </c>
    </row>
    <row r="6" spans="1:7">
      <c r="A6" s="60">
        <v>3</v>
      </c>
      <c r="B6" s="108" t="s">
        <v>525</v>
      </c>
      <c r="C6" s="109" t="s">
        <v>11</v>
      </c>
      <c r="D6" s="109">
        <v>25</v>
      </c>
      <c r="E6" s="109">
        <v>8</v>
      </c>
      <c r="F6" s="60">
        <f t="shared" si="0"/>
        <v>-17</v>
      </c>
      <c r="G6" s="71">
        <f t="shared" si="1"/>
        <v>0.32</v>
      </c>
    </row>
    <row r="7" spans="1:7">
      <c r="A7" s="60">
        <v>4</v>
      </c>
      <c r="B7" s="108" t="s">
        <v>526</v>
      </c>
      <c r="C7" s="109" t="s">
        <v>11</v>
      </c>
      <c r="D7" s="109">
        <v>25</v>
      </c>
      <c r="E7" s="109">
        <v>8</v>
      </c>
      <c r="F7" s="60">
        <f t="shared" si="0"/>
        <v>-17</v>
      </c>
      <c r="G7" s="71">
        <f t="shared" si="1"/>
        <v>0.32</v>
      </c>
    </row>
    <row r="8" spans="1:7">
      <c r="A8" s="60">
        <v>5</v>
      </c>
      <c r="B8" s="108" t="s">
        <v>527</v>
      </c>
      <c r="C8" s="109" t="s">
        <v>11</v>
      </c>
      <c r="D8" s="109">
        <v>25</v>
      </c>
      <c r="E8" s="109">
        <v>2</v>
      </c>
      <c r="F8" s="60">
        <f t="shared" si="0"/>
        <v>-23</v>
      </c>
      <c r="G8" s="71">
        <f t="shared" si="1"/>
        <v>0.08</v>
      </c>
    </row>
    <row r="9" spans="1:7">
      <c r="A9" s="60"/>
      <c r="B9" s="60" t="s">
        <v>31</v>
      </c>
      <c r="C9" s="60"/>
      <c r="D9" s="60">
        <v>150</v>
      </c>
      <c r="E9" s="60">
        <f>SUM(E4:E8)</f>
        <v>25</v>
      </c>
      <c r="F9" s="60">
        <f t="shared" si="0"/>
        <v>-125</v>
      </c>
      <c r="G9" s="71">
        <f t="shared" si="1"/>
        <v>0.16666666666666666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6C0D-AD38-4C50-9964-E55FABA8FF14}">
  <dimension ref="A1:M28"/>
  <sheetViews>
    <sheetView workbookViewId="0">
      <selection activeCell="J5" sqref="J5:M7"/>
    </sheetView>
  </sheetViews>
  <sheetFormatPr defaultRowHeight="14.5"/>
  <cols>
    <col min="1" max="1" width="4.90625" customWidth="1"/>
    <col min="2" max="2" width="30.36328125" customWidth="1"/>
    <col min="3" max="3" width="11.54296875" customWidth="1"/>
    <col min="7" max="7" width="8.7265625" style="11"/>
    <col min="9" max="9" width="5.81640625" customWidth="1"/>
    <col min="10" max="10" width="15.6328125" customWidth="1"/>
    <col min="11" max="11" width="9.63281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61" t="s">
        <v>270</v>
      </c>
      <c r="C4" s="62" t="s">
        <v>9</v>
      </c>
      <c r="D4" s="62">
        <v>35</v>
      </c>
      <c r="E4" s="63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64" t="s">
        <v>271</v>
      </c>
      <c r="C5" s="65" t="s">
        <v>11</v>
      </c>
      <c r="D5" s="65">
        <v>25</v>
      </c>
      <c r="E5" s="63">
        <v>31</v>
      </c>
      <c r="F5" s="60">
        <f t="shared" ref="F5:F28" si="0">E5-D5</f>
        <v>6</v>
      </c>
      <c r="G5" s="71">
        <f t="shared" ref="G5:G28" si="1">E5/D5*100%</f>
        <v>1.24</v>
      </c>
      <c r="I5" s="72">
        <v>1</v>
      </c>
      <c r="J5" s="72" t="s">
        <v>294</v>
      </c>
      <c r="K5" s="72">
        <v>190</v>
      </c>
      <c r="L5" s="72">
        <v>150</v>
      </c>
      <c r="M5" s="73">
        <f>L5/K5*100%</f>
        <v>0.78947368421052633</v>
      </c>
    </row>
    <row r="6" spans="1:13">
      <c r="A6" s="60">
        <v>3</v>
      </c>
      <c r="B6" s="61" t="s">
        <v>272</v>
      </c>
      <c r="C6" s="65" t="s">
        <v>11</v>
      </c>
      <c r="D6" s="62">
        <v>25</v>
      </c>
      <c r="E6" s="63">
        <v>19</v>
      </c>
      <c r="F6" s="60">
        <f t="shared" si="0"/>
        <v>-6</v>
      </c>
      <c r="G6" s="71">
        <f t="shared" si="1"/>
        <v>0.76</v>
      </c>
      <c r="I6" s="72">
        <v>2</v>
      </c>
      <c r="J6" s="72" t="s">
        <v>295</v>
      </c>
      <c r="K6" s="72">
        <v>190</v>
      </c>
      <c r="L6" s="72">
        <v>170</v>
      </c>
      <c r="M6" s="73">
        <f t="shared" ref="M6:M7" si="2">L6/K6*100%</f>
        <v>0.89473684210526316</v>
      </c>
    </row>
    <row r="7" spans="1:13">
      <c r="A7" s="60">
        <v>4</v>
      </c>
      <c r="B7" s="64" t="s">
        <v>273</v>
      </c>
      <c r="C7" s="65" t="s">
        <v>11</v>
      </c>
      <c r="D7" s="65">
        <v>25</v>
      </c>
      <c r="E7" s="63">
        <v>8</v>
      </c>
      <c r="F7" s="60">
        <f t="shared" si="0"/>
        <v>-17</v>
      </c>
      <c r="G7" s="71">
        <f t="shared" si="1"/>
        <v>0.32</v>
      </c>
      <c r="I7" s="72">
        <v>3</v>
      </c>
      <c r="J7" s="72" t="s">
        <v>296</v>
      </c>
      <c r="K7" s="72">
        <v>190</v>
      </c>
      <c r="L7" s="72">
        <v>114</v>
      </c>
      <c r="M7" s="73">
        <f t="shared" si="2"/>
        <v>0.6</v>
      </c>
    </row>
    <row r="8" spans="1:13">
      <c r="A8" s="60">
        <v>5</v>
      </c>
      <c r="B8" s="66" t="s">
        <v>274</v>
      </c>
      <c r="C8" s="65" t="s">
        <v>11</v>
      </c>
      <c r="D8" s="62">
        <v>25</v>
      </c>
      <c r="E8" s="63">
        <v>26</v>
      </c>
      <c r="F8" s="60">
        <f t="shared" si="0"/>
        <v>1</v>
      </c>
      <c r="G8" s="71">
        <f t="shared" si="1"/>
        <v>1.04</v>
      </c>
    </row>
    <row r="9" spans="1:13">
      <c r="A9" s="60">
        <v>6</v>
      </c>
      <c r="B9" s="67" t="s">
        <v>275</v>
      </c>
      <c r="C9" s="65" t="s">
        <v>11</v>
      </c>
      <c r="D9" s="65">
        <v>25</v>
      </c>
      <c r="E9" s="63">
        <v>16</v>
      </c>
      <c r="F9" s="60">
        <f t="shared" si="0"/>
        <v>-9</v>
      </c>
      <c r="G9" s="71">
        <f t="shared" si="1"/>
        <v>0.64</v>
      </c>
    </row>
    <row r="10" spans="1:13">
      <c r="A10" s="60">
        <v>7</v>
      </c>
      <c r="B10" s="66" t="s">
        <v>276</v>
      </c>
      <c r="C10" s="65" t="s">
        <v>11</v>
      </c>
      <c r="D10" s="68">
        <v>25</v>
      </c>
      <c r="E10" s="63">
        <v>26</v>
      </c>
      <c r="F10" s="60">
        <f t="shared" si="0"/>
        <v>1</v>
      </c>
      <c r="G10" s="71">
        <f t="shared" si="1"/>
        <v>1.04</v>
      </c>
      <c r="K10" s="74"/>
    </row>
    <row r="11" spans="1:13">
      <c r="A11" s="60">
        <v>8</v>
      </c>
      <c r="B11" s="67" t="s">
        <v>277</v>
      </c>
      <c r="C11" s="65" t="s">
        <v>11</v>
      </c>
      <c r="D11" s="65">
        <v>25</v>
      </c>
      <c r="E11" s="63">
        <v>24</v>
      </c>
      <c r="F11" s="60">
        <f t="shared" si="0"/>
        <v>-1</v>
      </c>
      <c r="G11" s="71">
        <f t="shared" si="1"/>
        <v>0.96</v>
      </c>
    </row>
    <row r="12" spans="1:13">
      <c r="A12" s="60">
        <v>9</v>
      </c>
      <c r="B12" s="61" t="s">
        <v>278</v>
      </c>
      <c r="C12" s="62" t="s">
        <v>9</v>
      </c>
      <c r="D12" s="62">
        <v>35</v>
      </c>
      <c r="E12" s="63">
        <v>0</v>
      </c>
      <c r="F12" s="60">
        <f t="shared" si="0"/>
        <v>-35</v>
      </c>
      <c r="G12" s="71">
        <f t="shared" si="1"/>
        <v>0</v>
      </c>
    </row>
    <row r="13" spans="1:13">
      <c r="A13" s="60">
        <v>10</v>
      </c>
      <c r="B13" s="64" t="s">
        <v>279</v>
      </c>
      <c r="C13" s="65" t="s">
        <v>11</v>
      </c>
      <c r="D13" s="65">
        <v>25</v>
      </c>
      <c r="E13" s="63">
        <v>18</v>
      </c>
      <c r="F13" s="60">
        <f t="shared" si="0"/>
        <v>-7</v>
      </c>
      <c r="G13" s="71">
        <f t="shared" si="1"/>
        <v>0.72</v>
      </c>
    </row>
    <row r="14" spans="1:13">
      <c r="A14" s="60">
        <v>11</v>
      </c>
      <c r="B14" s="61" t="s">
        <v>280</v>
      </c>
      <c r="C14" s="65" t="s">
        <v>11</v>
      </c>
      <c r="D14" s="62">
        <v>25</v>
      </c>
      <c r="E14" s="63">
        <v>16</v>
      </c>
      <c r="F14" s="60">
        <f t="shared" si="0"/>
        <v>-9</v>
      </c>
      <c r="G14" s="71">
        <f t="shared" si="1"/>
        <v>0.64</v>
      </c>
    </row>
    <row r="15" spans="1:13">
      <c r="A15" s="60">
        <v>12</v>
      </c>
      <c r="B15" s="64" t="s">
        <v>281</v>
      </c>
      <c r="C15" s="65" t="s">
        <v>11</v>
      </c>
      <c r="D15" s="65">
        <v>25</v>
      </c>
      <c r="E15" s="63">
        <v>23</v>
      </c>
      <c r="F15" s="60">
        <f t="shared" si="0"/>
        <v>-2</v>
      </c>
      <c r="G15" s="71">
        <f t="shared" si="1"/>
        <v>0.92</v>
      </c>
    </row>
    <row r="16" spans="1:13">
      <c r="A16" s="60">
        <v>13</v>
      </c>
      <c r="B16" s="61" t="s">
        <v>282</v>
      </c>
      <c r="C16" s="65" t="s">
        <v>11</v>
      </c>
      <c r="D16" s="62">
        <v>25</v>
      </c>
      <c r="E16" s="63">
        <v>19</v>
      </c>
      <c r="F16" s="60">
        <f t="shared" si="0"/>
        <v>-6</v>
      </c>
      <c r="G16" s="71">
        <f t="shared" si="1"/>
        <v>0.76</v>
      </c>
    </row>
    <row r="17" spans="1:7">
      <c r="A17" s="60">
        <v>14</v>
      </c>
      <c r="B17" s="69" t="s">
        <v>283</v>
      </c>
      <c r="C17" s="65" t="s">
        <v>11</v>
      </c>
      <c r="D17" s="65">
        <v>25</v>
      </c>
      <c r="E17" s="63">
        <v>18</v>
      </c>
      <c r="F17" s="60">
        <f t="shared" si="0"/>
        <v>-7</v>
      </c>
      <c r="G17" s="71">
        <f t="shared" si="1"/>
        <v>0.72</v>
      </c>
    </row>
    <row r="18" spans="1:7">
      <c r="A18" s="60">
        <v>15</v>
      </c>
      <c r="B18" s="66" t="s">
        <v>284</v>
      </c>
      <c r="C18" s="65" t="s">
        <v>11</v>
      </c>
      <c r="D18" s="68">
        <v>25</v>
      </c>
      <c r="E18" s="63">
        <v>46</v>
      </c>
      <c r="F18" s="60">
        <f t="shared" si="0"/>
        <v>21</v>
      </c>
      <c r="G18" s="71">
        <f t="shared" si="1"/>
        <v>1.84</v>
      </c>
    </row>
    <row r="19" spans="1:7">
      <c r="A19" s="60">
        <v>16</v>
      </c>
      <c r="B19" s="67" t="s">
        <v>285</v>
      </c>
      <c r="C19" s="65" t="s">
        <v>11</v>
      </c>
      <c r="D19" s="65">
        <v>25</v>
      </c>
      <c r="E19" s="63">
        <v>30</v>
      </c>
      <c r="F19" s="60">
        <f t="shared" si="0"/>
        <v>5</v>
      </c>
      <c r="G19" s="71">
        <f t="shared" si="1"/>
        <v>1.2</v>
      </c>
    </row>
    <row r="20" spans="1:7">
      <c r="A20" s="60">
        <v>17</v>
      </c>
      <c r="B20" s="61" t="s">
        <v>286</v>
      </c>
      <c r="C20" s="62" t="s">
        <v>9</v>
      </c>
      <c r="D20" s="62">
        <v>35</v>
      </c>
      <c r="E20" s="63">
        <v>0</v>
      </c>
      <c r="F20" s="60">
        <f t="shared" si="0"/>
        <v>-35</v>
      </c>
      <c r="G20" s="71">
        <f t="shared" si="1"/>
        <v>0</v>
      </c>
    </row>
    <row r="21" spans="1:7">
      <c r="A21" s="60">
        <v>18</v>
      </c>
      <c r="B21" s="64" t="s">
        <v>287</v>
      </c>
      <c r="C21" s="65" t="s">
        <v>11</v>
      </c>
      <c r="D21" s="65">
        <v>25</v>
      </c>
      <c r="E21" s="63">
        <v>6</v>
      </c>
      <c r="F21" s="60">
        <f t="shared" si="0"/>
        <v>-19</v>
      </c>
      <c r="G21" s="71">
        <f t="shared" si="1"/>
        <v>0.24</v>
      </c>
    </row>
    <row r="22" spans="1:7">
      <c r="A22" s="60">
        <v>19</v>
      </c>
      <c r="B22" s="61" t="s">
        <v>288</v>
      </c>
      <c r="C22" s="65" t="s">
        <v>11</v>
      </c>
      <c r="D22" s="62">
        <v>25</v>
      </c>
      <c r="E22" s="63">
        <v>28</v>
      </c>
      <c r="F22" s="60">
        <f t="shared" si="0"/>
        <v>3</v>
      </c>
      <c r="G22" s="71">
        <f t="shared" si="1"/>
        <v>1.1200000000000001</v>
      </c>
    </row>
    <row r="23" spans="1:7">
      <c r="A23" s="60">
        <v>20</v>
      </c>
      <c r="B23" s="64" t="s">
        <v>289</v>
      </c>
      <c r="C23" s="65" t="s">
        <v>11</v>
      </c>
      <c r="D23" s="65">
        <v>25</v>
      </c>
      <c r="E23" s="63">
        <v>26</v>
      </c>
      <c r="F23" s="60">
        <f t="shared" si="0"/>
        <v>1</v>
      </c>
      <c r="G23" s="71">
        <f t="shared" si="1"/>
        <v>1.04</v>
      </c>
    </row>
    <row r="24" spans="1:7">
      <c r="A24" s="60">
        <v>21</v>
      </c>
      <c r="B24" s="61" t="s">
        <v>290</v>
      </c>
      <c r="C24" s="65" t="s">
        <v>11</v>
      </c>
      <c r="D24" s="62">
        <v>25</v>
      </c>
      <c r="E24" s="63">
        <v>28</v>
      </c>
      <c r="F24" s="60">
        <f t="shared" si="0"/>
        <v>3</v>
      </c>
      <c r="G24" s="71">
        <f t="shared" si="1"/>
        <v>1.1200000000000001</v>
      </c>
    </row>
    <row r="25" spans="1:7">
      <c r="A25" s="60">
        <v>22</v>
      </c>
      <c r="B25" s="69" t="s">
        <v>291</v>
      </c>
      <c r="C25" s="65" t="s">
        <v>11</v>
      </c>
      <c r="D25" s="65">
        <v>25</v>
      </c>
      <c r="E25" s="63">
        <v>5</v>
      </c>
      <c r="F25" s="60">
        <f t="shared" si="0"/>
        <v>-20</v>
      </c>
      <c r="G25" s="71">
        <f t="shared" si="1"/>
        <v>0.2</v>
      </c>
    </row>
    <row r="26" spans="1:7">
      <c r="A26" s="60">
        <v>23</v>
      </c>
      <c r="B26" s="66" t="s">
        <v>292</v>
      </c>
      <c r="C26" s="65" t="s">
        <v>11</v>
      </c>
      <c r="D26" s="68">
        <v>25</v>
      </c>
      <c r="E26" s="63">
        <v>18</v>
      </c>
      <c r="F26" s="60">
        <f t="shared" si="0"/>
        <v>-7</v>
      </c>
      <c r="G26" s="71">
        <f t="shared" si="1"/>
        <v>0.72</v>
      </c>
    </row>
    <row r="27" spans="1:7">
      <c r="A27" s="60">
        <v>24</v>
      </c>
      <c r="B27" s="70" t="s">
        <v>293</v>
      </c>
      <c r="C27" s="65" t="s">
        <v>11</v>
      </c>
      <c r="D27" s="65">
        <v>25</v>
      </c>
      <c r="E27" s="63">
        <v>3</v>
      </c>
      <c r="F27" s="60">
        <f t="shared" si="0"/>
        <v>-22</v>
      </c>
      <c r="G27" s="71">
        <f t="shared" si="1"/>
        <v>0.12</v>
      </c>
    </row>
    <row r="28" spans="1:7">
      <c r="A28" s="60"/>
      <c r="B28" s="60" t="s">
        <v>31</v>
      </c>
      <c r="C28" s="60"/>
      <c r="D28" s="60">
        <v>570</v>
      </c>
      <c r="E28" s="60">
        <f>SUM(E4:E27)</f>
        <v>434</v>
      </c>
      <c r="F28" s="60">
        <f t="shared" si="0"/>
        <v>-136</v>
      </c>
      <c r="G28" s="71">
        <f t="shared" si="1"/>
        <v>0.76140350877192986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2E1D-AF5B-43C9-AE10-0E403DCBA527}">
  <dimension ref="A1:M12"/>
  <sheetViews>
    <sheetView workbookViewId="0">
      <selection activeCell="J8" sqref="J8"/>
    </sheetView>
  </sheetViews>
  <sheetFormatPr defaultRowHeight="14.5"/>
  <cols>
    <col min="1" max="1" width="5.7265625" customWidth="1"/>
    <col min="2" max="2" width="25.90625" customWidth="1"/>
    <col min="7" max="7" width="8.7265625" style="11"/>
    <col min="9" max="9" width="6.453125" customWidth="1"/>
    <col min="10" max="10" width="23.81640625" customWidth="1"/>
    <col min="11" max="11" width="15.54296875" customWidth="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61" t="s">
        <v>297</v>
      </c>
      <c r="C4" s="62" t="s">
        <v>9</v>
      </c>
      <c r="D4" s="62">
        <v>35</v>
      </c>
      <c r="E4" s="63">
        <v>0</v>
      </c>
      <c r="F4" s="60">
        <f>E4-D4</f>
        <v>-35</v>
      </c>
      <c r="G4" s="71">
        <f>E4/D4*100%</f>
        <v>0</v>
      </c>
    </row>
    <row r="5" spans="1:13">
      <c r="A5" s="60">
        <v>2</v>
      </c>
      <c r="B5" s="64" t="s">
        <v>298</v>
      </c>
      <c r="C5" s="65" t="s">
        <v>11</v>
      </c>
      <c r="D5" s="65">
        <v>25</v>
      </c>
      <c r="E5" s="63">
        <v>22</v>
      </c>
      <c r="F5" s="60">
        <f t="shared" ref="F5:F12" si="0">E5-D5</f>
        <v>-3</v>
      </c>
      <c r="G5" s="71">
        <f t="shared" ref="G5:G12" si="1">E5/D5*100%</f>
        <v>0.88</v>
      </c>
      <c r="I5" s="34" t="s">
        <v>92</v>
      </c>
      <c r="J5" s="33" t="s">
        <v>170</v>
      </c>
      <c r="K5" s="33" t="s">
        <v>41</v>
      </c>
      <c r="L5" s="33" t="s">
        <v>42</v>
      </c>
      <c r="M5" s="46" t="s">
        <v>6</v>
      </c>
    </row>
    <row r="6" spans="1:13">
      <c r="A6" s="60">
        <v>3</v>
      </c>
      <c r="B6" s="61" t="s">
        <v>299</v>
      </c>
      <c r="C6" s="65" t="s">
        <v>11</v>
      </c>
      <c r="D6" s="62">
        <v>25</v>
      </c>
      <c r="E6" s="63">
        <v>10</v>
      </c>
      <c r="F6" s="60">
        <f t="shared" si="0"/>
        <v>-15</v>
      </c>
      <c r="G6" s="71">
        <f t="shared" si="1"/>
        <v>0.4</v>
      </c>
    </row>
    <row r="7" spans="1:13">
      <c r="A7" s="60">
        <v>4</v>
      </c>
      <c r="B7" s="64" t="s">
        <v>300</v>
      </c>
      <c r="C7" s="65" t="s">
        <v>11</v>
      </c>
      <c r="D7" s="65">
        <v>25</v>
      </c>
      <c r="E7" s="63">
        <v>26</v>
      </c>
      <c r="F7" s="60">
        <f t="shared" si="0"/>
        <v>1</v>
      </c>
      <c r="G7" s="71">
        <f t="shared" si="1"/>
        <v>1.04</v>
      </c>
    </row>
    <row r="8" spans="1:13">
      <c r="A8" s="60">
        <v>5</v>
      </c>
      <c r="B8" s="61" t="s">
        <v>301</v>
      </c>
      <c r="C8" s="65" t="s">
        <v>11</v>
      </c>
      <c r="D8" s="62">
        <v>25</v>
      </c>
      <c r="E8" s="63">
        <v>9</v>
      </c>
      <c r="F8" s="60">
        <f t="shared" si="0"/>
        <v>-16</v>
      </c>
      <c r="G8" s="71">
        <f t="shared" si="1"/>
        <v>0.36</v>
      </c>
    </row>
    <row r="9" spans="1:13">
      <c r="A9" s="60">
        <v>6</v>
      </c>
      <c r="B9" s="69" t="s">
        <v>302</v>
      </c>
      <c r="C9" s="65" t="s">
        <v>11</v>
      </c>
      <c r="D9" s="65">
        <v>25</v>
      </c>
      <c r="E9" s="63">
        <v>19</v>
      </c>
      <c r="F9" s="60">
        <f t="shared" si="0"/>
        <v>-6</v>
      </c>
      <c r="G9" s="71">
        <f t="shared" si="1"/>
        <v>0.76</v>
      </c>
    </row>
    <row r="10" spans="1:13">
      <c r="A10" s="60">
        <v>7</v>
      </c>
      <c r="B10" s="66" t="s">
        <v>303</v>
      </c>
      <c r="C10" s="65" t="s">
        <v>11</v>
      </c>
      <c r="D10" s="68">
        <v>25</v>
      </c>
      <c r="E10" s="63">
        <v>4</v>
      </c>
      <c r="F10" s="60">
        <f t="shared" si="0"/>
        <v>-21</v>
      </c>
      <c r="G10" s="71">
        <f t="shared" si="1"/>
        <v>0.16</v>
      </c>
    </row>
    <row r="11" spans="1:13">
      <c r="A11" s="60">
        <v>8</v>
      </c>
      <c r="B11" s="67" t="s">
        <v>304</v>
      </c>
      <c r="C11" s="65" t="s">
        <v>11</v>
      </c>
      <c r="D11" s="65">
        <v>25</v>
      </c>
      <c r="E11" s="63">
        <v>30</v>
      </c>
      <c r="F11" s="60">
        <f t="shared" si="0"/>
        <v>5</v>
      </c>
      <c r="G11" s="71">
        <f t="shared" si="1"/>
        <v>1.2</v>
      </c>
    </row>
    <row r="12" spans="1:13">
      <c r="A12" s="60"/>
      <c r="B12" s="72" t="s">
        <v>31</v>
      </c>
      <c r="C12" s="72"/>
      <c r="D12" s="72">
        <v>190</v>
      </c>
      <c r="E12" s="72">
        <f>SUM(E4:E11)</f>
        <v>120</v>
      </c>
      <c r="F12" s="72">
        <f t="shared" si="0"/>
        <v>-70</v>
      </c>
      <c r="G12" s="73">
        <f t="shared" si="1"/>
        <v>0.63157894736842102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1B592-A810-4FF1-9C75-DB70642C9666}">
  <dimension ref="A1:M16"/>
  <sheetViews>
    <sheetView workbookViewId="0">
      <selection activeCell="J7" sqref="J7:M8"/>
    </sheetView>
  </sheetViews>
  <sheetFormatPr defaultRowHeight="14.5"/>
  <cols>
    <col min="1" max="1" width="5.1796875" customWidth="1"/>
    <col min="2" max="2" width="28.90625" customWidth="1"/>
    <col min="7" max="7" width="8.7265625" style="11"/>
    <col min="9" max="9" width="4.7265625" customWidth="1"/>
    <col min="10" max="10" width="15.0898437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61" t="s">
        <v>305</v>
      </c>
      <c r="C4" s="62" t="s">
        <v>9</v>
      </c>
      <c r="D4" s="62">
        <v>35</v>
      </c>
      <c r="E4" s="63">
        <v>0</v>
      </c>
      <c r="F4" s="60">
        <f>E4-D4</f>
        <v>-35</v>
      </c>
      <c r="G4" s="71">
        <f>E4/D4*100%</f>
        <v>0</v>
      </c>
    </row>
    <row r="5" spans="1:13">
      <c r="A5" s="60">
        <v>2</v>
      </c>
      <c r="B5" s="64" t="s">
        <v>306</v>
      </c>
      <c r="C5" s="65" t="s">
        <v>11</v>
      </c>
      <c r="D5" s="65">
        <v>25</v>
      </c>
      <c r="E5" s="63">
        <v>7</v>
      </c>
      <c r="F5" s="60">
        <f t="shared" ref="F5:F16" si="0">E5-D5</f>
        <v>-18</v>
      </c>
      <c r="G5" s="71">
        <f t="shared" ref="G5:G16" si="1">E5/D5*100%</f>
        <v>0.28000000000000003</v>
      </c>
    </row>
    <row r="6" spans="1:13">
      <c r="A6" s="60">
        <v>3</v>
      </c>
      <c r="B6" s="61" t="s">
        <v>307</v>
      </c>
      <c r="C6" s="65" t="s">
        <v>11</v>
      </c>
      <c r="D6" s="62">
        <v>25</v>
      </c>
      <c r="E6" s="63">
        <v>16</v>
      </c>
      <c r="F6" s="60">
        <f t="shared" si="0"/>
        <v>-9</v>
      </c>
      <c r="G6" s="71">
        <f t="shared" si="1"/>
        <v>0.64</v>
      </c>
      <c r="I6" s="34" t="s">
        <v>92</v>
      </c>
      <c r="J6" s="33" t="s">
        <v>170</v>
      </c>
      <c r="K6" s="33" t="s">
        <v>41</v>
      </c>
      <c r="L6" s="33" t="s">
        <v>42</v>
      </c>
      <c r="M6" s="46" t="s">
        <v>6</v>
      </c>
    </row>
    <row r="7" spans="1:13">
      <c r="A7" s="60">
        <v>4</v>
      </c>
      <c r="B7" s="64" t="s">
        <v>308</v>
      </c>
      <c r="C7" s="65" t="s">
        <v>11</v>
      </c>
      <c r="D7" s="65">
        <v>25</v>
      </c>
      <c r="E7" s="63">
        <v>40</v>
      </c>
      <c r="F7" s="60">
        <f t="shared" si="0"/>
        <v>15</v>
      </c>
      <c r="G7" s="71">
        <f t="shared" si="1"/>
        <v>1.6</v>
      </c>
      <c r="I7" s="58">
        <v>1</v>
      </c>
      <c r="J7" s="58" t="s">
        <v>317</v>
      </c>
      <c r="K7" s="58">
        <v>150</v>
      </c>
      <c r="L7" s="58">
        <v>75</v>
      </c>
      <c r="M7" s="75">
        <f>L7/K7*100%</f>
        <v>0.5</v>
      </c>
    </row>
    <row r="8" spans="1:13">
      <c r="A8" s="60">
        <v>5</v>
      </c>
      <c r="B8" s="61" t="s">
        <v>309</v>
      </c>
      <c r="C8" s="65" t="s">
        <v>11</v>
      </c>
      <c r="D8" s="62">
        <v>25</v>
      </c>
      <c r="E8" s="63">
        <v>5</v>
      </c>
      <c r="F8" s="60">
        <f t="shared" si="0"/>
        <v>-20</v>
      </c>
      <c r="G8" s="71">
        <f t="shared" si="1"/>
        <v>0.2</v>
      </c>
      <c r="I8" s="58">
        <v>2</v>
      </c>
      <c r="J8" s="58" t="s">
        <v>318</v>
      </c>
      <c r="K8" s="58">
        <v>150</v>
      </c>
      <c r="L8" s="58">
        <v>73</v>
      </c>
      <c r="M8" s="75">
        <f>L8/K8*100%</f>
        <v>0.48666666666666669</v>
      </c>
    </row>
    <row r="9" spans="1:13">
      <c r="A9" s="60">
        <v>6</v>
      </c>
      <c r="B9" s="69" t="s">
        <v>310</v>
      </c>
      <c r="C9" s="65" t="s">
        <v>11</v>
      </c>
      <c r="D9" s="65">
        <v>25</v>
      </c>
      <c r="E9" s="63">
        <v>7</v>
      </c>
      <c r="F9" s="60">
        <f t="shared" si="0"/>
        <v>-18</v>
      </c>
      <c r="G9" s="71">
        <f t="shared" si="1"/>
        <v>0.28000000000000003</v>
      </c>
    </row>
    <row r="10" spans="1:13">
      <c r="A10" s="60">
        <v>7</v>
      </c>
      <c r="B10" s="61" t="s">
        <v>311</v>
      </c>
      <c r="C10" s="65" t="s">
        <v>11</v>
      </c>
      <c r="D10" s="62">
        <v>35</v>
      </c>
      <c r="E10" s="63">
        <v>1</v>
      </c>
      <c r="F10" s="60">
        <f t="shared" si="0"/>
        <v>-34</v>
      </c>
      <c r="G10" s="71">
        <f t="shared" si="1"/>
        <v>2.8571428571428571E-2</v>
      </c>
    </row>
    <row r="11" spans="1:13">
      <c r="A11" s="60">
        <v>8</v>
      </c>
      <c r="B11" s="64" t="s">
        <v>312</v>
      </c>
      <c r="C11" s="65" t="s">
        <v>11</v>
      </c>
      <c r="D11" s="65">
        <v>25</v>
      </c>
      <c r="E11" s="63">
        <v>5</v>
      </c>
      <c r="F11" s="60">
        <f t="shared" si="0"/>
        <v>-20</v>
      </c>
      <c r="G11" s="71">
        <f t="shared" si="1"/>
        <v>0.2</v>
      </c>
    </row>
    <row r="12" spans="1:13">
      <c r="A12" s="60">
        <v>9</v>
      </c>
      <c r="B12" s="61" t="s">
        <v>313</v>
      </c>
      <c r="C12" s="65" t="s">
        <v>11</v>
      </c>
      <c r="D12" s="62">
        <v>25</v>
      </c>
      <c r="E12" s="63">
        <v>7</v>
      </c>
      <c r="F12" s="60">
        <f t="shared" si="0"/>
        <v>-18</v>
      </c>
      <c r="G12" s="71">
        <f t="shared" si="1"/>
        <v>0.28000000000000003</v>
      </c>
    </row>
    <row r="13" spans="1:13">
      <c r="A13" s="60">
        <v>10</v>
      </c>
      <c r="B13" s="64" t="s">
        <v>314</v>
      </c>
      <c r="C13" s="65" t="s">
        <v>11</v>
      </c>
      <c r="D13" s="65">
        <v>25</v>
      </c>
      <c r="E13" s="63">
        <v>10</v>
      </c>
      <c r="F13" s="60">
        <f t="shared" si="0"/>
        <v>-15</v>
      </c>
      <c r="G13" s="71">
        <f t="shared" si="1"/>
        <v>0.4</v>
      </c>
    </row>
    <row r="14" spans="1:13">
      <c r="A14" s="60">
        <v>11</v>
      </c>
      <c r="B14" s="61" t="s">
        <v>315</v>
      </c>
      <c r="C14" s="65" t="s">
        <v>11</v>
      </c>
      <c r="D14" s="62">
        <v>25</v>
      </c>
      <c r="E14" s="63">
        <v>34</v>
      </c>
      <c r="F14" s="60">
        <f t="shared" si="0"/>
        <v>9</v>
      </c>
      <c r="G14" s="71">
        <f t="shared" si="1"/>
        <v>1.36</v>
      </c>
    </row>
    <row r="15" spans="1:13">
      <c r="A15" s="60">
        <v>12</v>
      </c>
      <c r="B15" s="69" t="s">
        <v>316</v>
      </c>
      <c r="C15" s="65" t="s">
        <v>11</v>
      </c>
      <c r="D15" s="65">
        <v>25</v>
      </c>
      <c r="E15" s="63">
        <v>16</v>
      </c>
      <c r="F15" s="60">
        <f t="shared" si="0"/>
        <v>-9</v>
      </c>
      <c r="G15" s="71">
        <f t="shared" si="1"/>
        <v>0.64</v>
      </c>
    </row>
    <row r="16" spans="1:13">
      <c r="A16" s="60"/>
      <c r="B16" s="72" t="s">
        <v>31</v>
      </c>
      <c r="C16" s="72"/>
      <c r="D16" s="72">
        <v>300</v>
      </c>
      <c r="E16" s="72">
        <f>SUM(E4:E15)</f>
        <v>148</v>
      </c>
      <c r="F16" s="72">
        <f t="shared" si="0"/>
        <v>-152</v>
      </c>
      <c r="G16" s="73">
        <f t="shared" si="1"/>
        <v>0.49333333333333335</v>
      </c>
    </row>
  </sheetData>
  <mergeCells count="8">
    <mergeCell ref="A1:A3"/>
    <mergeCell ref="C2:C3"/>
    <mergeCell ref="D2:D3"/>
    <mergeCell ref="E2:E3"/>
    <mergeCell ref="F2:F3"/>
    <mergeCell ref="B1:B3"/>
    <mergeCell ref="C1:G1"/>
    <mergeCell ref="G2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4CF1-0914-4D4F-A2BE-BE189FC9B656}">
  <dimension ref="A1:M24"/>
  <sheetViews>
    <sheetView topLeftCell="A4" workbookViewId="0">
      <selection activeCell="J14" sqref="J14"/>
    </sheetView>
  </sheetViews>
  <sheetFormatPr defaultRowHeight="14.5"/>
  <cols>
    <col min="1" max="1" width="5.453125" customWidth="1"/>
    <col min="2" max="2" width="27.81640625" customWidth="1"/>
    <col min="7" max="7" width="8.7265625" style="11"/>
    <col min="9" max="9" width="6.54296875" customWidth="1"/>
    <col min="10" max="10" width="16.63281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61" t="s">
        <v>319</v>
      </c>
      <c r="C4" s="62" t="s">
        <v>9</v>
      </c>
      <c r="D4" s="62">
        <v>35</v>
      </c>
      <c r="E4" s="63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64" t="s">
        <v>320</v>
      </c>
      <c r="C5" s="65" t="s">
        <v>11</v>
      </c>
      <c r="D5" s="65">
        <v>25</v>
      </c>
      <c r="E5" s="63">
        <v>31</v>
      </c>
      <c r="F5" s="60">
        <f t="shared" ref="F5:F24" si="0">E5-D5</f>
        <v>6</v>
      </c>
      <c r="G5" s="71">
        <f t="shared" ref="G5:G24" si="1">E5/D5*100%</f>
        <v>1.24</v>
      </c>
      <c r="I5" s="58">
        <v>1</v>
      </c>
      <c r="J5" s="58" t="s">
        <v>339</v>
      </c>
      <c r="K5" s="58">
        <v>190</v>
      </c>
      <c r="L5" s="58">
        <v>146</v>
      </c>
      <c r="M5" s="75">
        <f>L5/K5*100%</f>
        <v>0.76842105263157889</v>
      </c>
    </row>
    <row r="6" spans="1:13">
      <c r="A6" s="60">
        <v>3</v>
      </c>
      <c r="B6" s="61" t="s">
        <v>321</v>
      </c>
      <c r="C6" s="65" t="s">
        <v>11</v>
      </c>
      <c r="D6" s="62">
        <v>25</v>
      </c>
      <c r="E6" s="63">
        <v>32</v>
      </c>
      <c r="F6" s="60">
        <f t="shared" si="0"/>
        <v>7</v>
      </c>
      <c r="G6" s="71">
        <f t="shared" si="1"/>
        <v>1.28</v>
      </c>
      <c r="I6" s="58">
        <v>2</v>
      </c>
      <c r="J6" s="58" t="s">
        <v>340</v>
      </c>
      <c r="K6" s="58">
        <v>150</v>
      </c>
      <c r="L6" s="58">
        <v>92</v>
      </c>
      <c r="M6" s="75">
        <f t="shared" ref="M6:M7" si="2">L6/K6*100%</f>
        <v>0.61333333333333329</v>
      </c>
    </row>
    <row r="7" spans="1:13">
      <c r="A7" s="60">
        <v>4</v>
      </c>
      <c r="B7" s="64" t="s">
        <v>322</v>
      </c>
      <c r="C7" s="65" t="s">
        <v>11</v>
      </c>
      <c r="D7" s="65">
        <v>25</v>
      </c>
      <c r="E7" s="63">
        <v>18</v>
      </c>
      <c r="F7" s="60">
        <f t="shared" si="0"/>
        <v>-7</v>
      </c>
      <c r="G7" s="71">
        <f t="shared" si="1"/>
        <v>0.72</v>
      </c>
      <c r="I7" s="58">
        <v>3</v>
      </c>
      <c r="J7" s="58" t="s">
        <v>341</v>
      </c>
      <c r="K7" s="58">
        <v>150</v>
      </c>
      <c r="L7" s="58">
        <v>17</v>
      </c>
      <c r="M7" s="75">
        <f t="shared" si="2"/>
        <v>0.11333333333333333</v>
      </c>
    </row>
    <row r="8" spans="1:13">
      <c r="A8" s="60">
        <v>5</v>
      </c>
      <c r="B8" s="61" t="s">
        <v>323</v>
      </c>
      <c r="C8" s="65" t="s">
        <v>11</v>
      </c>
      <c r="D8" s="62">
        <v>25</v>
      </c>
      <c r="E8" s="63">
        <v>11</v>
      </c>
      <c r="F8" s="60">
        <f t="shared" si="0"/>
        <v>-14</v>
      </c>
      <c r="G8" s="71">
        <f t="shared" si="1"/>
        <v>0.44</v>
      </c>
    </row>
    <row r="9" spans="1:13">
      <c r="A9" s="60">
        <v>6</v>
      </c>
      <c r="B9" s="69" t="s">
        <v>324</v>
      </c>
      <c r="C9" s="65" t="s">
        <v>11</v>
      </c>
      <c r="D9" s="65">
        <v>25</v>
      </c>
      <c r="E9" s="63">
        <v>12</v>
      </c>
      <c r="F9" s="60">
        <f t="shared" si="0"/>
        <v>-13</v>
      </c>
      <c r="G9" s="71">
        <f t="shared" si="1"/>
        <v>0.48</v>
      </c>
    </row>
    <row r="10" spans="1:13">
      <c r="A10" s="60">
        <v>7</v>
      </c>
      <c r="B10" s="66" t="s">
        <v>325</v>
      </c>
      <c r="C10" s="65" t="s">
        <v>11</v>
      </c>
      <c r="D10" s="68">
        <v>25</v>
      </c>
      <c r="E10" s="63">
        <v>32</v>
      </c>
      <c r="F10" s="60">
        <f t="shared" si="0"/>
        <v>7</v>
      </c>
      <c r="G10" s="71">
        <f t="shared" si="1"/>
        <v>1.28</v>
      </c>
    </row>
    <row r="11" spans="1:13">
      <c r="A11" s="60">
        <v>8</v>
      </c>
      <c r="B11" s="67" t="s">
        <v>326</v>
      </c>
      <c r="C11" s="65" t="s">
        <v>11</v>
      </c>
      <c r="D11" s="65">
        <v>25</v>
      </c>
      <c r="E11" s="63">
        <v>10</v>
      </c>
      <c r="F11" s="60">
        <f t="shared" si="0"/>
        <v>-15</v>
      </c>
      <c r="G11" s="71">
        <f t="shared" si="1"/>
        <v>0.4</v>
      </c>
    </row>
    <row r="12" spans="1:13">
      <c r="A12" s="60">
        <v>9</v>
      </c>
      <c r="B12" s="61" t="s">
        <v>327</v>
      </c>
      <c r="C12" s="62" t="s">
        <v>9</v>
      </c>
      <c r="D12" s="62">
        <v>35</v>
      </c>
      <c r="E12" s="63">
        <v>1</v>
      </c>
      <c r="F12" s="60">
        <f t="shared" si="0"/>
        <v>-34</v>
      </c>
      <c r="G12" s="71">
        <f t="shared" si="1"/>
        <v>2.8571428571428571E-2</v>
      </c>
    </row>
    <row r="13" spans="1:13">
      <c r="A13" s="60">
        <v>10</v>
      </c>
      <c r="B13" s="64" t="s">
        <v>328</v>
      </c>
      <c r="C13" s="65" t="s">
        <v>11</v>
      </c>
      <c r="D13" s="65">
        <v>25</v>
      </c>
      <c r="E13" s="63">
        <v>15</v>
      </c>
      <c r="F13" s="60">
        <f t="shared" si="0"/>
        <v>-10</v>
      </c>
      <c r="G13" s="71">
        <f t="shared" si="1"/>
        <v>0.6</v>
      </c>
    </row>
    <row r="14" spans="1:13">
      <c r="A14" s="60">
        <v>11</v>
      </c>
      <c r="B14" s="61" t="s">
        <v>329</v>
      </c>
      <c r="C14" s="65" t="s">
        <v>11</v>
      </c>
      <c r="D14" s="62">
        <v>25</v>
      </c>
      <c r="E14" s="63">
        <v>24</v>
      </c>
      <c r="F14" s="60">
        <f t="shared" si="0"/>
        <v>-1</v>
      </c>
      <c r="G14" s="71">
        <f t="shared" si="1"/>
        <v>0.96</v>
      </c>
    </row>
    <row r="15" spans="1:13">
      <c r="A15" s="60">
        <v>12</v>
      </c>
      <c r="B15" s="64" t="s">
        <v>330</v>
      </c>
      <c r="C15" s="65" t="s">
        <v>11</v>
      </c>
      <c r="D15" s="65">
        <v>25</v>
      </c>
      <c r="E15" s="63">
        <v>16</v>
      </c>
      <c r="F15" s="60">
        <f t="shared" si="0"/>
        <v>-9</v>
      </c>
      <c r="G15" s="71">
        <f t="shared" si="1"/>
        <v>0.64</v>
      </c>
    </row>
    <row r="16" spans="1:13">
      <c r="A16" s="60">
        <v>13</v>
      </c>
      <c r="B16" s="61" t="s">
        <v>331</v>
      </c>
      <c r="C16" s="65" t="s">
        <v>11</v>
      </c>
      <c r="D16" s="62">
        <v>25</v>
      </c>
      <c r="E16" s="63">
        <v>29</v>
      </c>
      <c r="F16" s="60">
        <f t="shared" si="0"/>
        <v>4</v>
      </c>
      <c r="G16" s="71">
        <f t="shared" si="1"/>
        <v>1.1599999999999999</v>
      </c>
    </row>
    <row r="17" spans="1:7">
      <c r="A17" s="60">
        <v>14</v>
      </c>
      <c r="B17" s="69" t="s">
        <v>332</v>
      </c>
      <c r="C17" s="65" t="s">
        <v>11</v>
      </c>
      <c r="D17" s="65">
        <v>25</v>
      </c>
      <c r="E17" s="63">
        <v>7</v>
      </c>
      <c r="F17" s="60">
        <f t="shared" si="0"/>
        <v>-18</v>
      </c>
      <c r="G17" s="71">
        <f t="shared" si="1"/>
        <v>0.28000000000000003</v>
      </c>
    </row>
    <row r="18" spans="1:7">
      <c r="A18" s="60">
        <v>15</v>
      </c>
      <c r="B18" s="61" t="s">
        <v>333</v>
      </c>
      <c r="C18" s="62" t="s">
        <v>9</v>
      </c>
      <c r="D18" s="62">
        <v>35</v>
      </c>
      <c r="E18" s="63">
        <v>1</v>
      </c>
      <c r="F18" s="60">
        <f t="shared" si="0"/>
        <v>-34</v>
      </c>
      <c r="G18" s="71">
        <f t="shared" si="1"/>
        <v>2.8571428571428571E-2</v>
      </c>
    </row>
    <row r="19" spans="1:7">
      <c r="A19" s="60">
        <v>16</v>
      </c>
      <c r="B19" s="64" t="s">
        <v>334</v>
      </c>
      <c r="C19" s="65" t="s">
        <v>11</v>
      </c>
      <c r="D19" s="65">
        <v>25</v>
      </c>
      <c r="E19" s="63">
        <v>2</v>
      </c>
      <c r="F19" s="60">
        <f t="shared" si="0"/>
        <v>-23</v>
      </c>
      <c r="G19" s="71">
        <f t="shared" si="1"/>
        <v>0.08</v>
      </c>
    </row>
    <row r="20" spans="1:7">
      <c r="A20" s="60">
        <v>17</v>
      </c>
      <c r="B20" s="61" t="s">
        <v>335</v>
      </c>
      <c r="C20" s="65" t="s">
        <v>11</v>
      </c>
      <c r="D20" s="62">
        <v>25</v>
      </c>
      <c r="E20" s="63">
        <v>9</v>
      </c>
      <c r="F20" s="60">
        <f t="shared" si="0"/>
        <v>-16</v>
      </c>
      <c r="G20" s="71">
        <f t="shared" si="1"/>
        <v>0.36</v>
      </c>
    </row>
    <row r="21" spans="1:7">
      <c r="A21" s="60">
        <v>18</v>
      </c>
      <c r="B21" s="64" t="s">
        <v>336</v>
      </c>
      <c r="C21" s="65" t="s">
        <v>11</v>
      </c>
      <c r="D21" s="65">
        <v>25</v>
      </c>
      <c r="E21" s="63">
        <v>1</v>
      </c>
      <c r="F21" s="60">
        <f t="shared" si="0"/>
        <v>-24</v>
      </c>
      <c r="G21" s="71">
        <f t="shared" si="1"/>
        <v>0.04</v>
      </c>
    </row>
    <row r="22" spans="1:7">
      <c r="A22" s="60">
        <v>19</v>
      </c>
      <c r="B22" s="61" t="s">
        <v>337</v>
      </c>
      <c r="C22" s="65" t="s">
        <v>11</v>
      </c>
      <c r="D22" s="62">
        <v>25</v>
      </c>
      <c r="E22" s="63">
        <v>2</v>
      </c>
      <c r="F22" s="60">
        <f t="shared" si="0"/>
        <v>-23</v>
      </c>
      <c r="G22" s="71">
        <f t="shared" si="1"/>
        <v>0.08</v>
      </c>
    </row>
    <row r="23" spans="1:7">
      <c r="A23" s="60">
        <v>20</v>
      </c>
      <c r="B23" s="69" t="s">
        <v>338</v>
      </c>
      <c r="C23" s="65" t="s">
        <v>11</v>
      </c>
      <c r="D23" s="65">
        <v>25</v>
      </c>
      <c r="E23" s="63">
        <v>2</v>
      </c>
      <c r="F23" s="60">
        <f t="shared" si="0"/>
        <v>-23</v>
      </c>
      <c r="G23" s="71">
        <f t="shared" si="1"/>
        <v>0.08</v>
      </c>
    </row>
    <row r="24" spans="1:7">
      <c r="A24" s="60"/>
      <c r="B24" s="72" t="s">
        <v>31</v>
      </c>
      <c r="C24" s="72"/>
      <c r="D24" s="72">
        <v>490</v>
      </c>
      <c r="E24" s="72">
        <f>SUM(E4:E23)</f>
        <v>255</v>
      </c>
      <c r="F24" s="72">
        <f t="shared" si="0"/>
        <v>-235</v>
      </c>
      <c r="G24" s="73">
        <f t="shared" si="1"/>
        <v>0.52040816326530615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C0D1-EBFC-4146-9F41-BC180812023C}">
  <dimension ref="A1:M24"/>
  <sheetViews>
    <sheetView workbookViewId="0">
      <selection activeCell="J11" sqref="J11"/>
    </sheetView>
  </sheetViews>
  <sheetFormatPr defaultRowHeight="14.5"/>
  <cols>
    <col min="1" max="1" width="3.7265625" customWidth="1"/>
    <col min="2" max="2" width="30.1796875" customWidth="1"/>
    <col min="7" max="7" width="8.7265625" style="11"/>
    <col min="9" max="9" width="5.6328125" customWidth="1"/>
    <col min="10" max="10" width="14.816406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61" t="s">
        <v>342</v>
      </c>
      <c r="C4" s="62" t="s">
        <v>9</v>
      </c>
      <c r="D4" s="62">
        <v>35</v>
      </c>
      <c r="E4" s="63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64" t="s">
        <v>343</v>
      </c>
      <c r="C5" s="65" t="s">
        <v>11</v>
      </c>
      <c r="D5" s="65">
        <v>25</v>
      </c>
      <c r="E5" s="63">
        <v>30</v>
      </c>
      <c r="F5" s="60">
        <f t="shared" ref="F5:F24" si="0">E5-D5</f>
        <v>5</v>
      </c>
      <c r="G5" s="71">
        <f t="shared" ref="G5:G24" si="1">E5/D5*100%</f>
        <v>1.2</v>
      </c>
      <c r="I5" s="58">
        <v>1</v>
      </c>
      <c r="J5" s="58" t="s">
        <v>362</v>
      </c>
      <c r="K5" s="58">
        <v>190</v>
      </c>
      <c r="L5" s="58">
        <v>138</v>
      </c>
      <c r="M5" s="75">
        <f>L5/K5*100%</f>
        <v>0.72631578947368425</v>
      </c>
    </row>
    <row r="6" spans="1:13">
      <c r="A6" s="60">
        <v>3</v>
      </c>
      <c r="B6" s="61" t="s">
        <v>344</v>
      </c>
      <c r="C6" s="65" t="s">
        <v>11</v>
      </c>
      <c r="D6" s="62">
        <v>25</v>
      </c>
      <c r="E6" s="63">
        <v>6</v>
      </c>
      <c r="F6" s="60">
        <f t="shared" si="0"/>
        <v>-19</v>
      </c>
      <c r="G6" s="71">
        <f t="shared" si="1"/>
        <v>0.24</v>
      </c>
      <c r="I6" s="58">
        <v>2</v>
      </c>
      <c r="J6" s="58" t="s">
        <v>363</v>
      </c>
      <c r="K6" s="58">
        <v>150</v>
      </c>
      <c r="L6" s="58">
        <v>83</v>
      </c>
      <c r="M6" s="75">
        <f t="shared" ref="M6:M7" si="2">L6/K6*100%</f>
        <v>0.55333333333333334</v>
      </c>
    </row>
    <row r="7" spans="1:13">
      <c r="A7" s="60">
        <v>4</v>
      </c>
      <c r="B7" s="64" t="s">
        <v>345</v>
      </c>
      <c r="C7" s="65" t="s">
        <v>11</v>
      </c>
      <c r="D7" s="65">
        <v>25</v>
      </c>
      <c r="E7" s="63">
        <v>29</v>
      </c>
      <c r="F7" s="60">
        <f t="shared" si="0"/>
        <v>4</v>
      </c>
      <c r="G7" s="71">
        <f t="shared" si="1"/>
        <v>1.1599999999999999</v>
      </c>
      <c r="I7" s="58">
        <v>3</v>
      </c>
      <c r="J7" s="58" t="s">
        <v>364</v>
      </c>
      <c r="K7" s="58">
        <v>150</v>
      </c>
      <c r="L7" s="58">
        <v>120</v>
      </c>
      <c r="M7" s="75">
        <f t="shared" si="2"/>
        <v>0.8</v>
      </c>
    </row>
    <row r="8" spans="1:13">
      <c r="A8" s="60">
        <v>5</v>
      </c>
      <c r="B8" s="61" t="s">
        <v>346</v>
      </c>
      <c r="C8" s="65" t="s">
        <v>11</v>
      </c>
      <c r="D8" s="62">
        <v>25</v>
      </c>
      <c r="E8" s="63">
        <v>17</v>
      </c>
      <c r="F8" s="60">
        <f t="shared" si="0"/>
        <v>-8</v>
      </c>
      <c r="G8" s="71">
        <f t="shared" si="1"/>
        <v>0.68</v>
      </c>
    </row>
    <row r="9" spans="1:13">
      <c r="A9" s="60">
        <v>6</v>
      </c>
      <c r="B9" s="69" t="s">
        <v>347</v>
      </c>
      <c r="C9" s="65" t="s">
        <v>11</v>
      </c>
      <c r="D9" s="65">
        <v>25</v>
      </c>
      <c r="E9" s="63">
        <v>25</v>
      </c>
      <c r="F9" s="60">
        <f t="shared" si="0"/>
        <v>0</v>
      </c>
      <c r="G9" s="71">
        <f t="shared" si="1"/>
        <v>1</v>
      </c>
    </row>
    <row r="10" spans="1:13">
      <c r="A10" s="60">
        <v>7</v>
      </c>
      <c r="B10" s="61" t="s">
        <v>348</v>
      </c>
      <c r="C10" s="65" t="s">
        <v>11</v>
      </c>
      <c r="D10" s="68">
        <v>25</v>
      </c>
      <c r="E10" s="63">
        <v>8</v>
      </c>
      <c r="F10" s="60">
        <f t="shared" si="0"/>
        <v>-17</v>
      </c>
      <c r="G10" s="71">
        <f t="shared" si="1"/>
        <v>0.32</v>
      </c>
    </row>
    <row r="11" spans="1:13">
      <c r="A11" s="60">
        <v>8</v>
      </c>
      <c r="B11" s="64" t="s">
        <v>349</v>
      </c>
      <c r="C11" s="65" t="s">
        <v>11</v>
      </c>
      <c r="D11" s="65">
        <v>25</v>
      </c>
      <c r="E11" s="63">
        <v>23</v>
      </c>
      <c r="F11" s="60">
        <f t="shared" si="0"/>
        <v>-2</v>
      </c>
      <c r="G11" s="71">
        <f t="shared" si="1"/>
        <v>0.92</v>
      </c>
    </row>
    <row r="12" spans="1:13">
      <c r="A12" s="60">
        <v>9</v>
      </c>
      <c r="B12" s="61" t="s">
        <v>350</v>
      </c>
      <c r="C12" s="62" t="s">
        <v>9</v>
      </c>
      <c r="D12" s="62">
        <v>35</v>
      </c>
      <c r="E12" s="63">
        <v>0</v>
      </c>
      <c r="F12" s="60">
        <f t="shared" si="0"/>
        <v>-35</v>
      </c>
      <c r="G12" s="71">
        <f t="shared" si="1"/>
        <v>0</v>
      </c>
    </row>
    <row r="13" spans="1:13">
      <c r="A13" s="60">
        <v>10</v>
      </c>
      <c r="B13" s="64" t="s">
        <v>351</v>
      </c>
      <c r="C13" s="65" t="s">
        <v>11</v>
      </c>
      <c r="D13" s="65">
        <v>25</v>
      </c>
      <c r="E13" s="63">
        <v>19</v>
      </c>
      <c r="F13" s="60">
        <f t="shared" si="0"/>
        <v>-6</v>
      </c>
      <c r="G13" s="71">
        <f t="shared" si="1"/>
        <v>0.76</v>
      </c>
    </row>
    <row r="14" spans="1:13">
      <c r="A14" s="60">
        <v>11</v>
      </c>
      <c r="B14" s="61" t="s">
        <v>352</v>
      </c>
      <c r="C14" s="65" t="s">
        <v>11</v>
      </c>
      <c r="D14" s="62">
        <v>25</v>
      </c>
      <c r="E14" s="63">
        <v>24</v>
      </c>
      <c r="F14" s="60">
        <f t="shared" si="0"/>
        <v>-1</v>
      </c>
      <c r="G14" s="71">
        <f t="shared" si="1"/>
        <v>0.96</v>
      </c>
    </row>
    <row r="15" spans="1:13">
      <c r="A15" s="60">
        <v>12</v>
      </c>
      <c r="B15" s="64" t="s">
        <v>353</v>
      </c>
      <c r="C15" s="65" t="s">
        <v>11</v>
      </c>
      <c r="D15" s="65">
        <v>25</v>
      </c>
      <c r="E15" s="63">
        <v>8</v>
      </c>
      <c r="F15" s="60">
        <f t="shared" si="0"/>
        <v>-17</v>
      </c>
      <c r="G15" s="71">
        <f t="shared" si="1"/>
        <v>0.32</v>
      </c>
    </row>
    <row r="16" spans="1:13">
      <c r="A16" s="60">
        <v>13</v>
      </c>
      <c r="B16" s="61" t="s">
        <v>354</v>
      </c>
      <c r="C16" s="65" t="s">
        <v>11</v>
      </c>
      <c r="D16" s="62">
        <v>25</v>
      </c>
      <c r="E16" s="63">
        <v>15</v>
      </c>
      <c r="F16" s="60">
        <f t="shared" si="0"/>
        <v>-10</v>
      </c>
      <c r="G16" s="71">
        <f t="shared" si="1"/>
        <v>0.6</v>
      </c>
    </row>
    <row r="17" spans="1:7">
      <c r="A17" s="60">
        <v>14</v>
      </c>
      <c r="B17" s="69" t="s">
        <v>355</v>
      </c>
      <c r="C17" s="65" t="s">
        <v>11</v>
      </c>
      <c r="D17" s="65">
        <v>25</v>
      </c>
      <c r="E17" s="63">
        <v>17</v>
      </c>
      <c r="F17" s="60">
        <f t="shared" si="0"/>
        <v>-8</v>
      </c>
      <c r="G17" s="71">
        <f t="shared" si="1"/>
        <v>0.68</v>
      </c>
    </row>
    <row r="18" spans="1:7">
      <c r="A18" s="60">
        <v>15</v>
      </c>
      <c r="B18" s="61" t="s">
        <v>356</v>
      </c>
      <c r="C18" s="62" t="s">
        <v>9</v>
      </c>
      <c r="D18" s="62">
        <v>35</v>
      </c>
      <c r="E18" s="63">
        <v>0</v>
      </c>
      <c r="F18" s="60">
        <f t="shared" si="0"/>
        <v>-35</v>
      </c>
      <c r="G18" s="71">
        <f t="shared" si="1"/>
        <v>0</v>
      </c>
    </row>
    <row r="19" spans="1:7">
      <c r="A19" s="60">
        <v>16</v>
      </c>
      <c r="B19" s="64" t="s">
        <v>357</v>
      </c>
      <c r="C19" s="65" t="s">
        <v>11</v>
      </c>
      <c r="D19" s="65">
        <v>25</v>
      </c>
      <c r="E19" s="63">
        <v>36</v>
      </c>
      <c r="F19" s="60">
        <f t="shared" si="0"/>
        <v>11</v>
      </c>
      <c r="G19" s="71">
        <f t="shared" si="1"/>
        <v>1.44</v>
      </c>
    </row>
    <row r="20" spans="1:7">
      <c r="A20" s="60">
        <v>17</v>
      </c>
      <c r="B20" s="61" t="s">
        <v>358</v>
      </c>
      <c r="C20" s="65" t="s">
        <v>11</v>
      </c>
      <c r="D20" s="62">
        <v>25</v>
      </c>
      <c r="E20" s="63">
        <v>18</v>
      </c>
      <c r="F20" s="60">
        <f t="shared" si="0"/>
        <v>-7</v>
      </c>
      <c r="G20" s="71">
        <f t="shared" si="1"/>
        <v>0.72</v>
      </c>
    </row>
    <row r="21" spans="1:7">
      <c r="A21" s="60">
        <v>18</v>
      </c>
      <c r="B21" s="64" t="s">
        <v>359</v>
      </c>
      <c r="C21" s="65" t="s">
        <v>11</v>
      </c>
      <c r="D21" s="65">
        <v>25</v>
      </c>
      <c r="E21" s="63">
        <v>22</v>
      </c>
      <c r="F21" s="60">
        <f t="shared" si="0"/>
        <v>-3</v>
      </c>
      <c r="G21" s="71">
        <f t="shared" si="1"/>
        <v>0.88</v>
      </c>
    </row>
    <row r="22" spans="1:7">
      <c r="A22" s="60">
        <v>19</v>
      </c>
      <c r="B22" s="61" t="s">
        <v>360</v>
      </c>
      <c r="C22" s="65" t="s">
        <v>11</v>
      </c>
      <c r="D22" s="62">
        <v>25</v>
      </c>
      <c r="E22" s="63">
        <v>21</v>
      </c>
      <c r="F22" s="60">
        <f t="shared" si="0"/>
        <v>-4</v>
      </c>
      <c r="G22" s="71">
        <f t="shared" si="1"/>
        <v>0.84</v>
      </c>
    </row>
    <row r="23" spans="1:7">
      <c r="A23" s="60">
        <v>20</v>
      </c>
      <c r="B23" s="69" t="s">
        <v>361</v>
      </c>
      <c r="C23" s="65" t="s">
        <v>11</v>
      </c>
      <c r="D23" s="65">
        <v>25</v>
      </c>
      <c r="E23" s="63">
        <v>23</v>
      </c>
      <c r="F23" s="60">
        <f t="shared" si="0"/>
        <v>-2</v>
      </c>
      <c r="G23" s="71">
        <f t="shared" si="1"/>
        <v>0.92</v>
      </c>
    </row>
    <row r="24" spans="1:7">
      <c r="A24" s="60"/>
      <c r="B24" s="60" t="s">
        <v>31</v>
      </c>
      <c r="C24" s="60"/>
      <c r="D24" s="60">
        <v>490</v>
      </c>
      <c r="E24" s="60">
        <f>SUM(E4:E23)</f>
        <v>341</v>
      </c>
      <c r="F24" s="60">
        <f t="shared" si="0"/>
        <v>-149</v>
      </c>
      <c r="G24" s="71">
        <f t="shared" si="1"/>
        <v>0.69591836734693879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852D-5875-4641-A260-AF50E8D1E33B}">
  <dimension ref="A1:M28"/>
  <sheetViews>
    <sheetView workbookViewId="0">
      <selection activeCell="J5" sqref="J5:M7"/>
    </sheetView>
  </sheetViews>
  <sheetFormatPr defaultRowHeight="14.5"/>
  <cols>
    <col min="1" max="1" width="5.1796875" customWidth="1"/>
    <col min="2" max="2" width="28.81640625" customWidth="1"/>
    <col min="7" max="7" width="8.7265625" style="11"/>
    <col min="9" max="9" width="5.1796875" customWidth="1"/>
    <col min="10" max="10" width="17.816406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76" t="s">
        <v>365</v>
      </c>
      <c r="C4" s="77" t="s">
        <v>9</v>
      </c>
      <c r="D4" s="77">
        <v>35</v>
      </c>
      <c r="E4" s="78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79" t="s">
        <v>366</v>
      </c>
      <c r="C5" s="80" t="s">
        <v>11</v>
      </c>
      <c r="D5" s="80">
        <v>25</v>
      </c>
      <c r="E5" s="78">
        <v>24</v>
      </c>
      <c r="F5" s="60">
        <f t="shared" ref="F5:F28" si="0">E5-D5</f>
        <v>-1</v>
      </c>
      <c r="G5" s="71">
        <f t="shared" ref="G5:G28" si="1">E5/D5*100%</f>
        <v>0.96</v>
      </c>
      <c r="I5" s="58">
        <v>1</v>
      </c>
      <c r="J5" s="58" t="s">
        <v>389</v>
      </c>
      <c r="K5" s="58">
        <v>190</v>
      </c>
      <c r="L5" s="58">
        <v>141</v>
      </c>
      <c r="M5" s="75">
        <f>L5/K5*100%</f>
        <v>0.74210526315789471</v>
      </c>
    </row>
    <row r="6" spans="1:13">
      <c r="A6" s="60">
        <v>3</v>
      </c>
      <c r="B6" s="76" t="s">
        <v>367</v>
      </c>
      <c r="C6" s="80" t="s">
        <v>11</v>
      </c>
      <c r="D6" s="77">
        <v>25</v>
      </c>
      <c r="E6" s="78">
        <v>15</v>
      </c>
      <c r="F6" s="60">
        <f t="shared" si="0"/>
        <v>-10</v>
      </c>
      <c r="G6" s="71">
        <f t="shared" si="1"/>
        <v>0.6</v>
      </c>
      <c r="I6" s="58">
        <v>2</v>
      </c>
      <c r="J6" s="58" t="s">
        <v>390</v>
      </c>
      <c r="K6" s="58">
        <v>190</v>
      </c>
      <c r="L6" s="58">
        <v>123</v>
      </c>
      <c r="M6" s="75">
        <f t="shared" ref="M6:M7" si="2">L6/K6*100%</f>
        <v>0.64736842105263159</v>
      </c>
    </row>
    <row r="7" spans="1:13">
      <c r="A7" s="60">
        <v>4</v>
      </c>
      <c r="B7" s="79" t="s">
        <v>368</v>
      </c>
      <c r="C7" s="80" t="s">
        <v>11</v>
      </c>
      <c r="D7" s="80">
        <v>25</v>
      </c>
      <c r="E7" s="78">
        <v>14</v>
      </c>
      <c r="F7" s="60">
        <f t="shared" si="0"/>
        <v>-11</v>
      </c>
      <c r="G7" s="71">
        <f t="shared" si="1"/>
        <v>0.56000000000000005</v>
      </c>
      <c r="I7" s="58">
        <v>3</v>
      </c>
      <c r="J7" s="58" t="s">
        <v>391</v>
      </c>
      <c r="K7" s="58">
        <v>190</v>
      </c>
      <c r="L7" s="58">
        <v>97</v>
      </c>
      <c r="M7" s="75">
        <f t="shared" si="2"/>
        <v>0.51052631578947372</v>
      </c>
    </row>
    <row r="8" spans="1:13">
      <c r="A8" s="60">
        <v>5</v>
      </c>
      <c r="B8" s="76" t="s">
        <v>369</v>
      </c>
      <c r="C8" s="80" t="s">
        <v>11</v>
      </c>
      <c r="D8" s="77">
        <v>25</v>
      </c>
      <c r="E8" s="78">
        <v>18</v>
      </c>
      <c r="F8" s="60">
        <f t="shared" si="0"/>
        <v>-7</v>
      </c>
      <c r="G8" s="71">
        <f t="shared" si="1"/>
        <v>0.72</v>
      </c>
    </row>
    <row r="9" spans="1:13">
      <c r="A9" s="60">
        <v>6</v>
      </c>
      <c r="B9" s="81" t="s">
        <v>370</v>
      </c>
      <c r="C9" s="80" t="s">
        <v>11</v>
      </c>
      <c r="D9" s="80">
        <v>25</v>
      </c>
      <c r="E9" s="78">
        <v>22</v>
      </c>
      <c r="F9" s="60">
        <f t="shared" si="0"/>
        <v>-3</v>
      </c>
      <c r="G9" s="71">
        <f t="shared" si="1"/>
        <v>0.88</v>
      </c>
    </row>
    <row r="10" spans="1:13">
      <c r="A10" s="60">
        <v>7</v>
      </c>
      <c r="B10" s="66" t="s">
        <v>371</v>
      </c>
      <c r="C10" s="80" t="s">
        <v>11</v>
      </c>
      <c r="D10" s="82">
        <v>25</v>
      </c>
      <c r="E10" s="78">
        <v>20</v>
      </c>
      <c r="F10" s="60">
        <f t="shared" si="0"/>
        <v>-5</v>
      </c>
      <c r="G10" s="71">
        <f t="shared" si="1"/>
        <v>0.8</v>
      </c>
    </row>
    <row r="11" spans="1:13">
      <c r="A11" s="60">
        <v>8</v>
      </c>
      <c r="B11" s="67" t="s">
        <v>372</v>
      </c>
      <c r="C11" s="80" t="s">
        <v>11</v>
      </c>
      <c r="D11" s="80">
        <v>25</v>
      </c>
      <c r="E11" s="78">
        <v>28</v>
      </c>
      <c r="F11" s="60">
        <f t="shared" si="0"/>
        <v>3</v>
      </c>
      <c r="G11" s="71">
        <f t="shared" si="1"/>
        <v>1.1200000000000001</v>
      </c>
    </row>
    <row r="12" spans="1:13">
      <c r="A12" s="60">
        <v>9</v>
      </c>
      <c r="B12" s="76" t="s">
        <v>373</v>
      </c>
      <c r="C12" s="77" t="s">
        <v>9</v>
      </c>
      <c r="D12" s="77">
        <v>35</v>
      </c>
      <c r="E12" s="78">
        <v>0</v>
      </c>
      <c r="F12" s="60">
        <f t="shared" si="0"/>
        <v>-35</v>
      </c>
      <c r="G12" s="71">
        <f t="shared" si="1"/>
        <v>0</v>
      </c>
    </row>
    <row r="13" spans="1:13">
      <c r="A13" s="60">
        <v>10</v>
      </c>
      <c r="B13" s="79" t="s">
        <v>374</v>
      </c>
      <c r="C13" s="80" t="s">
        <v>11</v>
      </c>
      <c r="D13" s="80">
        <v>25</v>
      </c>
      <c r="E13" s="78">
        <v>18</v>
      </c>
      <c r="F13" s="60">
        <f t="shared" si="0"/>
        <v>-7</v>
      </c>
      <c r="G13" s="71">
        <f t="shared" si="1"/>
        <v>0.72</v>
      </c>
    </row>
    <row r="14" spans="1:13">
      <c r="A14" s="60">
        <v>11</v>
      </c>
      <c r="B14" s="76" t="s">
        <v>375</v>
      </c>
      <c r="C14" s="80" t="s">
        <v>11</v>
      </c>
      <c r="D14" s="77">
        <v>25</v>
      </c>
      <c r="E14" s="78">
        <v>30</v>
      </c>
      <c r="F14" s="60">
        <f t="shared" si="0"/>
        <v>5</v>
      </c>
      <c r="G14" s="71">
        <f t="shared" si="1"/>
        <v>1.2</v>
      </c>
    </row>
    <row r="15" spans="1:13">
      <c r="A15" s="60">
        <v>12</v>
      </c>
      <c r="B15" s="79" t="s">
        <v>376</v>
      </c>
      <c r="C15" s="80" t="s">
        <v>11</v>
      </c>
      <c r="D15" s="80">
        <v>25</v>
      </c>
      <c r="E15" s="78">
        <v>38</v>
      </c>
      <c r="F15" s="60">
        <f t="shared" si="0"/>
        <v>13</v>
      </c>
      <c r="G15" s="71">
        <f t="shared" si="1"/>
        <v>1.52</v>
      </c>
    </row>
    <row r="16" spans="1:13">
      <c r="A16" s="60">
        <v>13</v>
      </c>
      <c r="B16" s="76" t="s">
        <v>377</v>
      </c>
      <c r="C16" s="80" t="s">
        <v>11</v>
      </c>
      <c r="D16" s="77">
        <v>25</v>
      </c>
      <c r="E16" s="78">
        <v>18</v>
      </c>
      <c r="F16" s="60">
        <f t="shared" si="0"/>
        <v>-7</v>
      </c>
      <c r="G16" s="71">
        <f t="shared" si="1"/>
        <v>0.72</v>
      </c>
    </row>
    <row r="17" spans="1:7">
      <c r="A17" s="60">
        <v>14</v>
      </c>
      <c r="B17" s="81" t="s">
        <v>378</v>
      </c>
      <c r="C17" s="80" t="s">
        <v>11</v>
      </c>
      <c r="D17" s="80">
        <v>25</v>
      </c>
      <c r="E17" s="78">
        <v>16</v>
      </c>
      <c r="F17" s="60">
        <f t="shared" si="0"/>
        <v>-9</v>
      </c>
      <c r="G17" s="71">
        <f t="shared" si="1"/>
        <v>0.64</v>
      </c>
    </row>
    <row r="18" spans="1:7">
      <c r="A18" s="60">
        <v>15</v>
      </c>
      <c r="B18" s="66" t="s">
        <v>379</v>
      </c>
      <c r="C18" s="80" t="s">
        <v>11</v>
      </c>
      <c r="D18" s="82">
        <v>25</v>
      </c>
      <c r="E18" s="78">
        <v>2</v>
      </c>
      <c r="F18" s="60">
        <f t="shared" si="0"/>
        <v>-23</v>
      </c>
      <c r="G18" s="71">
        <f t="shared" si="1"/>
        <v>0.08</v>
      </c>
    </row>
    <row r="19" spans="1:7">
      <c r="A19" s="60">
        <v>16</v>
      </c>
      <c r="B19" s="67" t="s">
        <v>380</v>
      </c>
      <c r="C19" s="80" t="s">
        <v>11</v>
      </c>
      <c r="D19" s="80">
        <v>25</v>
      </c>
      <c r="E19" s="78">
        <v>1</v>
      </c>
      <c r="F19" s="60">
        <f t="shared" si="0"/>
        <v>-24</v>
      </c>
      <c r="G19" s="71">
        <f t="shared" si="1"/>
        <v>0.04</v>
      </c>
    </row>
    <row r="20" spans="1:7">
      <c r="A20" s="60">
        <v>17</v>
      </c>
      <c r="B20" s="76" t="s">
        <v>381</v>
      </c>
      <c r="C20" s="77" t="s">
        <v>9</v>
      </c>
      <c r="D20" s="77">
        <v>35</v>
      </c>
      <c r="E20" s="78">
        <v>4</v>
      </c>
      <c r="F20" s="60">
        <f t="shared" si="0"/>
        <v>-31</v>
      </c>
      <c r="G20" s="71">
        <f t="shared" si="1"/>
        <v>0.11428571428571428</v>
      </c>
    </row>
    <row r="21" spans="1:7">
      <c r="A21" s="60">
        <v>18</v>
      </c>
      <c r="B21" s="79" t="s">
        <v>382</v>
      </c>
      <c r="C21" s="80" t="s">
        <v>11</v>
      </c>
      <c r="D21" s="80">
        <v>25</v>
      </c>
      <c r="E21" s="78">
        <v>18</v>
      </c>
      <c r="F21" s="60">
        <f t="shared" si="0"/>
        <v>-7</v>
      </c>
      <c r="G21" s="71">
        <f t="shared" si="1"/>
        <v>0.72</v>
      </c>
    </row>
    <row r="22" spans="1:7">
      <c r="A22" s="60">
        <v>19</v>
      </c>
      <c r="B22" s="76" t="s">
        <v>383</v>
      </c>
      <c r="C22" s="80" t="s">
        <v>11</v>
      </c>
      <c r="D22" s="77">
        <v>25</v>
      </c>
      <c r="E22" s="78">
        <v>15</v>
      </c>
      <c r="F22" s="60">
        <f t="shared" si="0"/>
        <v>-10</v>
      </c>
      <c r="G22" s="71">
        <f t="shared" si="1"/>
        <v>0.6</v>
      </c>
    </row>
    <row r="23" spans="1:7">
      <c r="A23" s="60">
        <v>20</v>
      </c>
      <c r="B23" s="79" t="s">
        <v>384</v>
      </c>
      <c r="C23" s="80" t="s">
        <v>11</v>
      </c>
      <c r="D23" s="80">
        <v>25</v>
      </c>
      <c r="E23" s="78">
        <v>14</v>
      </c>
      <c r="F23" s="60">
        <f t="shared" si="0"/>
        <v>-11</v>
      </c>
      <c r="G23" s="71">
        <f t="shared" si="1"/>
        <v>0.56000000000000005</v>
      </c>
    </row>
    <row r="24" spans="1:7">
      <c r="A24" s="60">
        <v>21</v>
      </c>
      <c r="B24" s="76" t="s">
        <v>385</v>
      </c>
      <c r="C24" s="80" t="s">
        <v>11</v>
      </c>
      <c r="D24" s="77">
        <v>25</v>
      </c>
      <c r="E24" s="78">
        <v>24</v>
      </c>
      <c r="F24" s="60">
        <f t="shared" si="0"/>
        <v>-1</v>
      </c>
      <c r="G24" s="71">
        <f t="shared" si="1"/>
        <v>0.96</v>
      </c>
    </row>
    <row r="25" spans="1:7">
      <c r="A25" s="60">
        <v>22</v>
      </c>
      <c r="B25" s="81" t="s">
        <v>386</v>
      </c>
      <c r="C25" s="80" t="s">
        <v>11</v>
      </c>
      <c r="D25" s="80">
        <v>25</v>
      </c>
      <c r="E25" s="78">
        <v>20</v>
      </c>
      <c r="F25" s="60">
        <f t="shared" si="0"/>
        <v>-5</v>
      </c>
      <c r="G25" s="71">
        <f t="shared" si="1"/>
        <v>0.8</v>
      </c>
    </row>
    <row r="26" spans="1:7">
      <c r="A26" s="60">
        <v>23</v>
      </c>
      <c r="B26" s="66" t="s">
        <v>387</v>
      </c>
      <c r="C26" s="80" t="s">
        <v>11</v>
      </c>
      <c r="D26" s="82">
        <v>25</v>
      </c>
      <c r="E26" s="78">
        <v>0</v>
      </c>
      <c r="F26" s="60">
        <f t="shared" si="0"/>
        <v>-25</v>
      </c>
      <c r="G26" s="71">
        <f t="shared" si="1"/>
        <v>0</v>
      </c>
    </row>
    <row r="27" spans="1:7">
      <c r="A27" s="60">
        <v>24</v>
      </c>
      <c r="B27" s="67" t="s">
        <v>388</v>
      </c>
      <c r="C27" s="80" t="s">
        <v>11</v>
      </c>
      <c r="D27" s="80">
        <v>25</v>
      </c>
      <c r="E27" s="78">
        <v>2</v>
      </c>
      <c r="F27" s="60">
        <f t="shared" si="0"/>
        <v>-23</v>
      </c>
      <c r="G27" s="71">
        <f t="shared" si="1"/>
        <v>0.08</v>
      </c>
    </row>
    <row r="28" spans="1:7">
      <c r="A28" s="60"/>
      <c r="B28" s="60" t="s">
        <v>31</v>
      </c>
      <c r="C28" s="60"/>
      <c r="D28" s="60">
        <v>570</v>
      </c>
      <c r="E28" s="60">
        <f>SUM(E4:E27)</f>
        <v>361</v>
      </c>
      <c r="F28" s="60">
        <f t="shared" si="0"/>
        <v>-209</v>
      </c>
      <c r="G28" s="71">
        <f t="shared" si="1"/>
        <v>0.6333333333333333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2C27-DA7C-46A0-9303-F728D0195A53}">
  <dimension ref="A1:M29"/>
  <sheetViews>
    <sheetView workbookViewId="0">
      <selection activeCell="J5" sqref="J5:M8"/>
    </sheetView>
  </sheetViews>
  <sheetFormatPr defaultRowHeight="14.5"/>
  <cols>
    <col min="1" max="1" width="4.90625" customWidth="1"/>
    <col min="2" max="2" width="20.7265625" customWidth="1"/>
    <col min="7" max="7" width="8.7265625" style="11"/>
    <col min="9" max="9" width="5.6328125" customWidth="1"/>
    <col min="10" max="10" width="21.906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07"/>
      <c r="B3" s="208"/>
      <c r="C3" s="212"/>
      <c r="D3" s="212"/>
      <c r="E3" s="212"/>
      <c r="F3" s="212"/>
      <c r="G3" s="214"/>
    </row>
    <row r="4" spans="1:13">
      <c r="A4" s="60">
        <v>1</v>
      </c>
      <c r="B4" s="61" t="s">
        <v>392</v>
      </c>
      <c r="C4" s="62" t="s">
        <v>9</v>
      </c>
      <c r="D4" s="62">
        <v>35</v>
      </c>
      <c r="E4" s="63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64" t="s">
        <v>393</v>
      </c>
      <c r="C5" s="65" t="s">
        <v>11</v>
      </c>
      <c r="D5" s="65">
        <v>25</v>
      </c>
      <c r="E5" s="63">
        <v>39</v>
      </c>
      <c r="F5" s="60">
        <f t="shared" ref="F5:F29" si="0">E5-D5</f>
        <v>14</v>
      </c>
      <c r="G5" s="71">
        <f t="shared" ref="G5:G29" si="1">E5/D5*100%</f>
        <v>1.56</v>
      </c>
      <c r="I5" s="58">
        <v>1</v>
      </c>
      <c r="J5" s="58" t="s">
        <v>417</v>
      </c>
      <c r="K5" s="58">
        <v>150</v>
      </c>
      <c r="L5" s="58">
        <v>116</v>
      </c>
      <c r="M5" s="75">
        <f>L5/K5*100%</f>
        <v>0.77333333333333332</v>
      </c>
    </row>
    <row r="6" spans="1:13">
      <c r="A6" s="60">
        <v>3</v>
      </c>
      <c r="B6" s="61" t="s">
        <v>394</v>
      </c>
      <c r="C6" s="65" t="s">
        <v>11</v>
      </c>
      <c r="D6" s="62">
        <v>25</v>
      </c>
      <c r="E6" s="63">
        <v>31</v>
      </c>
      <c r="F6" s="60">
        <f t="shared" si="0"/>
        <v>6</v>
      </c>
      <c r="G6" s="71">
        <f t="shared" si="1"/>
        <v>1.24</v>
      </c>
      <c r="I6" s="58">
        <v>2</v>
      </c>
      <c r="J6" s="58" t="s">
        <v>418</v>
      </c>
      <c r="K6" s="58">
        <v>150</v>
      </c>
      <c r="L6" s="58">
        <v>115</v>
      </c>
      <c r="M6" s="75">
        <f t="shared" ref="M6:M8" si="2">L6/K6*100%</f>
        <v>0.76666666666666672</v>
      </c>
    </row>
    <row r="7" spans="1:13">
      <c r="A7" s="60">
        <v>4</v>
      </c>
      <c r="B7" s="64" t="s">
        <v>395</v>
      </c>
      <c r="C7" s="65" t="s">
        <v>11</v>
      </c>
      <c r="D7" s="65">
        <v>25</v>
      </c>
      <c r="E7" s="63">
        <v>22</v>
      </c>
      <c r="F7" s="60">
        <f t="shared" si="0"/>
        <v>-3</v>
      </c>
      <c r="G7" s="71">
        <f t="shared" si="1"/>
        <v>0.88</v>
      </c>
      <c r="I7" s="58">
        <v>3</v>
      </c>
      <c r="J7" s="58" t="s">
        <v>419</v>
      </c>
      <c r="K7" s="58">
        <v>150</v>
      </c>
      <c r="L7" s="58">
        <v>96</v>
      </c>
      <c r="M7" s="75">
        <f t="shared" si="2"/>
        <v>0.64</v>
      </c>
    </row>
    <row r="8" spans="1:13">
      <c r="A8" s="60">
        <v>5</v>
      </c>
      <c r="B8" s="61" t="s">
        <v>396</v>
      </c>
      <c r="C8" s="65" t="s">
        <v>11</v>
      </c>
      <c r="D8" s="62">
        <v>25</v>
      </c>
      <c r="E8" s="63">
        <v>10</v>
      </c>
      <c r="F8" s="60">
        <f t="shared" si="0"/>
        <v>-15</v>
      </c>
      <c r="G8" s="71">
        <f t="shared" si="1"/>
        <v>0.4</v>
      </c>
      <c r="I8" s="58">
        <v>4</v>
      </c>
      <c r="J8" s="58" t="s">
        <v>420</v>
      </c>
      <c r="K8" s="58">
        <v>150</v>
      </c>
      <c r="L8" s="58">
        <v>113</v>
      </c>
      <c r="M8" s="75">
        <f t="shared" si="2"/>
        <v>0.7533333333333333</v>
      </c>
    </row>
    <row r="9" spans="1:13">
      <c r="A9" s="60">
        <v>6</v>
      </c>
      <c r="B9" s="69" t="s">
        <v>397</v>
      </c>
      <c r="C9" s="65" t="s">
        <v>11</v>
      </c>
      <c r="D9" s="65">
        <v>25</v>
      </c>
      <c r="E9" s="83">
        <v>14</v>
      </c>
      <c r="F9" s="60">
        <f t="shared" si="0"/>
        <v>-11</v>
      </c>
      <c r="G9" s="71">
        <f t="shared" si="1"/>
        <v>0.56000000000000005</v>
      </c>
    </row>
    <row r="10" spans="1:13">
      <c r="A10" s="60">
        <v>7</v>
      </c>
      <c r="B10" s="61" t="s">
        <v>398</v>
      </c>
      <c r="C10" s="62" t="s">
        <v>9</v>
      </c>
      <c r="D10" s="62">
        <v>25</v>
      </c>
      <c r="E10" s="63">
        <v>0</v>
      </c>
      <c r="F10" s="60">
        <f t="shared" si="0"/>
        <v>-25</v>
      </c>
      <c r="G10" s="71">
        <f t="shared" si="1"/>
        <v>0</v>
      </c>
    </row>
    <row r="11" spans="1:13">
      <c r="A11" s="60">
        <v>8</v>
      </c>
      <c r="B11" s="64" t="s">
        <v>399</v>
      </c>
      <c r="C11" s="65" t="s">
        <v>11</v>
      </c>
      <c r="D11" s="65">
        <v>25</v>
      </c>
      <c r="E11" s="63">
        <v>25</v>
      </c>
      <c r="F11" s="60">
        <f t="shared" si="0"/>
        <v>0</v>
      </c>
      <c r="G11" s="71">
        <f t="shared" si="1"/>
        <v>1</v>
      </c>
    </row>
    <row r="12" spans="1:13">
      <c r="A12" s="60">
        <v>9</v>
      </c>
      <c r="B12" s="61" t="s">
        <v>400</v>
      </c>
      <c r="C12" s="65" t="s">
        <v>11</v>
      </c>
      <c r="D12" s="62">
        <v>25</v>
      </c>
      <c r="E12" s="63">
        <v>50</v>
      </c>
      <c r="F12" s="60">
        <f t="shared" si="0"/>
        <v>25</v>
      </c>
      <c r="G12" s="71">
        <f t="shared" si="1"/>
        <v>2</v>
      </c>
    </row>
    <row r="13" spans="1:13">
      <c r="A13" s="60">
        <v>10</v>
      </c>
      <c r="B13" s="69" t="s">
        <v>401</v>
      </c>
      <c r="C13" s="65" t="s">
        <v>11</v>
      </c>
      <c r="D13" s="65">
        <v>25</v>
      </c>
      <c r="E13" s="83">
        <v>26</v>
      </c>
      <c r="F13" s="60">
        <f t="shared" si="0"/>
        <v>1</v>
      </c>
      <c r="G13" s="71">
        <f t="shared" si="1"/>
        <v>1.04</v>
      </c>
    </row>
    <row r="14" spans="1:13">
      <c r="A14" s="60">
        <v>11</v>
      </c>
      <c r="B14" s="61" t="s">
        <v>402</v>
      </c>
      <c r="C14" s="65" t="s">
        <v>11</v>
      </c>
      <c r="D14" s="62">
        <v>25</v>
      </c>
      <c r="E14" s="83">
        <v>8</v>
      </c>
      <c r="F14" s="60">
        <f t="shared" si="0"/>
        <v>-17</v>
      </c>
      <c r="G14" s="71">
        <f t="shared" si="1"/>
        <v>0.32</v>
      </c>
    </row>
    <row r="15" spans="1:13">
      <c r="A15" s="60">
        <v>12</v>
      </c>
      <c r="B15" s="69" t="s">
        <v>403</v>
      </c>
      <c r="C15" s="65" t="s">
        <v>11</v>
      </c>
      <c r="D15" s="65">
        <v>25</v>
      </c>
      <c r="E15" s="83">
        <v>5</v>
      </c>
      <c r="F15" s="60">
        <f t="shared" si="0"/>
        <v>-20</v>
      </c>
      <c r="G15" s="71">
        <f t="shared" si="1"/>
        <v>0.2</v>
      </c>
    </row>
    <row r="16" spans="1:13">
      <c r="A16" s="60">
        <v>13</v>
      </c>
      <c r="B16" s="84" t="s">
        <v>404</v>
      </c>
      <c r="C16" s="65" t="s">
        <v>11</v>
      </c>
      <c r="D16" s="68">
        <v>25</v>
      </c>
      <c r="E16" s="63">
        <v>1</v>
      </c>
      <c r="F16" s="60">
        <f t="shared" si="0"/>
        <v>-24</v>
      </c>
      <c r="G16" s="71">
        <f t="shared" si="1"/>
        <v>0.04</v>
      </c>
    </row>
    <row r="17" spans="1:8">
      <c r="A17" s="60">
        <v>14</v>
      </c>
      <c r="B17" s="61" t="s">
        <v>405</v>
      </c>
      <c r="C17" s="62" t="s">
        <v>9</v>
      </c>
      <c r="D17" s="62">
        <v>35</v>
      </c>
      <c r="E17" s="63">
        <v>0</v>
      </c>
      <c r="F17" s="60">
        <f t="shared" si="0"/>
        <v>-35</v>
      </c>
      <c r="G17" s="71">
        <f t="shared" si="1"/>
        <v>0</v>
      </c>
    </row>
    <row r="18" spans="1:8">
      <c r="A18" s="60">
        <v>15</v>
      </c>
      <c r="B18" s="64" t="s">
        <v>406</v>
      </c>
      <c r="C18" s="65" t="s">
        <v>11</v>
      </c>
      <c r="D18" s="65">
        <v>25</v>
      </c>
      <c r="E18" s="63">
        <v>21</v>
      </c>
      <c r="F18" s="60">
        <f t="shared" si="0"/>
        <v>-4</v>
      </c>
      <c r="G18" s="71">
        <f t="shared" si="1"/>
        <v>0.84</v>
      </c>
    </row>
    <row r="19" spans="1:8">
      <c r="A19" s="60">
        <v>16</v>
      </c>
      <c r="B19" s="69" t="s">
        <v>407</v>
      </c>
      <c r="C19" s="65" t="s">
        <v>11</v>
      </c>
      <c r="D19" s="65">
        <v>25</v>
      </c>
      <c r="E19" s="83">
        <v>29</v>
      </c>
      <c r="F19" s="60">
        <f t="shared" si="0"/>
        <v>4</v>
      </c>
      <c r="G19" s="71">
        <f t="shared" si="1"/>
        <v>1.1599999999999999</v>
      </c>
    </row>
    <row r="20" spans="1:8">
      <c r="A20" s="60">
        <v>17</v>
      </c>
      <c r="B20" s="64" t="s">
        <v>408</v>
      </c>
      <c r="C20" s="65" t="s">
        <v>11</v>
      </c>
      <c r="D20" s="65">
        <v>25</v>
      </c>
      <c r="E20" s="63">
        <v>11</v>
      </c>
      <c r="F20" s="60">
        <f t="shared" si="0"/>
        <v>-14</v>
      </c>
      <c r="G20" s="71">
        <f t="shared" si="1"/>
        <v>0.44</v>
      </c>
    </row>
    <row r="21" spans="1:8">
      <c r="A21" s="60">
        <v>18</v>
      </c>
      <c r="B21" s="61" t="s">
        <v>409</v>
      </c>
      <c r="C21" s="65" t="s">
        <v>11</v>
      </c>
      <c r="D21" s="62">
        <v>25</v>
      </c>
      <c r="E21" s="63">
        <v>34</v>
      </c>
      <c r="F21" s="60">
        <f t="shared" si="0"/>
        <v>9</v>
      </c>
      <c r="G21" s="71">
        <f t="shared" si="1"/>
        <v>1.36</v>
      </c>
    </row>
    <row r="22" spans="1:8">
      <c r="A22" s="60">
        <v>19</v>
      </c>
      <c r="B22" s="69" t="s">
        <v>410</v>
      </c>
      <c r="C22" s="65" t="s">
        <v>11</v>
      </c>
      <c r="D22" s="65">
        <v>25</v>
      </c>
      <c r="E22" s="63">
        <v>1</v>
      </c>
      <c r="F22" s="60">
        <f t="shared" si="0"/>
        <v>-24</v>
      </c>
      <c r="G22" s="71">
        <f t="shared" si="1"/>
        <v>0.04</v>
      </c>
    </row>
    <row r="23" spans="1:8">
      <c r="A23" s="60">
        <v>20</v>
      </c>
      <c r="B23" s="61" t="s">
        <v>411</v>
      </c>
      <c r="C23" s="62" t="s">
        <v>9</v>
      </c>
      <c r="D23" s="62">
        <v>35</v>
      </c>
      <c r="E23" s="63">
        <v>0</v>
      </c>
      <c r="F23" s="60">
        <f t="shared" si="0"/>
        <v>-35</v>
      </c>
      <c r="G23" s="71">
        <f t="shared" si="1"/>
        <v>0</v>
      </c>
    </row>
    <row r="24" spans="1:8">
      <c r="A24" s="60">
        <v>21</v>
      </c>
      <c r="B24" s="64" t="s">
        <v>412</v>
      </c>
      <c r="C24" s="65" t="s">
        <v>11</v>
      </c>
      <c r="D24" s="65">
        <v>25</v>
      </c>
      <c r="E24" s="63">
        <v>25</v>
      </c>
      <c r="F24" s="60">
        <f t="shared" si="0"/>
        <v>0</v>
      </c>
      <c r="G24" s="71">
        <f t="shared" si="1"/>
        <v>1</v>
      </c>
    </row>
    <row r="25" spans="1:8">
      <c r="A25" s="60">
        <v>22</v>
      </c>
      <c r="B25" s="61" t="s">
        <v>413</v>
      </c>
      <c r="C25" s="65" t="s">
        <v>11</v>
      </c>
      <c r="D25" s="62">
        <v>25</v>
      </c>
      <c r="E25" s="63">
        <v>15</v>
      </c>
      <c r="F25" s="60">
        <f t="shared" si="0"/>
        <v>-10</v>
      </c>
      <c r="G25" s="71">
        <f t="shared" si="1"/>
        <v>0.6</v>
      </c>
    </row>
    <row r="26" spans="1:8">
      <c r="A26" s="60">
        <v>23</v>
      </c>
      <c r="B26" s="64" t="s">
        <v>414</v>
      </c>
      <c r="C26" s="65" t="s">
        <v>11</v>
      </c>
      <c r="D26" s="65">
        <v>25</v>
      </c>
      <c r="E26" s="63">
        <v>10</v>
      </c>
      <c r="F26" s="60">
        <f t="shared" si="0"/>
        <v>-15</v>
      </c>
      <c r="G26" s="71">
        <f t="shared" si="1"/>
        <v>0.4</v>
      </c>
    </row>
    <row r="27" spans="1:8">
      <c r="A27" s="60">
        <v>24</v>
      </c>
      <c r="B27" s="69" t="s">
        <v>415</v>
      </c>
      <c r="C27" s="65" t="s">
        <v>11</v>
      </c>
      <c r="D27" s="65">
        <v>25</v>
      </c>
      <c r="E27" s="83">
        <v>55</v>
      </c>
      <c r="F27" s="60">
        <f t="shared" si="0"/>
        <v>30</v>
      </c>
      <c r="G27" s="71">
        <f t="shared" si="1"/>
        <v>2.2000000000000002</v>
      </c>
    </row>
    <row r="28" spans="1:8">
      <c r="A28" s="60">
        <v>25</v>
      </c>
      <c r="B28" s="69" t="s">
        <v>416</v>
      </c>
      <c r="C28" s="65" t="s">
        <v>11</v>
      </c>
      <c r="D28" s="65">
        <v>25</v>
      </c>
      <c r="E28" s="63">
        <v>8</v>
      </c>
      <c r="F28" s="60">
        <f t="shared" si="0"/>
        <v>-17</v>
      </c>
      <c r="G28" s="71">
        <f t="shared" si="1"/>
        <v>0.32</v>
      </c>
    </row>
    <row r="29" spans="1:8">
      <c r="A29" s="72"/>
      <c r="B29" s="72" t="s">
        <v>31</v>
      </c>
      <c r="C29" s="72"/>
      <c r="D29" s="72">
        <v>600</v>
      </c>
      <c r="E29" s="72">
        <f>SUM(E4:E28)</f>
        <v>440</v>
      </c>
      <c r="F29" s="72">
        <f t="shared" si="0"/>
        <v>-160</v>
      </c>
      <c r="G29" s="73">
        <f t="shared" si="1"/>
        <v>0.73333333333333328</v>
      </c>
      <c r="H29" s="57"/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213C-F5D9-44F0-A89C-683919C6414E}">
  <dimension ref="A1:G10"/>
  <sheetViews>
    <sheetView topLeftCell="B1" workbookViewId="0">
      <selection activeCell="C13" sqref="C13"/>
    </sheetView>
  </sheetViews>
  <sheetFormatPr defaultRowHeight="14.5"/>
  <cols>
    <col min="1" max="1" width="4" customWidth="1"/>
    <col min="2" max="2" width="26.269531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07"/>
      <c r="B3" s="208"/>
      <c r="C3" s="212"/>
      <c r="D3" s="212"/>
      <c r="E3" s="212"/>
      <c r="F3" s="212"/>
      <c r="G3" s="214"/>
    </row>
    <row r="4" spans="1:7">
      <c r="A4" s="60">
        <v>1</v>
      </c>
      <c r="B4" s="76" t="s">
        <v>421</v>
      </c>
      <c r="C4" s="77" t="s">
        <v>9</v>
      </c>
      <c r="D4" s="77">
        <v>35</v>
      </c>
      <c r="E4" s="78">
        <v>0</v>
      </c>
      <c r="F4" s="60">
        <f>E4-D4</f>
        <v>-35</v>
      </c>
      <c r="G4" s="71">
        <f>E4/D4*100%</f>
        <v>0</v>
      </c>
    </row>
    <row r="5" spans="1:7">
      <c r="A5" s="60">
        <v>2</v>
      </c>
      <c r="B5" s="79" t="s">
        <v>422</v>
      </c>
      <c r="C5" s="80" t="s">
        <v>11</v>
      </c>
      <c r="D5" s="80">
        <v>25</v>
      </c>
      <c r="E5" s="78">
        <v>26</v>
      </c>
      <c r="F5" s="60">
        <f t="shared" ref="F5:F10" si="0">E5-D5</f>
        <v>1</v>
      </c>
      <c r="G5" s="71">
        <f t="shared" ref="G5:G10" si="1">E5/D5*100%</f>
        <v>1.04</v>
      </c>
    </row>
    <row r="6" spans="1:7">
      <c r="A6" s="60">
        <v>3</v>
      </c>
      <c r="B6" s="76" t="s">
        <v>423</v>
      </c>
      <c r="C6" s="80" t="s">
        <v>11</v>
      </c>
      <c r="D6" s="77">
        <v>25</v>
      </c>
      <c r="E6" s="78">
        <v>21</v>
      </c>
      <c r="F6" s="60">
        <f t="shared" si="0"/>
        <v>-4</v>
      </c>
      <c r="G6" s="71">
        <f t="shared" si="1"/>
        <v>0.84</v>
      </c>
    </row>
    <row r="7" spans="1:7">
      <c r="A7" s="60">
        <v>4</v>
      </c>
      <c r="B7" s="79" t="s">
        <v>424</v>
      </c>
      <c r="C7" s="80" t="s">
        <v>11</v>
      </c>
      <c r="D7" s="80">
        <v>25</v>
      </c>
      <c r="E7" s="78">
        <v>16</v>
      </c>
      <c r="F7" s="60">
        <f t="shared" si="0"/>
        <v>-9</v>
      </c>
      <c r="G7" s="71">
        <f t="shared" si="1"/>
        <v>0.64</v>
      </c>
    </row>
    <row r="8" spans="1:7">
      <c r="A8" s="60">
        <v>5</v>
      </c>
      <c r="B8" s="76" t="s">
        <v>425</v>
      </c>
      <c r="C8" s="80" t="s">
        <v>11</v>
      </c>
      <c r="D8" s="77">
        <v>25</v>
      </c>
      <c r="E8" s="78">
        <v>10</v>
      </c>
      <c r="F8" s="60">
        <f t="shared" si="0"/>
        <v>-15</v>
      </c>
      <c r="G8" s="71">
        <f t="shared" si="1"/>
        <v>0.4</v>
      </c>
    </row>
    <row r="9" spans="1:7">
      <c r="A9" s="60">
        <v>6</v>
      </c>
      <c r="B9" s="81" t="s">
        <v>426</v>
      </c>
      <c r="C9" s="80" t="s">
        <v>11</v>
      </c>
      <c r="D9" s="80">
        <v>25</v>
      </c>
      <c r="E9" s="78">
        <v>2</v>
      </c>
      <c r="F9" s="60">
        <f t="shared" si="0"/>
        <v>-23</v>
      </c>
      <c r="G9" s="71">
        <f t="shared" si="1"/>
        <v>0.08</v>
      </c>
    </row>
    <row r="10" spans="1:7">
      <c r="A10" s="60"/>
      <c r="B10" s="60" t="s">
        <v>31</v>
      </c>
      <c r="C10" s="60"/>
      <c r="D10" s="60">
        <v>150</v>
      </c>
      <c r="E10" s="60">
        <f>SUM(E4:E9)</f>
        <v>75</v>
      </c>
      <c r="F10" s="60">
        <f t="shared" si="0"/>
        <v>-75</v>
      </c>
      <c r="G10" s="71">
        <f t="shared" si="1"/>
        <v>0.5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94E4-340B-47B7-96A6-E3140DA7F2FF}">
  <dimension ref="A1:M58"/>
  <sheetViews>
    <sheetView workbookViewId="0">
      <selection activeCell="J5" sqref="J5:M12"/>
    </sheetView>
  </sheetViews>
  <sheetFormatPr defaultRowHeight="14.5"/>
  <cols>
    <col min="1" max="1" width="3.6328125" customWidth="1"/>
    <col min="2" max="2" width="41.90625" customWidth="1"/>
    <col min="7" max="7" width="8.7265625" style="11"/>
    <col min="9" max="9" width="4.7265625" customWidth="1"/>
    <col min="10" max="10" width="26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53" t="s">
        <v>662</v>
      </c>
      <c r="C4" s="154" t="s">
        <v>9</v>
      </c>
      <c r="D4" s="154">
        <v>35</v>
      </c>
      <c r="E4" s="154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55" t="s">
        <v>663</v>
      </c>
      <c r="C5" s="154" t="s">
        <v>11</v>
      </c>
      <c r="D5" s="154">
        <v>25</v>
      </c>
      <c r="E5" s="154">
        <v>32</v>
      </c>
      <c r="F5" s="60">
        <f t="shared" ref="F5:F58" si="0">E5-D5</f>
        <v>7</v>
      </c>
      <c r="G5" s="71">
        <f t="shared" ref="G5:G58" si="1">E5/D5*100%</f>
        <v>1.28</v>
      </c>
      <c r="I5" s="58">
        <v>1</v>
      </c>
      <c r="J5" s="58" t="s">
        <v>716</v>
      </c>
      <c r="K5" s="58">
        <v>190</v>
      </c>
      <c r="L5" s="58">
        <v>144</v>
      </c>
      <c r="M5" s="75">
        <f>L5/K5*100%</f>
        <v>0.75789473684210529</v>
      </c>
    </row>
    <row r="6" spans="1:13">
      <c r="A6" s="60">
        <v>3</v>
      </c>
      <c r="B6" s="156" t="s">
        <v>664</v>
      </c>
      <c r="C6" s="154" t="s">
        <v>11</v>
      </c>
      <c r="D6" s="154">
        <v>25</v>
      </c>
      <c r="E6" s="154">
        <v>22</v>
      </c>
      <c r="F6" s="60">
        <f t="shared" si="0"/>
        <v>-3</v>
      </c>
      <c r="G6" s="71">
        <f t="shared" si="1"/>
        <v>0.88</v>
      </c>
      <c r="I6" s="58">
        <v>2</v>
      </c>
      <c r="J6" s="58" t="s">
        <v>717</v>
      </c>
      <c r="K6" s="58">
        <v>190</v>
      </c>
      <c r="L6" s="58">
        <v>98</v>
      </c>
      <c r="M6" s="75">
        <f t="shared" ref="M6:M12" si="2">L6/K6*100%</f>
        <v>0.51578947368421058</v>
      </c>
    </row>
    <row r="7" spans="1:13">
      <c r="A7" s="60">
        <v>4</v>
      </c>
      <c r="B7" s="155" t="s">
        <v>665</v>
      </c>
      <c r="C7" s="154" t="s">
        <v>11</v>
      </c>
      <c r="D7" s="154">
        <v>25</v>
      </c>
      <c r="E7" s="154">
        <v>30</v>
      </c>
      <c r="F7" s="60">
        <f t="shared" si="0"/>
        <v>5</v>
      </c>
      <c r="G7" s="71">
        <f t="shared" si="1"/>
        <v>1.2</v>
      </c>
      <c r="I7" s="58">
        <v>3</v>
      </c>
      <c r="J7" s="58" t="s">
        <v>677</v>
      </c>
      <c r="K7" s="58">
        <v>150</v>
      </c>
      <c r="L7" s="58">
        <v>117</v>
      </c>
      <c r="M7" s="75">
        <f t="shared" si="2"/>
        <v>0.78</v>
      </c>
    </row>
    <row r="8" spans="1:13">
      <c r="A8" s="60">
        <v>5</v>
      </c>
      <c r="B8" s="156" t="s">
        <v>666</v>
      </c>
      <c r="C8" s="154" t="s">
        <v>11</v>
      </c>
      <c r="D8" s="154">
        <v>25</v>
      </c>
      <c r="E8" s="154">
        <v>16</v>
      </c>
      <c r="F8" s="60">
        <f t="shared" si="0"/>
        <v>-9</v>
      </c>
      <c r="G8" s="71">
        <f t="shared" si="1"/>
        <v>0.64</v>
      </c>
      <c r="I8" s="58">
        <v>4</v>
      </c>
      <c r="J8" s="58" t="s">
        <v>718</v>
      </c>
      <c r="K8" s="58">
        <v>150</v>
      </c>
      <c r="L8" s="58">
        <v>150</v>
      </c>
      <c r="M8" s="75">
        <f t="shared" si="2"/>
        <v>1</v>
      </c>
    </row>
    <row r="9" spans="1:13">
      <c r="A9" s="60">
        <v>6</v>
      </c>
      <c r="B9" s="156" t="s">
        <v>667</v>
      </c>
      <c r="C9" s="154" t="s">
        <v>11</v>
      </c>
      <c r="D9" s="154">
        <v>25</v>
      </c>
      <c r="E9" s="154">
        <v>21</v>
      </c>
      <c r="F9" s="60">
        <f t="shared" si="0"/>
        <v>-4</v>
      </c>
      <c r="G9" s="71">
        <f t="shared" si="1"/>
        <v>0.84</v>
      </c>
      <c r="I9" s="58">
        <v>5</v>
      </c>
      <c r="J9" s="58" t="s">
        <v>719</v>
      </c>
      <c r="K9" s="58">
        <v>150</v>
      </c>
      <c r="L9" s="58">
        <v>113</v>
      </c>
      <c r="M9" s="75">
        <f t="shared" si="2"/>
        <v>0.7533333333333333</v>
      </c>
    </row>
    <row r="10" spans="1:13" ht="15.5">
      <c r="A10" s="60">
        <v>7</v>
      </c>
      <c r="B10" s="157" t="s">
        <v>668</v>
      </c>
      <c r="C10" s="154" t="s">
        <v>11</v>
      </c>
      <c r="D10" s="154">
        <v>25</v>
      </c>
      <c r="E10" s="154">
        <v>14</v>
      </c>
      <c r="F10" s="60">
        <f t="shared" si="0"/>
        <v>-11</v>
      </c>
      <c r="G10" s="71">
        <f t="shared" si="1"/>
        <v>0.56000000000000005</v>
      </c>
      <c r="I10" s="58">
        <v>6</v>
      </c>
      <c r="J10" s="58" t="s">
        <v>720</v>
      </c>
      <c r="K10" s="58">
        <v>150</v>
      </c>
      <c r="L10" s="58">
        <v>169</v>
      </c>
      <c r="M10" s="75">
        <f t="shared" si="2"/>
        <v>1.1266666666666667</v>
      </c>
    </row>
    <row r="11" spans="1:13" ht="15.5">
      <c r="A11" s="60">
        <v>8</v>
      </c>
      <c r="B11" s="157" t="s">
        <v>669</v>
      </c>
      <c r="C11" s="154" t="s">
        <v>11</v>
      </c>
      <c r="D11" s="154">
        <v>25</v>
      </c>
      <c r="E11" s="154">
        <v>9</v>
      </c>
      <c r="F11" s="60">
        <f t="shared" si="0"/>
        <v>-16</v>
      </c>
      <c r="G11" s="71">
        <f t="shared" si="1"/>
        <v>0.36</v>
      </c>
      <c r="I11" s="58">
        <v>7</v>
      </c>
      <c r="J11" s="58" t="s">
        <v>721</v>
      </c>
      <c r="K11" s="58">
        <v>190</v>
      </c>
      <c r="L11" s="58">
        <v>170</v>
      </c>
      <c r="M11" s="75">
        <f t="shared" si="2"/>
        <v>0.89473684210526316</v>
      </c>
    </row>
    <row r="12" spans="1:13">
      <c r="A12" s="60">
        <v>9</v>
      </c>
      <c r="B12" s="153" t="s">
        <v>670</v>
      </c>
      <c r="C12" s="154" t="s">
        <v>9</v>
      </c>
      <c r="D12" s="154">
        <v>35</v>
      </c>
      <c r="E12" s="158">
        <v>1</v>
      </c>
      <c r="F12" s="60">
        <f t="shared" si="0"/>
        <v>-34</v>
      </c>
      <c r="G12" s="71">
        <f t="shared" si="1"/>
        <v>2.8571428571428571E-2</v>
      </c>
      <c r="I12" s="58">
        <v>8</v>
      </c>
      <c r="J12" s="58" t="s">
        <v>722</v>
      </c>
      <c r="K12" s="58">
        <v>190</v>
      </c>
      <c r="L12" s="58">
        <v>173</v>
      </c>
      <c r="M12" s="75">
        <f t="shared" si="2"/>
        <v>0.91052631578947374</v>
      </c>
    </row>
    <row r="13" spans="1:13">
      <c r="A13" s="60">
        <v>10</v>
      </c>
      <c r="B13" s="156" t="s">
        <v>671</v>
      </c>
      <c r="C13" s="154" t="s">
        <v>11</v>
      </c>
      <c r="D13" s="154">
        <v>25</v>
      </c>
      <c r="E13" s="158">
        <v>25</v>
      </c>
      <c r="F13" s="60">
        <f t="shared" si="0"/>
        <v>0</v>
      </c>
      <c r="G13" s="71">
        <f t="shared" si="1"/>
        <v>1</v>
      </c>
    </row>
    <row r="14" spans="1:13">
      <c r="A14" s="60">
        <v>11</v>
      </c>
      <c r="B14" s="156" t="s">
        <v>672</v>
      </c>
      <c r="C14" s="154" t="s">
        <v>11</v>
      </c>
      <c r="D14" s="154">
        <v>25</v>
      </c>
      <c r="E14" s="158">
        <v>11</v>
      </c>
      <c r="F14" s="60">
        <f t="shared" si="0"/>
        <v>-14</v>
      </c>
      <c r="G14" s="71">
        <f t="shared" si="1"/>
        <v>0.44</v>
      </c>
    </row>
    <row r="15" spans="1:13">
      <c r="A15" s="60">
        <v>12</v>
      </c>
      <c r="B15" s="153" t="s">
        <v>673</v>
      </c>
      <c r="C15" s="154" t="s">
        <v>11</v>
      </c>
      <c r="D15" s="154">
        <v>25</v>
      </c>
      <c r="E15" s="158">
        <v>23</v>
      </c>
      <c r="F15" s="60">
        <f t="shared" si="0"/>
        <v>-2</v>
      </c>
      <c r="G15" s="71">
        <f t="shared" si="1"/>
        <v>0.92</v>
      </c>
    </row>
    <row r="16" spans="1:13">
      <c r="A16" s="60">
        <v>13</v>
      </c>
      <c r="B16" s="156" t="s">
        <v>674</v>
      </c>
      <c r="C16" s="154" t="s">
        <v>11</v>
      </c>
      <c r="D16" s="154">
        <v>25</v>
      </c>
      <c r="E16" s="158">
        <v>4</v>
      </c>
      <c r="F16" s="60">
        <f t="shared" si="0"/>
        <v>-21</v>
      </c>
      <c r="G16" s="71">
        <f t="shared" si="1"/>
        <v>0.16</v>
      </c>
    </row>
    <row r="17" spans="1:7" ht="15.5">
      <c r="A17" s="60">
        <v>14</v>
      </c>
      <c r="B17" s="157" t="s">
        <v>675</v>
      </c>
      <c r="C17" s="154" t="s">
        <v>11</v>
      </c>
      <c r="D17" s="154">
        <v>25</v>
      </c>
      <c r="E17" s="158">
        <v>27</v>
      </c>
      <c r="F17" s="60">
        <f t="shared" si="0"/>
        <v>2</v>
      </c>
      <c r="G17" s="71">
        <f t="shared" si="1"/>
        <v>1.08</v>
      </c>
    </row>
    <row r="18" spans="1:7" ht="15.5">
      <c r="A18" s="60">
        <v>15</v>
      </c>
      <c r="B18" s="157" t="s">
        <v>676</v>
      </c>
      <c r="C18" s="154" t="s">
        <v>11</v>
      </c>
      <c r="D18" s="154">
        <v>25</v>
      </c>
      <c r="E18" s="158">
        <v>7</v>
      </c>
      <c r="F18" s="60">
        <f t="shared" si="0"/>
        <v>-18</v>
      </c>
      <c r="G18" s="71">
        <f t="shared" si="1"/>
        <v>0.28000000000000003</v>
      </c>
    </row>
    <row r="19" spans="1:7" ht="15.5">
      <c r="A19" s="60">
        <v>16</v>
      </c>
      <c r="B19" s="159" t="s">
        <v>677</v>
      </c>
      <c r="C19" s="154" t="s">
        <v>9</v>
      </c>
      <c r="D19" s="154">
        <v>35</v>
      </c>
      <c r="E19" s="154">
        <v>21</v>
      </c>
      <c r="F19" s="60">
        <f t="shared" si="0"/>
        <v>-14</v>
      </c>
      <c r="G19" s="71">
        <f t="shared" si="1"/>
        <v>0.6</v>
      </c>
    </row>
    <row r="20" spans="1:7" ht="15.5">
      <c r="A20" s="60">
        <v>17</v>
      </c>
      <c r="B20" s="159" t="s">
        <v>678</v>
      </c>
      <c r="C20" s="154" t="s">
        <v>11</v>
      </c>
      <c r="D20" s="154">
        <v>25</v>
      </c>
      <c r="E20" s="154">
        <v>24</v>
      </c>
      <c r="F20" s="60">
        <f t="shared" si="0"/>
        <v>-1</v>
      </c>
      <c r="G20" s="71">
        <f t="shared" si="1"/>
        <v>0.96</v>
      </c>
    </row>
    <row r="21" spans="1:7" ht="15.5">
      <c r="A21" s="60">
        <v>18</v>
      </c>
      <c r="B21" s="159" t="s">
        <v>679</v>
      </c>
      <c r="C21" s="154" t="s">
        <v>11</v>
      </c>
      <c r="D21" s="154">
        <v>25</v>
      </c>
      <c r="E21" s="154">
        <v>19</v>
      </c>
      <c r="F21" s="60">
        <f t="shared" si="0"/>
        <v>-6</v>
      </c>
      <c r="G21" s="71">
        <f t="shared" si="1"/>
        <v>0.76</v>
      </c>
    </row>
    <row r="22" spans="1:7" ht="15.5">
      <c r="A22" s="60">
        <v>19</v>
      </c>
      <c r="B22" s="159" t="s">
        <v>680</v>
      </c>
      <c r="C22" s="154" t="s">
        <v>11</v>
      </c>
      <c r="D22" s="154">
        <v>25</v>
      </c>
      <c r="E22" s="154">
        <v>40</v>
      </c>
      <c r="F22" s="60">
        <f t="shared" si="0"/>
        <v>15</v>
      </c>
      <c r="G22" s="71">
        <f t="shared" si="1"/>
        <v>1.6</v>
      </c>
    </row>
    <row r="23" spans="1:7" ht="15.5">
      <c r="A23" s="60">
        <v>20</v>
      </c>
      <c r="B23" s="159" t="s">
        <v>681</v>
      </c>
      <c r="C23" s="154" t="s">
        <v>11</v>
      </c>
      <c r="D23" s="154">
        <v>25</v>
      </c>
      <c r="E23" s="154">
        <v>13</v>
      </c>
      <c r="F23" s="60">
        <f t="shared" si="0"/>
        <v>-12</v>
      </c>
      <c r="G23" s="71">
        <f t="shared" si="1"/>
        <v>0.52</v>
      </c>
    </row>
    <row r="24" spans="1:7">
      <c r="A24" s="60">
        <v>21</v>
      </c>
      <c r="B24" s="153" t="s">
        <v>682</v>
      </c>
      <c r="C24" s="154" t="s">
        <v>9</v>
      </c>
      <c r="D24" s="154">
        <v>35</v>
      </c>
      <c r="E24" s="158">
        <v>23</v>
      </c>
      <c r="F24" s="60">
        <f t="shared" si="0"/>
        <v>-12</v>
      </c>
      <c r="G24" s="71">
        <f t="shared" si="1"/>
        <v>0.65714285714285714</v>
      </c>
    </row>
    <row r="25" spans="1:7">
      <c r="A25" s="60">
        <v>22</v>
      </c>
      <c r="B25" s="155" t="s">
        <v>683</v>
      </c>
      <c r="C25" s="154" t="s">
        <v>11</v>
      </c>
      <c r="D25" s="154">
        <v>25</v>
      </c>
      <c r="E25" s="158">
        <v>23</v>
      </c>
      <c r="F25" s="60">
        <f t="shared" si="0"/>
        <v>-2</v>
      </c>
      <c r="G25" s="71">
        <f t="shared" si="1"/>
        <v>0.92</v>
      </c>
    </row>
    <row r="26" spans="1:7">
      <c r="A26" s="60">
        <v>23</v>
      </c>
      <c r="B26" s="155" t="s">
        <v>684</v>
      </c>
      <c r="C26" s="154" t="s">
        <v>11</v>
      </c>
      <c r="D26" s="154">
        <v>25</v>
      </c>
      <c r="E26" s="158">
        <v>25</v>
      </c>
      <c r="F26" s="60">
        <f t="shared" si="0"/>
        <v>0</v>
      </c>
      <c r="G26" s="71">
        <f t="shared" si="1"/>
        <v>1</v>
      </c>
    </row>
    <row r="27" spans="1:7">
      <c r="A27" s="60">
        <v>24</v>
      </c>
      <c r="B27" s="155" t="s">
        <v>685</v>
      </c>
      <c r="C27" s="154" t="s">
        <v>11</v>
      </c>
      <c r="D27" s="154">
        <v>25</v>
      </c>
      <c r="E27" s="158">
        <v>19</v>
      </c>
      <c r="F27" s="60">
        <f t="shared" si="0"/>
        <v>-6</v>
      </c>
      <c r="G27" s="71">
        <f t="shared" si="1"/>
        <v>0.76</v>
      </c>
    </row>
    <row r="28" spans="1:7">
      <c r="A28" s="60">
        <v>25</v>
      </c>
      <c r="B28" s="155" t="s">
        <v>686</v>
      </c>
      <c r="C28" s="154" t="s">
        <v>11</v>
      </c>
      <c r="D28" s="154">
        <v>25</v>
      </c>
      <c r="E28" s="158">
        <v>36</v>
      </c>
      <c r="F28" s="60">
        <f t="shared" si="0"/>
        <v>11</v>
      </c>
      <c r="G28" s="71">
        <f t="shared" si="1"/>
        <v>1.44</v>
      </c>
    </row>
    <row r="29" spans="1:7">
      <c r="A29" s="60">
        <v>26</v>
      </c>
      <c r="B29" s="155" t="s">
        <v>687</v>
      </c>
      <c r="C29" s="154" t="s">
        <v>11</v>
      </c>
      <c r="D29" s="154">
        <v>25</v>
      </c>
      <c r="E29" s="158">
        <v>24</v>
      </c>
      <c r="F29" s="60">
        <f t="shared" si="0"/>
        <v>-1</v>
      </c>
      <c r="G29" s="71">
        <f t="shared" si="1"/>
        <v>0.96</v>
      </c>
    </row>
    <row r="30" spans="1:7">
      <c r="A30" s="60">
        <v>27</v>
      </c>
      <c r="B30" s="153" t="s">
        <v>688</v>
      </c>
      <c r="C30" s="154" t="s">
        <v>9</v>
      </c>
      <c r="D30" s="154">
        <v>35</v>
      </c>
      <c r="E30" s="158">
        <v>5</v>
      </c>
      <c r="F30" s="60">
        <f t="shared" si="0"/>
        <v>-30</v>
      </c>
      <c r="G30" s="71">
        <f t="shared" si="1"/>
        <v>0.14285714285714285</v>
      </c>
    </row>
    <row r="31" spans="1:7">
      <c r="A31" s="60">
        <v>28</v>
      </c>
      <c r="B31" s="155" t="s">
        <v>689</v>
      </c>
      <c r="C31" s="154" t="s">
        <v>11</v>
      </c>
      <c r="D31" s="154">
        <v>25</v>
      </c>
      <c r="E31" s="158">
        <v>19</v>
      </c>
      <c r="F31" s="60">
        <f t="shared" si="0"/>
        <v>-6</v>
      </c>
      <c r="G31" s="71">
        <f t="shared" si="1"/>
        <v>0.76</v>
      </c>
    </row>
    <row r="32" spans="1:7">
      <c r="A32" s="60">
        <v>29</v>
      </c>
      <c r="B32" s="155" t="s">
        <v>690</v>
      </c>
      <c r="C32" s="154" t="s">
        <v>11</v>
      </c>
      <c r="D32" s="154">
        <v>25</v>
      </c>
      <c r="E32" s="158">
        <v>40</v>
      </c>
      <c r="F32" s="60">
        <f t="shared" si="0"/>
        <v>15</v>
      </c>
      <c r="G32" s="71">
        <f t="shared" si="1"/>
        <v>1.6</v>
      </c>
    </row>
    <row r="33" spans="1:7">
      <c r="A33" s="60">
        <v>30</v>
      </c>
      <c r="B33" s="155" t="s">
        <v>691</v>
      </c>
      <c r="C33" s="154" t="s">
        <v>11</v>
      </c>
      <c r="D33" s="154">
        <v>25</v>
      </c>
      <c r="E33" s="158">
        <v>21</v>
      </c>
      <c r="F33" s="60">
        <f t="shared" si="0"/>
        <v>-4</v>
      </c>
      <c r="G33" s="71">
        <f t="shared" si="1"/>
        <v>0.84</v>
      </c>
    </row>
    <row r="34" spans="1:7">
      <c r="A34" s="60">
        <v>31</v>
      </c>
      <c r="B34" s="156" t="s">
        <v>692</v>
      </c>
      <c r="C34" s="154" t="s">
        <v>11</v>
      </c>
      <c r="D34" s="154">
        <v>25</v>
      </c>
      <c r="E34" s="160">
        <v>15</v>
      </c>
      <c r="F34" s="60">
        <f t="shared" si="0"/>
        <v>-10</v>
      </c>
      <c r="G34" s="71">
        <f t="shared" si="1"/>
        <v>0.6</v>
      </c>
    </row>
    <row r="35" spans="1:7">
      <c r="A35" s="60">
        <v>32</v>
      </c>
      <c r="B35" s="156" t="s">
        <v>693</v>
      </c>
      <c r="C35" s="154" t="s">
        <v>11</v>
      </c>
      <c r="D35" s="154">
        <v>25</v>
      </c>
      <c r="E35" s="160">
        <v>13</v>
      </c>
      <c r="F35" s="60">
        <f t="shared" si="0"/>
        <v>-12</v>
      </c>
      <c r="G35" s="71">
        <f t="shared" si="1"/>
        <v>0.52</v>
      </c>
    </row>
    <row r="36" spans="1:7">
      <c r="A36" s="60">
        <v>33</v>
      </c>
      <c r="B36" s="153" t="s">
        <v>694</v>
      </c>
      <c r="C36" s="154" t="s">
        <v>9</v>
      </c>
      <c r="D36" s="154">
        <v>35</v>
      </c>
      <c r="E36" s="160">
        <v>0</v>
      </c>
      <c r="F36" s="60">
        <f t="shared" si="0"/>
        <v>-35</v>
      </c>
      <c r="G36" s="71">
        <f t="shared" si="1"/>
        <v>0</v>
      </c>
    </row>
    <row r="37" spans="1:7">
      <c r="A37" s="60">
        <v>34</v>
      </c>
      <c r="B37" s="155" t="s">
        <v>695</v>
      </c>
      <c r="C37" s="154" t="s">
        <v>11</v>
      </c>
      <c r="D37" s="154">
        <v>25</v>
      </c>
      <c r="E37" s="160">
        <v>28</v>
      </c>
      <c r="F37" s="60">
        <f t="shared" si="0"/>
        <v>3</v>
      </c>
      <c r="G37" s="71">
        <f t="shared" si="1"/>
        <v>1.1200000000000001</v>
      </c>
    </row>
    <row r="38" spans="1:7">
      <c r="A38" s="60">
        <v>35</v>
      </c>
      <c r="B38" s="155" t="s">
        <v>696</v>
      </c>
      <c r="C38" s="154" t="s">
        <v>11</v>
      </c>
      <c r="D38" s="154">
        <v>25</v>
      </c>
      <c r="E38" s="160">
        <v>57</v>
      </c>
      <c r="F38" s="60">
        <f t="shared" si="0"/>
        <v>32</v>
      </c>
      <c r="G38" s="71">
        <f t="shared" si="1"/>
        <v>2.2799999999999998</v>
      </c>
    </row>
    <row r="39" spans="1:7">
      <c r="A39" s="60">
        <v>36</v>
      </c>
      <c r="B39" s="155" t="s">
        <v>697</v>
      </c>
      <c r="C39" s="154" t="s">
        <v>11</v>
      </c>
      <c r="D39" s="154">
        <v>25</v>
      </c>
      <c r="E39" s="160">
        <v>29</v>
      </c>
      <c r="F39" s="60">
        <f t="shared" si="0"/>
        <v>4</v>
      </c>
      <c r="G39" s="71">
        <f t="shared" si="1"/>
        <v>1.1599999999999999</v>
      </c>
    </row>
    <row r="40" spans="1:7">
      <c r="A40" s="60">
        <v>37</v>
      </c>
      <c r="B40" s="155" t="s">
        <v>698</v>
      </c>
      <c r="C40" s="154" t="s">
        <v>11</v>
      </c>
      <c r="D40" s="154">
        <v>25</v>
      </c>
      <c r="E40" s="160">
        <v>30</v>
      </c>
      <c r="F40" s="60">
        <f t="shared" si="0"/>
        <v>5</v>
      </c>
      <c r="G40" s="71">
        <f t="shared" si="1"/>
        <v>1.2</v>
      </c>
    </row>
    <row r="41" spans="1:7">
      <c r="A41" s="60">
        <v>38</v>
      </c>
      <c r="B41" s="155" t="s">
        <v>699</v>
      </c>
      <c r="C41" s="154" t="s">
        <v>11</v>
      </c>
      <c r="D41" s="154">
        <v>25</v>
      </c>
      <c r="E41" s="160">
        <v>25</v>
      </c>
      <c r="F41" s="60">
        <f t="shared" si="0"/>
        <v>0</v>
      </c>
      <c r="G41" s="71">
        <f t="shared" si="1"/>
        <v>1</v>
      </c>
    </row>
    <row r="42" spans="1:7">
      <c r="A42" s="60">
        <v>39</v>
      </c>
      <c r="B42" s="153" t="s">
        <v>700</v>
      </c>
      <c r="C42" s="154" t="s">
        <v>9</v>
      </c>
      <c r="D42" s="154">
        <v>35</v>
      </c>
      <c r="E42" s="160">
        <v>0</v>
      </c>
      <c r="F42" s="60">
        <f t="shared" si="0"/>
        <v>-35</v>
      </c>
      <c r="G42" s="71">
        <f t="shared" si="1"/>
        <v>0</v>
      </c>
    </row>
    <row r="43" spans="1:7">
      <c r="A43" s="60">
        <v>40</v>
      </c>
      <c r="B43" s="155" t="s">
        <v>701</v>
      </c>
      <c r="C43" s="154" t="s">
        <v>11</v>
      </c>
      <c r="D43" s="154">
        <v>25</v>
      </c>
      <c r="E43" s="160">
        <v>23</v>
      </c>
      <c r="F43" s="60">
        <f t="shared" si="0"/>
        <v>-2</v>
      </c>
      <c r="G43" s="71">
        <f t="shared" si="1"/>
        <v>0.92</v>
      </c>
    </row>
    <row r="44" spans="1:7">
      <c r="A44" s="60">
        <v>41</v>
      </c>
      <c r="B44" s="155" t="s">
        <v>702</v>
      </c>
      <c r="C44" s="154" t="s">
        <v>11</v>
      </c>
      <c r="D44" s="154">
        <v>25</v>
      </c>
      <c r="E44" s="160">
        <v>27</v>
      </c>
      <c r="F44" s="60">
        <f t="shared" si="0"/>
        <v>2</v>
      </c>
      <c r="G44" s="71">
        <f t="shared" si="1"/>
        <v>1.08</v>
      </c>
    </row>
    <row r="45" spans="1:7">
      <c r="A45" s="60">
        <v>42</v>
      </c>
      <c r="B45" s="155" t="s">
        <v>703</v>
      </c>
      <c r="C45" s="154" t="s">
        <v>11</v>
      </c>
      <c r="D45" s="154">
        <v>25</v>
      </c>
      <c r="E45" s="160">
        <v>20</v>
      </c>
      <c r="F45" s="60">
        <f t="shared" si="0"/>
        <v>-5</v>
      </c>
      <c r="G45" s="71">
        <f t="shared" si="1"/>
        <v>0.8</v>
      </c>
    </row>
    <row r="46" spans="1:7">
      <c r="A46" s="60">
        <v>43</v>
      </c>
      <c r="B46" s="155" t="s">
        <v>704</v>
      </c>
      <c r="C46" s="154" t="s">
        <v>11</v>
      </c>
      <c r="D46" s="154">
        <v>25</v>
      </c>
      <c r="E46" s="160">
        <v>64</v>
      </c>
      <c r="F46" s="60">
        <f t="shared" si="0"/>
        <v>39</v>
      </c>
      <c r="G46" s="71">
        <f t="shared" si="1"/>
        <v>2.56</v>
      </c>
    </row>
    <row r="47" spans="1:7" ht="15.5">
      <c r="A47" s="60">
        <v>44</v>
      </c>
      <c r="B47" s="157" t="s">
        <v>705</v>
      </c>
      <c r="C47" s="154" t="s">
        <v>11</v>
      </c>
      <c r="D47" s="154">
        <v>25</v>
      </c>
      <c r="E47" s="160">
        <v>7</v>
      </c>
      <c r="F47" s="60">
        <f t="shared" si="0"/>
        <v>-18</v>
      </c>
      <c r="G47" s="71">
        <f t="shared" si="1"/>
        <v>0.28000000000000003</v>
      </c>
    </row>
    <row r="48" spans="1:7">
      <c r="A48" s="60">
        <v>45</v>
      </c>
      <c r="B48" s="153" t="s">
        <v>706</v>
      </c>
      <c r="C48" s="154" t="s">
        <v>11</v>
      </c>
      <c r="D48" s="154">
        <v>25</v>
      </c>
      <c r="E48" s="160">
        <v>10</v>
      </c>
      <c r="F48" s="60">
        <f t="shared" si="0"/>
        <v>-15</v>
      </c>
      <c r="G48" s="71">
        <f t="shared" si="1"/>
        <v>0.4</v>
      </c>
    </row>
    <row r="49" spans="1:7" ht="15.5">
      <c r="A49" s="60">
        <v>46</v>
      </c>
      <c r="B49" s="157" t="s">
        <v>707</v>
      </c>
      <c r="C49" s="154" t="s">
        <v>11</v>
      </c>
      <c r="D49" s="154">
        <v>25</v>
      </c>
      <c r="E49" s="160">
        <v>19</v>
      </c>
      <c r="F49" s="60">
        <f t="shared" si="0"/>
        <v>-6</v>
      </c>
      <c r="G49" s="71">
        <f t="shared" si="1"/>
        <v>0.76</v>
      </c>
    </row>
    <row r="50" spans="1:7">
      <c r="A50" s="60">
        <v>47</v>
      </c>
      <c r="B50" s="161" t="s">
        <v>708</v>
      </c>
      <c r="C50" s="154" t="s">
        <v>9</v>
      </c>
      <c r="D50" s="154">
        <v>35</v>
      </c>
      <c r="E50" s="160">
        <v>0</v>
      </c>
      <c r="F50" s="60">
        <f t="shared" si="0"/>
        <v>-35</v>
      </c>
      <c r="G50" s="71">
        <f t="shared" si="1"/>
        <v>0</v>
      </c>
    </row>
    <row r="51" spans="1:7">
      <c r="A51" s="60">
        <v>48</v>
      </c>
      <c r="B51" s="155" t="s">
        <v>709</v>
      </c>
      <c r="C51" s="154" t="s">
        <v>11</v>
      </c>
      <c r="D51" s="154">
        <v>25</v>
      </c>
      <c r="E51" s="160">
        <v>50</v>
      </c>
      <c r="F51" s="60">
        <f t="shared" si="0"/>
        <v>25</v>
      </c>
      <c r="G51" s="71">
        <f t="shared" si="1"/>
        <v>2</v>
      </c>
    </row>
    <row r="52" spans="1:7">
      <c r="A52" s="60">
        <v>49</v>
      </c>
      <c r="B52" s="155" t="s">
        <v>710</v>
      </c>
      <c r="C52" s="154" t="s">
        <v>11</v>
      </c>
      <c r="D52" s="154">
        <v>25</v>
      </c>
      <c r="E52" s="160">
        <v>34</v>
      </c>
      <c r="F52" s="60">
        <f t="shared" si="0"/>
        <v>9</v>
      </c>
      <c r="G52" s="71">
        <f t="shared" si="1"/>
        <v>1.36</v>
      </c>
    </row>
    <row r="53" spans="1:7">
      <c r="A53" s="60">
        <v>50</v>
      </c>
      <c r="B53" s="155" t="s">
        <v>711</v>
      </c>
      <c r="C53" s="154" t="s">
        <v>11</v>
      </c>
      <c r="D53" s="154">
        <v>25</v>
      </c>
      <c r="E53" s="160">
        <v>20</v>
      </c>
      <c r="F53" s="60">
        <f t="shared" si="0"/>
        <v>-5</v>
      </c>
      <c r="G53" s="71">
        <f t="shared" si="1"/>
        <v>0.8</v>
      </c>
    </row>
    <row r="54" spans="1:7">
      <c r="A54" s="60">
        <v>51</v>
      </c>
      <c r="B54" s="155" t="s">
        <v>712</v>
      </c>
      <c r="C54" s="154" t="s">
        <v>11</v>
      </c>
      <c r="D54" s="154">
        <v>25</v>
      </c>
      <c r="E54" s="160">
        <v>18</v>
      </c>
      <c r="F54" s="60">
        <f t="shared" si="0"/>
        <v>-7</v>
      </c>
      <c r="G54" s="71">
        <f t="shared" si="1"/>
        <v>0.72</v>
      </c>
    </row>
    <row r="55" spans="1:7">
      <c r="A55" s="60">
        <v>52</v>
      </c>
      <c r="B55" s="155" t="s">
        <v>713</v>
      </c>
      <c r="C55" s="154" t="s">
        <v>11</v>
      </c>
      <c r="D55" s="154">
        <v>25</v>
      </c>
      <c r="E55" s="160">
        <v>21</v>
      </c>
      <c r="F55" s="60">
        <f t="shared" si="0"/>
        <v>-4</v>
      </c>
      <c r="G55" s="71">
        <f t="shared" si="1"/>
        <v>0.84</v>
      </c>
    </row>
    <row r="56" spans="1:7">
      <c r="A56" s="60">
        <v>53</v>
      </c>
      <c r="B56" s="155" t="s">
        <v>714</v>
      </c>
      <c r="C56" s="154" t="s">
        <v>11</v>
      </c>
      <c r="D56" s="154">
        <v>25</v>
      </c>
      <c r="E56" s="160">
        <v>21</v>
      </c>
      <c r="F56" s="60">
        <f t="shared" si="0"/>
        <v>-4</v>
      </c>
      <c r="G56" s="71">
        <f t="shared" si="1"/>
        <v>0.84</v>
      </c>
    </row>
    <row r="57" spans="1:7">
      <c r="A57" s="60">
        <v>54</v>
      </c>
      <c r="B57" s="155" t="s">
        <v>715</v>
      </c>
      <c r="C57" s="154" t="s">
        <v>11</v>
      </c>
      <c r="D57" s="154">
        <v>25</v>
      </c>
      <c r="E57" s="160">
        <v>9</v>
      </c>
      <c r="F57" s="60">
        <f t="shared" si="0"/>
        <v>-16</v>
      </c>
      <c r="G57" s="71">
        <f t="shared" si="1"/>
        <v>0.36</v>
      </c>
    </row>
    <row r="58" spans="1:7">
      <c r="A58" s="60"/>
      <c r="B58" s="60" t="s">
        <v>31</v>
      </c>
      <c r="C58" s="60"/>
      <c r="D58" s="60">
        <v>1360</v>
      </c>
      <c r="E58" s="60">
        <f>SUM(E4:E57)</f>
        <v>1134</v>
      </c>
      <c r="F58" s="60">
        <f t="shared" si="0"/>
        <v>-226</v>
      </c>
      <c r="G58" s="71">
        <f t="shared" si="1"/>
        <v>0.83382352941176474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1FA6-8175-4702-8BCE-C22CB828B3E6}">
  <dimension ref="A1:M17"/>
  <sheetViews>
    <sheetView workbookViewId="0">
      <selection activeCell="I4" sqref="I4:M4"/>
    </sheetView>
  </sheetViews>
  <sheetFormatPr defaultRowHeight="14.5"/>
  <cols>
    <col min="1" max="1" width="4.54296875" customWidth="1"/>
    <col min="2" max="2" width="37.6328125" customWidth="1"/>
    <col min="7" max="7" width="8.7265625" style="11"/>
    <col min="9" max="9" width="6.08984375" customWidth="1"/>
    <col min="10" max="10" width="20.6328125" customWidth="1"/>
    <col min="13" max="13" width="9.81640625" style="11" bestFit="1" customWidth="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82" t="s">
        <v>795</v>
      </c>
      <c r="C4" s="116" t="s">
        <v>9</v>
      </c>
      <c r="D4" s="116">
        <v>35</v>
      </c>
      <c r="E4" s="116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83" t="s">
        <v>796</v>
      </c>
      <c r="C5" s="117" t="s">
        <v>11</v>
      </c>
      <c r="D5" s="116">
        <v>25</v>
      </c>
      <c r="E5" s="116">
        <v>37</v>
      </c>
      <c r="F5" s="60">
        <f t="shared" ref="F5:F17" si="0">E5-D5</f>
        <v>12</v>
      </c>
      <c r="G5" s="71">
        <f t="shared" ref="G5:G17" si="1">E5/D5*100%</f>
        <v>1.48</v>
      </c>
      <c r="I5" s="58">
        <v>1</v>
      </c>
      <c r="J5" s="58" t="s">
        <v>808</v>
      </c>
      <c r="K5" s="58">
        <v>190</v>
      </c>
      <c r="L5" s="58">
        <v>163</v>
      </c>
      <c r="M5" s="75">
        <f>L5/K5*100%</f>
        <v>0.85789473684210527</v>
      </c>
    </row>
    <row r="6" spans="1:13">
      <c r="A6" s="60">
        <v>3</v>
      </c>
      <c r="B6" s="183" t="s">
        <v>797</v>
      </c>
      <c r="C6" s="117" t="s">
        <v>11</v>
      </c>
      <c r="D6" s="116">
        <v>25</v>
      </c>
      <c r="E6" s="116">
        <v>23</v>
      </c>
      <c r="F6" s="60">
        <f t="shared" si="0"/>
        <v>-2</v>
      </c>
      <c r="G6" s="71">
        <f t="shared" si="1"/>
        <v>0.92</v>
      </c>
      <c r="I6" s="58">
        <v>2</v>
      </c>
      <c r="J6" s="58" t="s">
        <v>809</v>
      </c>
      <c r="K6" s="58">
        <v>150</v>
      </c>
      <c r="L6" s="58">
        <v>127</v>
      </c>
      <c r="M6" s="75">
        <f>L6/K6*100%</f>
        <v>0.84666666666666668</v>
      </c>
    </row>
    <row r="7" spans="1:13">
      <c r="A7" s="60">
        <v>4</v>
      </c>
      <c r="B7" s="183" t="s">
        <v>798</v>
      </c>
      <c r="C7" s="117" t="s">
        <v>11</v>
      </c>
      <c r="D7" s="116">
        <v>25</v>
      </c>
      <c r="E7" s="116">
        <v>31</v>
      </c>
      <c r="F7" s="60">
        <f t="shared" si="0"/>
        <v>6</v>
      </c>
      <c r="G7" s="71">
        <f t="shared" si="1"/>
        <v>1.24</v>
      </c>
    </row>
    <row r="8" spans="1:13">
      <c r="A8" s="60">
        <v>5</v>
      </c>
      <c r="B8" s="183" t="s">
        <v>799</v>
      </c>
      <c r="C8" s="117" t="s">
        <v>11</v>
      </c>
      <c r="D8" s="116">
        <v>25</v>
      </c>
      <c r="E8" s="116">
        <v>15</v>
      </c>
      <c r="F8" s="60">
        <f t="shared" si="0"/>
        <v>-10</v>
      </c>
      <c r="G8" s="71">
        <f t="shared" si="1"/>
        <v>0.6</v>
      </c>
    </row>
    <row r="9" spans="1:13">
      <c r="A9" s="60">
        <v>6</v>
      </c>
      <c r="B9" s="184" t="s">
        <v>800</v>
      </c>
      <c r="C9" s="117" t="s">
        <v>11</v>
      </c>
      <c r="D9" s="116">
        <v>25</v>
      </c>
      <c r="E9" s="116">
        <v>25</v>
      </c>
      <c r="F9" s="60">
        <f t="shared" si="0"/>
        <v>0</v>
      </c>
      <c r="G9" s="71">
        <f t="shared" si="1"/>
        <v>1</v>
      </c>
    </row>
    <row r="10" spans="1:13">
      <c r="A10" s="60">
        <v>7</v>
      </c>
      <c r="B10" s="184" t="s">
        <v>801</v>
      </c>
      <c r="C10" s="117" t="s">
        <v>11</v>
      </c>
      <c r="D10" s="116">
        <v>25</v>
      </c>
      <c r="E10" s="116">
        <v>32</v>
      </c>
      <c r="F10" s="60">
        <f t="shared" si="0"/>
        <v>7</v>
      </c>
      <c r="G10" s="71">
        <f t="shared" si="1"/>
        <v>1.28</v>
      </c>
    </row>
    <row r="11" spans="1:13">
      <c r="A11" s="60">
        <v>8</v>
      </c>
      <c r="B11" s="182" t="s">
        <v>802</v>
      </c>
      <c r="C11" s="116" t="s">
        <v>9</v>
      </c>
      <c r="D11" s="116">
        <v>35</v>
      </c>
      <c r="E11" s="116">
        <v>0</v>
      </c>
      <c r="F11" s="60">
        <f t="shared" si="0"/>
        <v>-35</v>
      </c>
      <c r="G11" s="71">
        <f t="shared" si="1"/>
        <v>0</v>
      </c>
    </row>
    <row r="12" spans="1:13">
      <c r="A12" s="60">
        <v>9</v>
      </c>
      <c r="B12" s="183" t="s">
        <v>803</v>
      </c>
      <c r="C12" s="117" t="s">
        <v>11</v>
      </c>
      <c r="D12" s="116">
        <v>25</v>
      </c>
      <c r="E12" s="116">
        <v>26</v>
      </c>
      <c r="F12" s="60">
        <f t="shared" si="0"/>
        <v>1</v>
      </c>
      <c r="G12" s="71">
        <f t="shared" si="1"/>
        <v>1.04</v>
      </c>
    </row>
    <row r="13" spans="1:13">
      <c r="A13" s="60">
        <v>10</v>
      </c>
      <c r="B13" s="183" t="s">
        <v>804</v>
      </c>
      <c r="C13" s="117" t="s">
        <v>11</v>
      </c>
      <c r="D13" s="116">
        <v>25</v>
      </c>
      <c r="E13" s="116">
        <v>25</v>
      </c>
      <c r="F13" s="60">
        <f t="shared" si="0"/>
        <v>0</v>
      </c>
      <c r="G13" s="71">
        <f t="shared" si="1"/>
        <v>1</v>
      </c>
    </row>
    <row r="14" spans="1:13">
      <c r="A14" s="60">
        <v>11</v>
      </c>
      <c r="B14" s="183" t="s">
        <v>805</v>
      </c>
      <c r="C14" s="117" t="s">
        <v>11</v>
      </c>
      <c r="D14" s="116">
        <v>25</v>
      </c>
      <c r="E14" s="116">
        <v>30</v>
      </c>
      <c r="F14" s="60">
        <f t="shared" si="0"/>
        <v>5</v>
      </c>
      <c r="G14" s="71">
        <f t="shared" si="1"/>
        <v>1.2</v>
      </c>
    </row>
    <row r="15" spans="1:13">
      <c r="A15" s="60">
        <v>12</v>
      </c>
      <c r="B15" s="184" t="s">
        <v>806</v>
      </c>
      <c r="C15" s="117" t="s">
        <v>11</v>
      </c>
      <c r="D15" s="116">
        <v>25</v>
      </c>
      <c r="E15" s="116">
        <v>22</v>
      </c>
      <c r="F15" s="60">
        <f t="shared" si="0"/>
        <v>-3</v>
      </c>
      <c r="G15" s="71">
        <f t="shared" si="1"/>
        <v>0.88</v>
      </c>
    </row>
    <row r="16" spans="1:13">
      <c r="A16" s="60">
        <v>13</v>
      </c>
      <c r="B16" s="183" t="s">
        <v>807</v>
      </c>
      <c r="C16" s="117" t="s">
        <v>11</v>
      </c>
      <c r="D16" s="116">
        <v>25</v>
      </c>
      <c r="E16" s="116">
        <v>24</v>
      </c>
      <c r="F16" s="60">
        <f t="shared" si="0"/>
        <v>-1</v>
      </c>
      <c r="G16" s="71">
        <f t="shared" si="1"/>
        <v>0.96</v>
      </c>
    </row>
    <row r="17" spans="1:7">
      <c r="A17" s="60"/>
      <c r="B17" s="60" t="s">
        <v>31</v>
      </c>
      <c r="C17" s="60"/>
      <c r="D17" s="60">
        <v>340</v>
      </c>
      <c r="E17" s="60">
        <f>SUM(E4:E16)</f>
        <v>290</v>
      </c>
      <c r="F17" s="60">
        <f t="shared" si="0"/>
        <v>-50</v>
      </c>
      <c r="G17" s="71">
        <f t="shared" si="1"/>
        <v>0.8529411764705882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6B58-FA48-4DC3-9EB8-22FCBCC7DA4E}">
  <dimension ref="A1:M21"/>
  <sheetViews>
    <sheetView workbookViewId="0">
      <selection activeCell="J5" sqref="J5:M7"/>
    </sheetView>
  </sheetViews>
  <sheetFormatPr defaultRowHeight="14.5"/>
  <cols>
    <col min="1" max="1" width="4" customWidth="1"/>
    <col min="2" max="2" width="33.81640625" customWidth="1"/>
    <col min="7" max="7" width="8.7265625" style="11"/>
    <col min="9" max="9" width="4" customWidth="1"/>
    <col min="10" max="10" width="19.9062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85" t="s">
        <v>810</v>
      </c>
      <c r="C4" s="186" t="s">
        <v>9</v>
      </c>
      <c r="D4" s="186">
        <v>35</v>
      </c>
      <c r="E4" s="186">
        <v>17</v>
      </c>
      <c r="F4" s="60">
        <f>E4-D4</f>
        <v>-18</v>
      </c>
      <c r="G4" s="71">
        <f>E4/D4*100%</f>
        <v>0.48571428571428571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87" t="s">
        <v>811</v>
      </c>
      <c r="C5" s="186" t="s">
        <v>11</v>
      </c>
      <c r="D5" s="186">
        <v>25</v>
      </c>
      <c r="E5" s="186">
        <v>18</v>
      </c>
      <c r="F5" s="60">
        <f t="shared" ref="F5:F21" si="0">E5-D5</f>
        <v>-7</v>
      </c>
      <c r="G5" s="71">
        <f t="shared" ref="G5:G21" si="1">E5/D5*100%</f>
        <v>0.72</v>
      </c>
      <c r="I5" s="58">
        <v>1</v>
      </c>
      <c r="J5" s="58" t="s">
        <v>854</v>
      </c>
      <c r="K5" s="58">
        <v>190</v>
      </c>
      <c r="L5" s="58">
        <v>120</v>
      </c>
      <c r="M5" s="75">
        <f>L5/K5*100%</f>
        <v>0.63157894736842102</v>
      </c>
    </row>
    <row r="6" spans="1:13">
      <c r="A6" s="60">
        <v>3</v>
      </c>
      <c r="B6" s="187" t="s">
        <v>812</v>
      </c>
      <c r="C6" s="186" t="s">
        <v>11</v>
      </c>
      <c r="D6" s="186">
        <v>25</v>
      </c>
      <c r="E6" s="186">
        <v>28</v>
      </c>
      <c r="F6" s="60">
        <f t="shared" si="0"/>
        <v>3</v>
      </c>
      <c r="G6" s="71">
        <f t="shared" si="1"/>
        <v>1.1200000000000001</v>
      </c>
      <c r="I6" s="58">
        <v>2</v>
      </c>
      <c r="J6" s="58" t="s">
        <v>855</v>
      </c>
      <c r="K6" s="58">
        <v>150</v>
      </c>
      <c r="L6" s="58">
        <v>21</v>
      </c>
      <c r="M6" s="75">
        <f t="shared" ref="M6:M7" si="2">L6/K6*100%</f>
        <v>0.14000000000000001</v>
      </c>
    </row>
    <row r="7" spans="1:13">
      <c r="A7" s="60">
        <v>4</v>
      </c>
      <c r="B7" s="188" t="s">
        <v>813</v>
      </c>
      <c r="C7" s="186" t="s">
        <v>11</v>
      </c>
      <c r="D7" s="186">
        <v>25</v>
      </c>
      <c r="E7" s="186">
        <v>28</v>
      </c>
      <c r="F7" s="60">
        <f t="shared" si="0"/>
        <v>3</v>
      </c>
      <c r="G7" s="71">
        <f t="shared" si="1"/>
        <v>1.1200000000000001</v>
      </c>
      <c r="I7" s="58">
        <v>3</v>
      </c>
      <c r="J7" s="58" t="s">
        <v>856</v>
      </c>
      <c r="K7" s="58">
        <v>150</v>
      </c>
      <c r="L7" s="58">
        <v>47</v>
      </c>
      <c r="M7" s="75">
        <f t="shared" si="2"/>
        <v>0.31333333333333335</v>
      </c>
    </row>
    <row r="8" spans="1:13">
      <c r="A8" s="60">
        <v>5</v>
      </c>
      <c r="B8" s="189" t="s">
        <v>814</v>
      </c>
      <c r="C8" s="186" t="s">
        <v>11</v>
      </c>
      <c r="D8" s="186">
        <v>25</v>
      </c>
      <c r="E8" s="186">
        <v>8</v>
      </c>
      <c r="F8" s="60">
        <f t="shared" si="0"/>
        <v>-17</v>
      </c>
      <c r="G8" s="71">
        <f t="shared" si="1"/>
        <v>0.32</v>
      </c>
    </row>
    <row r="9" spans="1:13">
      <c r="A9" s="60">
        <v>6</v>
      </c>
      <c r="B9" s="188" t="s">
        <v>815</v>
      </c>
      <c r="C9" s="186" t="s">
        <v>11</v>
      </c>
      <c r="D9" s="186">
        <v>25</v>
      </c>
      <c r="E9" s="186">
        <v>17</v>
      </c>
      <c r="F9" s="60">
        <f t="shared" si="0"/>
        <v>-8</v>
      </c>
      <c r="G9" s="71">
        <f t="shared" si="1"/>
        <v>0.68</v>
      </c>
    </row>
    <row r="10" spans="1:13">
      <c r="A10" s="60">
        <v>7</v>
      </c>
      <c r="B10" s="188" t="s">
        <v>816</v>
      </c>
      <c r="C10" s="186" t="s">
        <v>11</v>
      </c>
      <c r="D10" s="186">
        <v>25</v>
      </c>
      <c r="E10" s="186">
        <v>4</v>
      </c>
      <c r="F10" s="60">
        <f t="shared" si="0"/>
        <v>-21</v>
      </c>
      <c r="G10" s="71">
        <f t="shared" si="1"/>
        <v>0.16</v>
      </c>
    </row>
    <row r="11" spans="1:13">
      <c r="A11" s="60">
        <v>8</v>
      </c>
      <c r="B11" s="185" t="s">
        <v>817</v>
      </c>
      <c r="C11" s="186" t="s">
        <v>9</v>
      </c>
      <c r="D11" s="186">
        <v>35</v>
      </c>
      <c r="E11" s="186">
        <v>0</v>
      </c>
      <c r="F11" s="60">
        <f t="shared" si="0"/>
        <v>-35</v>
      </c>
      <c r="G11" s="71">
        <f t="shared" si="1"/>
        <v>0</v>
      </c>
    </row>
    <row r="12" spans="1:13">
      <c r="A12" s="60">
        <v>9</v>
      </c>
      <c r="B12" s="187" t="s">
        <v>818</v>
      </c>
      <c r="C12" s="186" t="s">
        <v>11</v>
      </c>
      <c r="D12" s="186">
        <v>25</v>
      </c>
      <c r="E12" s="186">
        <v>14</v>
      </c>
      <c r="F12" s="60">
        <f t="shared" si="0"/>
        <v>-11</v>
      </c>
      <c r="G12" s="71">
        <f t="shared" si="1"/>
        <v>0.56000000000000005</v>
      </c>
    </row>
    <row r="13" spans="1:13">
      <c r="A13" s="60">
        <v>10</v>
      </c>
      <c r="B13" s="187" t="s">
        <v>819</v>
      </c>
      <c r="C13" s="186" t="s">
        <v>11</v>
      </c>
      <c r="D13" s="186">
        <v>25</v>
      </c>
      <c r="E13" s="186">
        <v>5</v>
      </c>
      <c r="F13" s="60">
        <f t="shared" si="0"/>
        <v>-20</v>
      </c>
      <c r="G13" s="71">
        <f t="shared" si="1"/>
        <v>0.2</v>
      </c>
    </row>
    <row r="14" spans="1:13">
      <c r="A14" s="60">
        <v>11</v>
      </c>
      <c r="B14" s="188" t="s">
        <v>820</v>
      </c>
      <c r="C14" s="186" t="s">
        <v>11</v>
      </c>
      <c r="D14" s="186">
        <v>25</v>
      </c>
      <c r="E14" s="186">
        <v>2</v>
      </c>
      <c r="F14" s="60">
        <f t="shared" si="0"/>
        <v>-23</v>
      </c>
      <c r="G14" s="71">
        <f t="shared" si="1"/>
        <v>0.08</v>
      </c>
    </row>
    <row r="15" spans="1:13">
      <c r="A15" s="60">
        <v>12</v>
      </c>
      <c r="B15" s="185" t="s">
        <v>821</v>
      </c>
      <c r="C15" s="186" t="s">
        <v>9</v>
      </c>
      <c r="D15" s="186">
        <v>35</v>
      </c>
      <c r="E15" s="186">
        <v>2</v>
      </c>
      <c r="F15" s="60">
        <f t="shared" si="0"/>
        <v>-33</v>
      </c>
      <c r="G15" s="71">
        <f t="shared" si="1"/>
        <v>5.7142857142857141E-2</v>
      </c>
    </row>
    <row r="16" spans="1:13">
      <c r="A16" s="60">
        <v>13</v>
      </c>
      <c r="B16" s="188" t="s">
        <v>822</v>
      </c>
      <c r="C16" s="186" t="s">
        <v>11</v>
      </c>
      <c r="D16" s="186">
        <v>25</v>
      </c>
      <c r="E16" s="186">
        <v>18</v>
      </c>
      <c r="F16" s="60">
        <f t="shared" si="0"/>
        <v>-7</v>
      </c>
      <c r="G16" s="71">
        <f t="shared" si="1"/>
        <v>0.72</v>
      </c>
    </row>
    <row r="17" spans="1:7">
      <c r="A17" s="60">
        <v>14</v>
      </c>
      <c r="B17" s="188" t="s">
        <v>823</v>
      </c>
      <c r="C17" s="186" t="s">
        <v>11</v>
      </c>
      <c r="D17" s="186">
        <v>25</v>
      </c>
      <c r="E17" s="186">
        <v>11</v>
      </c>
      <c r="F17" s="60">
        <f t="shared" si="0"/>
        <v>-14</v>
      </c>
      <c r="G17" s="71">
        <f t="shared" si="1"/>
        <v>0.44</v>
      </c>
    </row>
    <row r="18" spans="1:7">
      <c r="A18" s="60">
        <v>15</v>
      </c>
      <c r="B18" s="188" t="s">
        <v>824</v>
      </c>
      <c r="C18" s="186" t="s">
        <v>11</v>
      </c>
      <c r="D18" s="186">
        <v>25</v>
      </c>
      <c r="E18" s="186">
        <v>2</v>
      </c>
      <c r="F18" s="60">
        <f t="shared" si="0"/>
        <v>-23</v>
      </c>
      <c r="G18" s="71">
        <f t="shared" si="1"/>
        <v>0.08</v>
      </c>
    </row>
    <row r="19" spans="1:7">
      <c r="A19" s="60">
        <v>16</v>
      </c>
      <c r="B19" s="188" t="s">
        <v>825</v>
      </c>
      <c r="C19" s="186" t="s">
        <v>11</v>
      </c>
      <c r="D19" s="186">
        <v>25</v>
      </c>
      <c r="E19" s="186">
        <v>12</v>
      </c>
      <c r="F19" s="60">
        <f t="shared" si="0"/>
        <v>-13</v>
      </c>
      <c r="G19" s="71">
        <f t="shared" si="1"/>
        <v>0.48</v>
      </c>
    </row>
    <row r="20" spans="1:7">
      <c r="A20" s="60">
        <v>17</v>
      </c>
      <c r="B20" s="188" t="s">
        <v>826</v>
      </c>
      <c r="C20" s="186" t="s">
        <v>11</v>
      </c>
      <c r="D20" s="186">
        <v>25</v>
      </c>
      <c r="E20" s="186">
        <v>2</v>
      </c>
      <c r="F20" s="60">
        <f t="shared" si="0"/>
        <v>-23</v>
      </c>
      <c r="G20" s="71">
        <f t="shared" si="1"/>
        <v>0.08</v>
      </c>
    </row>
    <row r="21" spans="1:7">
      <c r="A21" s="60"/>
      <c r="B21" s="60" t="s">
        <v>31</v>
      </c>
      <c r="C21" s="60"/>
      <c r="D21" s="60">
        <v>450</v>
      </c>
      <c r="E21" s="60">
        <f>SUM(E4:E20)</f>
        <v>188</v>
      </c>
      <c r="F21" s="60">
        <f t="shared" si="0"/>
        <v>-262</v>
      </c>
      <c r="G21" s="71">
        <f t="shared" si="1"/>
        <v>0.4177777777777778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C864-3067-4A5D-812F-8DCDEA7051D7}">
  <dimension ref="A1:G10"/>
  <sheetViews>
    <sheetView workbookViewId="0">
      <selection activeCell="I6" sqref="I6"/>
    </sheetView>
  </sheetViews>
  <sheetFormatPr defaultRowHeight="14.5"/>
  <cols>
    <col min="1" max="1" width="5.36328125" customWidth="1"/>
    <col min="2" max="2" width="35.63281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83" t="s">
        <v>827</v>
      </c>
      <c r="C4" s="116" t="s">
        <v>9</v>
      </c>
      <c r="D4" s="116">
        <v>35</v>
      </c>
      <c r="E4" s="116">
        <v>8</v>
      </c>
      <c r="F4" s="60">
        <f>E4-D4</f>
        <v>-27</v>
      </c>
      <c r="G4" s="71">
        <f>E4/D4*100%</f>
        <v>0.22857142857142856</v>
      </c>
    </row>
    <row r="5" spans="1:7">
      <c r="A5" s="60">
        <v>2</v>
      </c>
      <c r="B5" s="182" t="s">
        <v>828</v>
      </c>
      <c r="C5" s="117" t="s">
        <v>11</v>
      </c>
      <c r="D5" s="116">
        <v>25</v>
      </c>
      <c r="E5" s="116">
        <v>0</v>
      </c>
      <c r="F5" s="60">
        <f t="shared" ref="F5:F10" si="0">E5-D5</f>
        <v>-25</v>
      </c>
      <c r="G5" s="71">
        <f t="shared" ref="G5:G10" si="1">E5/D5*100%</f>
        <v>0</v>
      </c>
    </row>
    <row r="6" spans="1:7">
      <c r="A6" s="60">
        <v>3</v>
      </c>
      <c r="B6" s="182" t="s">
        <v>829</v>
      </c>
      <c r="C6" s="117" t="s">
        <v>11</v>
      </c>
      <c r="D6" s="116">
        <v>25</v>
      </c>
      <c r="E6" s="116">
        <v>4</v>
      </c>
      <c r="F6" s="60">
        <f t="shared" si="0"/>
        <v>-21</v>
      </c>
      <c r="G6" s="71">
        <f t="shared" si="1"/>
        <v>0.16</v>
      </c>
    </row>
    <row r="7" spans="1:7">
      <c r="A7" s="60">
        <v>4</v>
      </c>
      <c r="B7" s="183" t="s">
        <v>830</v>
      </c>
      <c r="C7" s="117" t="s">
        <v>11</v>
      </c>
      <c r="D7" s="116">
        <v>25</v>
      </c>
      <c r="E7" s="116">
        <v>3</v>
      </c>
      <c r="F7" s="60">
        <f t="shared" si="0"/>
        <v>-22</v>
      </c>
      <c r="G7" s="71">
        <f t="shared" si="1"/>
        <v>0.12</v>
      </c>
    </row>
    <row r="8" spans="1:7">
      <c r="A8" s="60">
        <v>5</v>
      </c>
      <c r="B8" s="183" t="s">
        <v>831</v>
      </c>
      <c r="C8" s="117" t="s">
        <v>11</v>
      </c>
      <c r="D8" s="116">
        <v>25</v>
      </c>
      <c r="E8" s="116">
        <v>1</v>
      </c>
      <c r="F8" s="60">
        <f t="shared" si="0"/>
        <v>-24</v>
      </c>
      <c r="G8" s="71">
        <f t="shared" si="1"/>
        <v>0.04</v>
      </c>
    </row>
    <row r="9" spans="1:7">
      <c r="A9" s="60">
        <v>6</v>
      </c>
      <c r="B9" s="183" t="s">
        <v>832</v>
      </c>
      <c r="C9" s="117" t="s">
        <v>11</v>
      </c>
      <c r="D9" s="116">
        <v>25</v>
      </c>
      <c r="E9" s="116">
        <v>1</v>
      </c>
      <c r="F9" s="60">
        <f t="shared" si="0"/>
        <v>-24</v>
      </c>
      <c r="G9" s="71">
        <f t="shared" si="1"/>
        <v>0.04</v>
      </c>
    </row>
    <row r="10" spans="1:7">
      <c r="A10" s="60"/>
      <c r="B10" s="60" t="s">
        <v>31</v>
      </c>
      <c r="C10" s="60"/>
      <c r="D10" s="60">
        <v>150</v>
      </c>
      <c r="E10" s="60">
        <f>SUM(E4:E9)</f>
        <v>17</v>
      </c>
      <c r="F10" s="60">
        <f t="shared" si="0"/>
        <v>-133</v>
      </c>
      <c r="G10" s="71">
        <f t="shared" si="1"/>
        <v>0.11333333333333333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41CD-A559-499C-838B-D8C939C02531}">
  <dimension ref="A2:M23"/>
  <sheetViews>
    <sheetView topLeftCell="A7" workbookViewId="0">
      <selection activeCell="J6" sqref="J6:M8"/>
    </sheetView>
  </sheetViews>
  <sheetFormatPr defaultRowHeight="14.5"/>
  <cols>
    <col min="1" max="1" width="4.81640625" customWidth="1"/>
    <col min="2" max="2" width="31.1796875" customWidth="1"/>
    <col min="7" max="7" width="8.7265625" style="11"/>
    <col min="9" max="9" width="4.453125" customWidth="1"/>
    <col min="10" max="10" width="22.1796875" customWidth="1"/>
    <col min="13" max="13" width="8.7265625" style="11"/>
  </cols>
  <sheetData>
    <row r="2" spans="1:13">
      <c r="A2" s="207" t="s">
        <v>0</v>
      </c>
      <c r="B2" s="208" t="s">
        <v>1</v>
      </c>
      <c r="C2" s="215" t="s">
        <v>7</v>
      </c>
      <c r="D2" s="216"/>
      <c r="E2" s="216"/>
      <c r="F2" s="216"/>
      <c r="G2" s="216"/>
    </row>
    <row r="3" spans="1:13">
      <c r="A3" s="207"/>
      <c r="B3" s="208"/>
      <c r="C3" s="211" t="s">
        <v>2</v>
      </c>
      <c r="D3" s="211" t="s">
        <v>3</v>
      </c>
      <c r="E3" s="211" t="s">
        <v>4</v>
      </c>
      <c r="F3" s="211" t="s">
        <v>5</v>
      </c>
      <c r="G3" s="213" t="s">
        <v>6</v>
      </c>
    </row>
    <row r="4" spans="1:13" ht="6" customHeight="1">
      <c r="A4" s="207"/>
      <c r="B4" s="208"/>
      <c r="C4" s="212"/>
      <c r="D4" s="212"/>
      <c r="E4" s="212"/>
      <c r="F4" s="212"/>
      <c r="G4" s="214"/>
    </row>
    <row r="5" spans="1:13">
      <c r="A5" s="5">
        <v>1</v>
      </c>
      <c r="B5" s="19" t="s">
        <v>119</v>
      </c>
      <c r="C5" s="20" t="s">
        <v>9</v>
      </c>
      <c r="D5" s="20">
        <v>35</v>
      </c>
      <c r="E5" s="20">
        <v>1</v>
      </c>
      <c r="F5" s="5">
        <f>E5-D5</f>
        <v>-34</v>
      </c>
      <c r="G5" s="10">
        <f>E5/D5*100%</f>
        <v>2.8571428571428571E-2</v>
      </c>
      <c r="I5" s="33" t="s">
        <v>92</v>
      </c>
      <c r="J5" s="33" t="s">
        <v>170</v>
      </c>
      <c r="K5" s="33" t="s">
        <v>41</v>
      </c>
      <c r="L5" s="33" t="s">
        <v>42</v>
      </c>
      <c r="M5" s="46" t="s">
        <v>6</v>
      </c>
    </row>
    <row r="6" spans="1:13">
      <c r="A6" s="5">
        <v>2</v>
      </c>
      <c r="B6" s="21" t="s">
        <v>120</v>
      </c>
      <c r="C6" s="22" t="s">
        <v>11</v>
      </c>
      <c r="D6" s="20">
        <v>25</v>
      </c>
      <c r="E6" s="20">
        <v>43</v>
      </c>
      <c r="F6" s="5">
        <f t="shared" ref="F6:F23" si="0">E6-D6</f>
        <v>18</v>
      </c>
      <c r="G6" s="10">
        <f t="shared" ref="G6:G23" si="1">E6/D6*100%</f>
        <v>1.72</v>
      </c>
      <c r="I6" s="2">
        <v>1</v>
      </c>
      <c r="J6" s="2" t="s">
        <v>173</v>
      </c>
      <c r="K6" s="2">
        <v>150</v>
      </c>
      <c r="L6" s="2">
        <v>152</v>
      </c>
      <c r="M6" s="45">
        <f>L6/K6*100%</f>
        <v>1.0133333333333334</v>
      </c>
    </row>
    <row r="7" spans="1:13">
      <c r="A7" s="5">
        <v>3</v>
      </c>
      <c r="B7" s="21" t="s">
        <v>121</v>
      </c>
      <c r="C7" s="22" t="s">
        <v>11</v>
      </c>
      <c r="D7" s="22">
        <v>25</v>
      </c>
      <c r="E7" s="20">
        <v>29</v>
      </c>
      <c r="F7" s="5">
        <f t="shared" si="0"/>
        <v>4</v>
      </c>
      <c r="G7" s="10">
        <f t="shared" si="1"/>
        <v>1.1599999999999999</v>
      </c>
      <c r="I7" s="2">
        <v>2</v>
      </c>
      <c r="J7" s="2" t="s">
        <v>174</v>
      </c>
      <c r="K7" s="2">
        <v>150</v>
      </c>
      <c r="L7" s="2">
        <v>126</v>
      </c>
      <c r="M7" s="45">
        <f t="shared" ref="M7:M8" si="2">L7/K7*100%</f>
        <v>0.84</v>
      </c>
    </row>
    <row r="8" spans="1:13">
      <c r="A8" s="5">
        <v>4</v>
      </c>
      <c r="B8" s="21" t="s">
        <v>122</v>
      </c>
      <c r="C8" s="23" t="s">
        <v>11</v>
      </c>
      <c r="D8" s="23">
        <v>25</v>
      </c>
      <c r="E8" s="20">
        <v>42</v>
      </c>
      <c r="F8" s="5">
        <f t="shared" si="0"/>
        <v>17</v>
      </c>
      <c r="G8" s="10">
        <f t="shared" si="1"/>
        <v>1.68</v>
      </c>
      <c r="I8" s="2">
        <v>3</v>
      </c>
      <c r="J8" s="2" t="s">
        <v>175</v>
      </c>
      <c r="K8" s="2">
        <v>150</v>
      </c>
      <c r="L8" s="2">
        <v>91</v>
      </c>
      <c r="M8" s="45">
        <f t="shared" si="2"/>
        <v>0.60666666666666669</v>
      </c>
    </row>
    <row r="9" spans="1:13">
      <c r="A9" s="5">
        <v>5</v>
      </c>
      <c r="B9" s="21" t="s">
        <v>123</v>
      </c>
      <c r="C9" s="23" t="s">
        <v>11</v>
      </c>
      <c r="D9" s="23">
        <v>25</v>
      </c>
      <c r="E9" s="20">
        <v>36</v>
      </c>
      <c r="F9" s="5">
        <f t="shared" si="0"/>
        <v>11</v>
      </c>
      <c r="G9" s="10">
        <f t="shared" si="1"/>
        <v>1.44</v>
      </c>
    </row>
    <row r="10" spans="1:13">
      <c r="A10" s="5">
        <v>6</v>
      </c>
      <c r="B10" s="43" t="s">
        <v>124</v>
      </c>
      <c r="C10" s="23" t="s">
        <v>11</v>
      </c>
      <c r="D10" s="23">
        <v>25</v>
      </c>
      <c r="E10" s="20">
        <v>1</v>
      </c>
      <c r="F10" s="5">
        <f t="shared" si="0"/>
        <v>-24</v>
      </c>
      <c r="G10" s="10">
        <f t="shared" si="1"/>
        <v>0.04</v>
      </c>
    </row>
    <row r="11" spans="1:13">
      <c r="A11" s="5">
        <v>7</v>
      </c>
      <c r="B11" s="19" t="s">
        <v>125</v>
      </c>
      <c r="C11" s="20" t="s">
        <v>9</v>
      </c>
      <c r="D11" s="20">
        <v>35</v>
      </c>
      <c r="E11" s="20">
        <v>3</v>
      </c>
      <c r="F11" s="5">
        <f t="shared" si="0"/>
        <v>-32</v>
      </c>
      <c r="G11" s="10">
        <f t="shared" si="1"/>
        <v>8.5714285714285715E-2</v>
      </c>
    </row>
    <row r="12" spans="1:13">
      <c r="A12" s="5">
        <v>8</v>
      </c>
      <c r="B12" s="21" t="s">
        <v>126</v>
      </c>
      <c r="C12" s="22" t="s">
        <v>11</v>
      </c>
      <c r="D12" s="20">
        <v>25</v>
      </c>
      <c r="E12" s="20">
        <v>23</v>
      </c>
      <c r="F12" s="5">
        <f t="shared" si="0"/>
        <v>-2</v>
      </c>
      <c r="G12" s="10">
        <f t="shared" si="1"/>
        <v>0.92</v>
      </c>
    </row>
    <row r="13" spans="1:13">
      <c r="A13" s="5">
        <v>9</v>
      </c>
      <c r="B13" s="21" t="s">
        <v>127</v>
      </c>
      <c r="C13" s="22" t="s">
        <v>11</v>
      </c>
      <c r="D13" s="22">
        <v>25</v>
      </c>
      <c r="E13" s="20">
        <v>24</v>
      </c>
      <c r="F13" s="5">
        <f t="shared" si="0"/>
        <v>-1</v>
      </c>
      <c r="G13" s="10">
        <f t="shared" si="1"/>
        <v>0.96</v>
      </c>
    </row>
    <row r="14" spans="1:13">
      <c r="A14" s="5">
        <v>10</v>
      </c>
      <c r="B14" s="21" t="s">
        <v>128</v>
      </c>
      <c r="C14" s="23" t="s">
        <v>11</v>
      </c>
      <c r="D14" s="23">
        <v>25</v>
      </c>
      <c r="E14" s="20">
        <v>24</v>
      </c>
      <c r="F14" s="5">
        <f t="shared" si="0"/>
        <v>-1</v>
      </c>
      <c r="G14" s="10">
        <f t="shared" si="1"/>
        <v>0.96</v>
      </c>
    </row>
    <row r="15" spans="1:13">
      <c r="A15" s="5">
        <v>11</v>
      </c>
      <c r="B15" s="21" t="s">
        <v>129</v>
      </c>
      <c r="C15" s="23" t="s">
        <v>11</v>
      </c>
      <c r="D15" s="23">
        <v>25</v>
      </c>
      <c r="E15" s="20">
        <v>26</v>
      </c>
      <c r="F15" s="5">
        <f t="shared" si="0"/>
        <v>1</v>
      </c>
      <c r="G15" s="10">
        <f t="shared" si="1"/>
        <v>1.04</v>
      </c>
    </row>
    <row r="16" spans="1:13">
      <c r="A16" s="5">
        <v>12</v>
      </c>
      <c r="B16" s="21" t="s">
        <v>130</v>
      </c>
      <c r="C16" s="23" t="s">
        <v>11</v>
      </c>
      <c r="D16" s="23">
        <v>25</v>
      </c>
      <c r="E16" s="20">
        <v>26</v>
      </c>
      <c r="F16" s="5">
        <f t="shared" si="0"/>
        <v>1</v>
      </c>
      <c r="G16" s="10">
        <f t="shared" si="1"/>
        <v>1.04</v>
      </c>
    </row>
    <row r="17" spans="1:7">
      <c r="A17" s="5">
        <v>13</v>
      </c>
      <c r="B17" s="19" t="s">
        <v>131</v>
      </c>
      <c r="C17" s="20" t="s">
        <v>9</v>
      </c>
      <c r="D17" s="20">
        <v>35</v>
      </c>
      <c r="E17" s="20">
        <v>4</v>
      </c>
      <c r="F17" s="5">
        <f t="shared" si="0"/>
        <v>-31</v>
      </c>
      <c r="G17" s="10">
        <f t="shared" si="1"/>
        <v>0.11428571428571428</v>
      </c>
    </row>
    <row r="18" spans="1:7">
      <c r="A18" s="5">
        <v>14</v>
      </c>
      <c r="B18" s="21" t="s">
        <v>132</v>
      </c>
      <c r="C18" s="22" t="s">
        <v>11</v>
      </c>
      <c r="D18" s="20">
        <v>25</v>
      </c>
      <c r="E18" s="20">
        <v>39</v>
      </c>
      <c r="F18" s="5">
        <f t="shared" si="0"/>
        <v>14</v>
      </c>
      <c r="G18" s="10">
        <f t="shared" si="1"/>
        <v>1.56</v>
      </c>
    </row>
    <row r="19" spans="1:7">
      <c r="A19" s="5">
        <v>15</v>
      </c>
      <c r="B19" s="21" t="s">
        <v>133</v>
      </c>
      <c r="C19" s="22" t="s">
        <v>11</v>
      </c>
      <c r="D19" s="22">
        <v>25</v>
      </c>
      <c r="E19" s="20">
        <v>27</v>
      </c>
      <c r="F19" s="5">
        <f t="shared" si="0"/>
        <v>2</v>
      </c>
      <c r="G19" s="10">
        <f t="shared" si="1"/>
        <v>1.08</v>
      </c>
    </row>
    <row r="20" spans="1:7">
      <c r="A20" s="5">
        <v>16</v>
      </c>
      <c r="B20" s="21" t="s">
        <v>134</v>
      </c>
      <c r="C20" s="23" t="s">
        <v>11</v>
      </c>
      <c r="D20" s="23">
        <v>25</v>
      </c>
      <c r="E20" s="20">
        <v>17</v>
      </c>
      <c r="F20" s="5">
        <f t="shared" si="0"/>
        <v>-8</v>
      </c>
      <c r="G20" s="10">
        <f t="shared" si="1"/>
        <v>0.68</v>
      </c>
    </row>
    <row r="21" spans="1:7">
      <c r="A21" s="5">
        <v>17</v>
      </c>
      <c r="B21" s="21" t="s">
        <v>135</v>
      </c>
      <c r="C21" s="23" t="s">
        <v>11</v>
      </c>
      <c r="D21" s="23">
        <v>25</v>
      </c>
      <c r="E21" s="20">
        <v>3</v>
      </c>
      <c r="F21" s="5">
        <f t="shared" si="0"/>
        <v>-22</v>
      </c>
      <c r="G21" s="10">
        <f t="shared" si="1"/>
        <v>0.12</v>
      </c>
    </row>
    <row r="22" spans="1:7">
      <c r="A22" s="5">
        <v>18</v>
      </c>
      <c r="B22" s="21" t="s">
        <v>136</v>
      </c>
      <c r="C22" s="23" t="s">
        <v>11</v>
      </c>
      <c r="D22" s="23">
        <v>25</v>
      </c>
      <c r="E22" s="20">
        <v>1</v>
      </c>
      <c r="F22" s="5">
        <f t="shared" si="0"/>
        <v>-24</v>
      </c>
      <c r="G22" s="10">
        <f t="shared" si="1"/>
        <v>0.04</v>
      </c>
    </row>
    <row r="23" spans="1:7">
      <c r="A23" s="5"/>
      <c r="B23" s="24" t="s">
        <v>176</v>
      </c>
      <c r="C23" s="24"/>
      <c r="D23" s="24">
        <v>450</v>
      </c>
      <c r="E23" s="24">
        <f>SUM(E5:E22)</f>
        <v>369</v>
      </c>
      <c r="F23" s="24">
        <f t="shared" si="0"/>
        <v>-81</v>
      </c>
      <c r="G23" s="25">
        <f t="shared" si="1"/>
        <v>0.82</v>
      </c>
    </row>
  </sheetData>
  <mergeCells count="8"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7FF9-C2B6-4D6E-9735-41BBF9D29B01}">
  <dimension ref="A2:M14"/>
  <sheetViews>
    <sheetView workbookViewId="0">
      <selection activeCell="J7" sqref="J7:M8"/>
    </sheetView>
  </sheetViews>
  <sheetFormatPr defaultRowHeight="14.5"/>
  <cols>
    <col min="1" max="1" width="6.453125" customWidth="1"/>
    <col min="2" max="2" width="27.7265625" customWidth="1"/>
    <col min="7" max="7" width="8.7265625" style="11"/>
    <col min="9" max="9" width="4" customWidth="1"/>
    <col min="10" max="10" width="17.7265625" customWidth="1"/>
    <col min="11" max="11" width="13.453125" customWidth="1"/>
    <col min="13" max="13" width="8.7265625" style="11"/>
  </cols>
  <sheetData>
    <row r="2" spans="1:13">
      <c r="A2" s="207" t="s">
        <v>0</v>
      </c>
      <c r="B2" s="208" t="s">
        <v>1</v>
      </c>
      <c r="C2" s="215" t="s">
        <v>7</v>
      </c>
      <c r="D2" s="216"/>
      <c r="E2" s="216"/>
      <c r="F2" s="216"/>
      <c r="G2" s="216"/>
    </row>
    <row r="3" spans="1:13">
      <c r="A3" s="207"/>
      <c r="B3" s="208"/>
      <c r="C3" s="211" t="s">
        <v>2</v>
      </c>
      <c r="D3" s="211" t="s">
        <v>3</v>
      </c>
      <c r="E3" s="211" t="s">
        <v>4</v>
      </c>
      <c r="F3" s="211" t="s">
        <v>5</v>
      </c>
      <c r="G3" s="213" t="s">
        <v>6</v>
      </c>
    </row>
    <row r="4" spans="1:13" ht="3" customHeight="1">
      <c r="A4" s="207"/>
      <c r="B4" s="208"/>
      <c r="C4" s="212"/>
      <c r="D4" s="212"/>
      <c r="E4" s="212"/>
      <c r="F4" s="212"/>
      <c r="G4" s="214"/>
    </row>
    <row r="5" spans="1:13">
      <c r="A5" s="5">
        <v>1</v>
      </c>
      <c r="B5" s="21" t="s">
        <v>137</v>
      </c>
      <c r="C5" s="22" t="s">
        <v>9</v>
      </c>
      <c r="D5" s="22">
        <v>35</v>
      </c>
      <c r="E5" s="20">
        <v>0</v>
      </c>
      <c r="F5" s="5">
        <f>E5-D5</f>
        <v>-35</v>
      </c>
      <c r="G5" s="10">
        <f>E5/D5*100%</f>
        <v>0</v>
      </c>
    </row>
    <row r="6" spans="1:13">
      <c r="A6" s="5">
        <v>2</v>
      </c>
      <c r="B6" s="19" t="s">
        <v>138</v>
      </c>
      <c r="C6" s="20" t="s">
        <v>11</v>
      </c>
      <c r="D6" s="20">
        <v>25</v>
      </c>
      <c r="E6" s="20">
        <v>25</v>
      </c>
      <c r="F6" s="5">
        <f t="shared" ref="F6:F14" si="0">E6-D6</f>
        <v>0</v>
      </c>
      <c r="G6" s="10">
        <f t="shared" ref="G6:G14" si="1">E6/D6*100%</f>
        <v>1</v>
      </c>
      <c r="I6" s="33" t="s">
        <v>92</v>
      </c>
      <c r="J6" s="33" t="s">
        <v>170</v>
      </c>
      <c r="K6" s="33" t="s">
        <v>41</v>
      </c>
      <c r="L6" s="33" t="s">
        <v>42</v>
      </c>
      <c r="M6" s="46" t="s">
        <v>6</v>
      </c>
    </row>
    <row r="7" spans="1:13">
      <c r="A7" s="5">
        <v>3</v>
      </c>
      <c r="B7" s="21" t="s">
        <v>139</v>
      </c>
      <c r="C7" s="22" t="s">
        <v>11</v>
      </c>
      <c r="D7" s="20">
        <v>25</v>
      </c>
      <c r="E7" s="20">
        <v>26</v>
      </c>
      <c r="F7" s="5">
        <f t="shared" si="0"/>
        <v>1</v>
      </c>
      <c r="G7" s="10">
        <f t="shared" si="1"/>
        <v>1.04</v>
      </c>
      <c r="I7" s="2">
        <v>1</v>
      </c>
      <c r="J7" s="2" t="s">
        <v>172</v>
      </c>
      <c r="K7" s="2">
        <v>150</v>
      </c>
      <c r="L7" s="2">
        <v>115</v>
      </c>
      <c r="M7" s="45">
        <f>L7/K7*100%</f>
        <v>0.76666666666666672</v>
      </c>
    </row>
    <row r="8" spans="1:13">
      <c r="A8" s="5">
        <v>4</v>
      </c>
      <c r="B8" s="21" t="s">
        <v>140</v>
      </c>
      <c r="C8" s="22" t="s">
        <v>11</v>
      </c>
      <c r="D8" s="22">
        <v>25</v>
      </c>
      <c r="E8" s="20">
        <v>23</v>
      </c>
      <c r="F8" s="5">
        <f t="shared" si="0"/>
        <v>-2</v>
      </c>
      <c r="G8" s="10">
        <f t="shared" si="1"/>
        <v>0.92</v>
      </c>
      <c r="I8" s="2">
        <v>2</v>
      </c>
      <c r="J8" s="2" t="s">
        <v>858</v>
      </c>
      <c r="K8" s="2">
        <v>75</v>
      </c>
      <c r="L8" s="2">
        <v>4</v>
      </c>
      <c r="M8" s="45">
        <f>L8/K8*100%</f>
        <v>5.3333333333333337E-2</v>
      </c>
    </row>
    <row r="9" spans="1:13">
      <c r="A9" s="5">
        <v>5</v>
      </c>
      <c r="B9" s="21" t="s">
        <v>141</v>
      </c>
      <c r="C9" s="23" t="s">
        <v>11</v>
      </c>
      <c r="D9" s="23">
        <v>25</v>
      </c>
      <c r="E9" s="20">
        <v>27</v>
      </c>
      <c r="F9" s="5">
        <f t="shared" si="0"/>
        <v>2</v>
      </c>
      <c r="G9" s="10">
        <f t="shared" si="1"/>
        <v>1.08</v>
      </c>
    </row>
    <row r="10" spans="1:13">
      <c r="A10" s="5">
        <v>6</v>
      </c>
      <c r="B10" s="21" t="s">
        <v>142</v>
      </c>
      <c r="C10" s="23" t="s">
        <v>11</v>
      </c>
      <c r="D10" s="23">
        <v>25</v>
      </c>
      <c r="E10" s="20">
        <v>14</v>
      </c>
      <c r="F10" s="5">
        <f t="shared" si="0"/>
        <v>-11</v>
      </c>
      <c r="G10" s="10">
        <f t="shared" si="1"/>
        <v>0.56000000000000005</v>
      </c>
    </row>
    <row r="11" spans="1:13">
      <c r="A11" s="5">
        <v>7</v>
      </c>
      <c r="B11" s="21" t="s">
        <v>143</v>
      </c>
      <c r="C11" s="22" t="s">
        <v>11</v>
      </c>
      <c r="D11" s="20">
        <v>25</v>
      </c>
      <c r="E11" s="20">
        <v>0</v>
      </c>
      <c r="F11" s="5">
        <f t="shared" si="0"/>
        <v>-25</v>
      </c>
      <c r="G11" s="10">
        <f t="shared" si="1"/>
        <v>0</v>
      </c>
    </row>
    <row r="12" spans="1:13">
      <c r="A12" s="5">
        <v>8</v>
      </c>
      <c r="B12" s="21" t="s">
        <v>144</v>
      </c>
      <c r="C12" s="22" t="s">
        <v>11</v>
      </c>
      <c r="D12" s="22">
        <v>25</v>
      </c>
      <c r="E12" s="20">
        <v>2</v>
      </c>
      <c r="F12" s="5">
        <f t="shared" si="0"/>
        <v>-23</v>
      </c>
      <c r="G12" s="10">
        <f t="shared" si="1"/>
        <v>0.08</v>
      </c>
    </row>
    <row r="13" spans="1:13">
      <c r="A13" s="5">
        <v>9</v>
      </c>
      <c r="B13" s="21" t="s">
        <v>145</v>
      </c>
      <c r="C13" s="23" t="s">
        <v>11</v>
      </c>
      <c r="D13" s="23">
        <v>25</v>
      </c>
      <c r="E13" s="20">
        <v>2</v>
      </c>
      <c r="F13" s="5">
        <f t="shared" si="0"/>
        <v>-23</v>
      </c>
      <c r="G13" s="10">
        <f t="shared" si="1"/>
        <v>0.08</v>
      </c>
    </row>
    <row r="14" spans="1:13">
      <c r="A14" s="5"/>
      <c r="B14" s="24" t="s">
        <v>31</v>
      </c>
      <c r="C14" s="24"/>
      <c r="D14" s="42">
        <v>225</v>
      </c>
      <c r="E14" s="24">
        <f>SUM(E5:E13)</f>
        <v>119</v>
      </c>
      <c r="F14" s="24">
        <f t="shared" si="0"/>
        <v>-106</v>
      </c>
      <c r="G14" s="25">
        <f t="shared" si="1"/>
        <v>0.52888888888888885</v>
      </c>
    </row>
  </sheetData>
  <mergeCells count="8"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4825-6CA5-4EC6-A6AB-AD08C8552586}">
  <dimension ref="A1:G10"/>
  <sheetViews>
    <sheetView workbookViewId="0">
      <selection activeCell="B14" sqref="B14"/>
    </sheetView>
  </sheetViews>
  <sheetFormatPr defaultRowHeight="14.5"/>
  <cols>
    <col min="1" max="1" width="4.90625" customWidth="1"/>
    <col min="2" max="2" width="26.90625" customWidth="1"/>
    <col min="7" max="7" width="8.7265625" style="11"/>
  </cols>
  <sheetData>
    <row r="1" spans="1:7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07"/>
      <c r="B3" s="208"/>
      <c r="C3" s="212"/>
      <c r="D3" s="212"/>
      <c r="E3" s="212"/>
      <c r="F3" s="212"/>
      <c r="G3" s="214"/>
    </row>
    <row r="4" spans="1:7">
      <c r="A4" s="5">
        <v>1</v>
      </c>
      <c r="B4" s="19" t="s">
        <v>146</v>
      </c>
      <c r="C4" s="20" t="s">
        <v>9</v>
      </c>
      <c r="D4" s="20">
        <v>35</v>
      </c>
      <c r="E4" s="20">
        <v>3</v>
      </c>
      <c r="F4" s="5">
        <f>E4-D4</f>
        <v>-32</v>
      </c>
      <c r="G4" s="10">
        <f>E4/D4*100%</f>
        <v>8.5714285714285715E-2</v>
      </c>
    </row>
    <row r="5" spans="1:7">
      <c r="A5" s="5">
        <v>2</v>
      </c>
      <c r="B5" s="21" t="s">
        <v>147</v>
      </c>
      <c r="C5" s="22" t="s">
        <v>11</v>
      </c>
      <c r="D5" s="20">
        <v>25</v>
      </c>
      <c r="E5" s="20">
        <v>36</v>
      </c>
      <c r="F5" s="5">
        <f t="shared" ref="F5:F10" si="0">E5-D5</f>
        <v>11</v>
      </c>
      <c r="G5" s="10">
        <f t="shared" ref="G5:G10" si="1">E5/D5*100%</f>
        <v>1.44</v>
      </c>
    </row>
    <row r="6" spans="1:7">
      <c r="A6" s="5">
        <v>3</v>
      </c>
      <c r="B6" s="21" t="s">
        <v>148</v>
      </c>
      <c r="C6" s="23" t="s">
        <v>11</v>
      </c>
      <c r="D6" s="23">
        <v>25</v>
      </c>
      <c r="E6" s="20">
        <v>12</v>
      </c>
      <c r="F6" s="5">
        <f t="shared" si="0"/>
        <v>-13</v>
      </c>
      <c r="G6" s="10">
        <f t="shared" si="1"/>
        <v>0.48</v>
      </c>
    </row>
    <row r="7" spans="1:7">
      <c r="A7" s="5">
        <v>4</v>
      </c>
      <c r="B7" s="21" t="s">
        <v>149</v>
      </c>
      <c r="C7" s="23" t="s">
        <v>11</v>
      </c>
      <c r="D7" s="23">
        <v>25</v>
      </c>
      <c r="E7" s="20">
        <v>11</v>
      </c>
      <c r="F7" s="5">
        <f t="shared" si="0"/>
        <v>-14</v>
      </c>
      <c r="G7" s="10">
        <f t="shared" si="1"/>
        <v>0.44</v>
      </c>
    </row>
    <row r="8" spans="1:7">
      <c r="A8" s="5">
        <v>5</v>
      </c>
      <c r="B8" s="21" t="s">
        <v>150</v>
      </c>
      <c r="C8" s="23"/>
      <c r="D8" s="23">
        <v>25</v>
      </c>
      <c r="E8" s="20">
        <v>5</v>
      </c>
      <c r="F8" s="5">
        <f t="shared" si="0"/>
        <v>-20</v>
      </c>
      <c r="G8" s="10">
        <f t="shared" si="1"/>
        <v>0.2</v>
      </c>
    </row>
    <row r="9" spans="1:7">
      <c r="A9" s="5">
        <v>6</v>
      </c>
      <c r="B9" s="43" t="s">
        <v>151</v>
      </c>
      <c r="C9" s="23" t="s">
        <v>11</v>
      </c>
      <c r="D9" s="23">
        <v>25</v>
      </c>
      <c r="E9" s="20">
        <v>4</v>
      </c>
      <c r="F9" s="5">
        <f t="shared" si="0"/>
        <v>-21</v>
      </c>
      <c r="G9" s="10">
        <f t="shared" si="1"/>
        <v>0.16</v>
      </c>
    </row>
    <row r="10" spans="1:7">
      <c r="A10" s="5"/>
      <c r="B10" s="5" t="s">
        <v>31</v>
      </c>
      <c r="C10" s="5"/>
      <c r="D10" s="23">
        <v>150</v>
      </c>
      <c r="E10" s="5">
        <f>SUM(E4:E9)</f>
        <v>71</v>
      </c>
      <c r="F10" s="5">
        <f t="shared" si="0"/>
        <v>-79</v>
      </c>
      <c r="G10" s="10">
        <f t="shared" si="1"/>
        <v>0.47333333333333333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0E80-1E7B-42E3-9526-174BFE81DCDD}">
  <dimension ref="A1:M22"/>
  <sheetViews>
    <sheetView workbookViewId="0">
      <selection activeCell="J2" sqref="J2:M4"/>
    </sheetView>
  </sheetViews>
  <sheetFormatPr defaultRowHeight="14.5"/>
  <cols>
    <col min="1" max="1" width="4.7265625" customWidth="1"/>
    <col min="2" max="2" width="27.1796875" customWidth="1"/>
    <col min="7" max="7" width="8.7265625" style="11"/>
    <col min="9" max="9" width="4.453125" customWidth="1"/>
    <col min="10" max="10" width="24.7265625" customWidth="1"/>
    <col min="13" max="13" width="8.7265625" style="11"/>
  </cols>
  <sheetData>
    <row r="1" spans="1:13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  <c r="I1" s="34" t="s">
        <v>92</v>
      </c>
      <c r="J1" s="34" t="s">
        <v>170</v>
      </c>
      <c r="K1" s="34" t="s">
        <v>41</v>
      </c>
      <c r="L1" s="34" t="s">
        <v>42</v>
      </c>
      <c r="M1" s="44" t="s">
        <v>6</v>
      </c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  <c r="I2" s="2">
        <v>1</v>
      </c>
      <c r="J2" s="2" t="s">
        <v>171</v>
      </c>
      <c r="K2" s="2">
        <v>190</v>
      </c>
      <c r="L2" s="2">
        <v>155</v>
      </c>
      <c r="M2" s="45">
        <f>L2/K2*100%</f>
        <v>0.81578947368421051</v>
      </c>
    </row>
    <row r="3" spans="1:13">
      <c r="A3" s="207"/>
      <c r="B3" s="208"/>
      <c r="C3" s="212"/>
      <c r="D3" s="212"/>
      <c r="E3" s="212"/>
      <c r="F3" s="212"/>
      <c r="G3" s="214"/>
      <c r="I3" s="2">
        <v>2</v>
      </c>
      <c r="J3" s="2" t="s">
        <v>860</v>
      </c>
      <c r="K3" s="2">
        <v>125</v>
      </c>
      <c r="L3" s="2">
        <v>24</v>
      </c>
      <c r="M3" s="45">
        <f t="shared" ref="M3:M4" si="0">L3/K3*100%</f>
        <v>0.192</v>
      </c>
    </row>
    <row r="4" spans="1:13">
      <c r="A4" s="5">
        <v>1</v>
      </c>
      <c r="B4" s="36" t="s">
        <v>152</v>
      </c>
      <c r="C4" s="20" t="s">
        <v>9</v>
      </c>
      <c r="D4" s="20">
        <v>35</v>
      </c>
      <c r="E4" s="20">
        <v>0</v>
      </c>
      <c r="F4" s="5">
        <f>E4-D4</f>
        <v>-35</v>
      </c>
      <c r="G4" s="41">
        <f>E4/D4*100%</f>
        <v>0</v>
      </c>
      <c r="I4" s="2">
        <v>3</v>
      </c>
      <c r="J4" s="2" t="s">
        <v>860</v>
      </c>
      <c r="K4" s="2">
        <v>125</v>
      </c>
      <c r="L4" s="2">
        <v>2</v>
      </c>
      <c r="M4" s="45">
        <f t="shared" si="0"/>
        <v>1.6E-2</v>
      </c>
    </row>
    <row r="5" spans="1:13">
      <c r="A5" s="5">
        <v>2</v>
      </c>
      <c r="B5" s="21" t="s">
        <v>153</v>
      </c>
      <c r="C5" s="22" t="s">
        <v>11</v>
      </c>
      <c r="D5" s="20">
        <v>25</v>
      </c>
      <c r="E5" s="20">
        <v>31</v>
      </c>
      <c r="F5" s="5">
        <f t="shared" ref="F5:F22" si="1">E5-D5</f>
        <v>6</v>
      </c>
      <c r="G5" s="41">
        <f t="shared" ref="G5:G22" si="2">E5/D5*100%</f>
        <v>1.24</v>
      </c>
    </row>
    <row r="6" spans="1:13">
      <c r="A6" s="5">
        <v>3</v>
      </c>
      <c r="B6" s="21" t="s">
        <v>154</v>
      </c>
      <c r="C6" s="22" t="s">
        <v>11</v>
      </c>
      <c r="D6" s="22">
        <v>25</v>
      </c>
      <c r="E6" s="20">
        <v>31</v>
      </c>
      <c r="F6" s="5">
        <f t="shared" si="1"/>
        <v>6</v>
      </c>
      <c r="G6" s="41">
        <f t="shared" si="2"/>
        <v>1.24</v>
      </c>
    </row>
    <row r="7" spans="1:13">
      <c r="A7" s="5">
        <v>4</v>
      </c>
      <c r="B7" s="21" t="s">
        <v>155</v>
      </c>
      <c r="C7" s="22" t="s">
        <v>11</v>
      </c>
      <c r="D7" s="23">
        <v>25</v>
      </c>
      <c r="E7" s="20">
        <v>26</v>
      </c>
      <c r="F7" s="5">
        <f t="shared" si="1"/>
        <v>1</v>
      </c>
      <c r="G7" s="41">
        <f t="shared" si="2"/>
        <v>1.04</v>
      </c>
    </row>
    <row r="8" spans="1:13">
      <c r="A8" s="5">
        <v>5</v>
      </c>
      <c r="B8" s="21" t="s">
        <v>156</v>
      </c>
      <c r="C8" s="22" t="s">
        <v>11</v>
      </c>
      <c r="D8" s="22">
        <v>25</v>
      </c>
      <c r="E8" s="20">
        <v>18</v>
      </c>
      <c r="F8" s="5">
        <f t="shared" si="1"/>
        <v>-7</v>
      </c>
      <c r="G8" s="41">
        <f t="shared" si="2"/>
        <v>0.72</v>
      </c>
    </row>
    <row r="9" spans="1:13">
      <c r="A9" s="5">
        <v>6</v>
      </c>
      <c r="B9" s="21" t="s">
        <v>157</v>
      </c>
      <c r="C9" s="22" t="s">
        <v>11</v>
      </c>
      <c r="D9" s="23">
        <v>25</v>
      </c>
      <c r="E9" s="20">
        <v>24</v>
      </c>
      <c r="F9" s="5">
        <f t="shared" si="1"/>
        <v>-1</v>
      </c>
      <c r="G9" s="41">
        <f t="shared" si="2"/>
        <v>0.96</v>
      </c>
    </row>
    <row r="10" spans="1:13">
      <c r="A10" s="5">
        <v>7</v>
      </c>
      <c r="B10" s="37" t="s">
        <v>158</v>
      </c>
      <c r="C10" s="22" t="s">
        <v>11</v>
      </c>
      <c r="D10" s="22">
        <v>25</v>
      </c>
      <c r="E10" s="20">
        <v>10</v>
      </c>
      <c r="F10" s="5">
        <f t="shared" si="1"/>
        <v>-15</v>
      </c>
      <c r="G10" s="41">
        <f t="shared" si="2"/>
        <v>0.4</v>
      </c>
    </row>
    <row r="11" spans="1:13">
      <c r="A11" s="5">
        <v>8</v>
      </c>
      <c r="B11" s="37" t="s">
        <v>159</v>
      </c>
      <c r="C11" s="22" t="s">
        <v>11</v>
      </c>
      <c r="D11" s="23">
        <v>25</v>
      </c>
      <c r="E11" s="20">
        <v>15</v>
      </c>
      <c r="F11" s="5">
        <f t="shared" si="1"/>
        <v>-10</v>
      </c>
      <c r="G11" s="41">
        <f t="shared" si="2"/>
        <v>0.6</v>
      </c>
    </row>
    <row r="12" spans="1:13">
      <c r="A12" s="5">
        <v>9</v>
      </c>
      <c r="B12" s="37" t="s">
        <v>160</v>
      </c>
      <c r="C12" s="22" t="s">
        <v>11</v>
      </c>
      <c r="D12" s="20">
        <v>25</v>
      </c>
      <c r="E12" s="20">
        <v>3</v>
      </c>
      <c r="F12" s="5">
        <f t="shared" si="1"/>
        <v>-22</v>
      </c>
      <c r="G12" s="41">
        <f t="shared" si="2"/>
        <v>0.12</v>
      </c>
    </row>
    <row r="13" spans="1:13">
      <c r="A13" s="5">
        <v>10</v>
      </c>
      <c r="B13" s="37" t="s">
        <v>161</v>
      </c>
      <c r="C13" s="22" t="s">
        <v>11</v>
      </c>
      <c r="D13" s="38">
        <v>25</v>
      </c>
      <c r="E13" s="39">
        <v>9</v>
      </c>
      <c r="F13" s="5">
        <f t="shared" si="1"/>
        <v>-16</v>
      </c>
      <c r="G13" s="41">
        <f t="shared" si="2"/>
        <v>0.36</v>
      </c>
    </row>
    <row r="14" spans="1:13">
      <c r="A14" s="5">
        <v>11</v>
      </c>
      <c r="B14" s="21" t="s">
        <v>162</v>
      </c>
      <c r="C14" s="22" t="s">
        <v>11</v>
      </c>
      <c r="D14" s="38">
        <v>25</v>
      </c>
      <c r="E14" s="39">
        <v>7</v>
      </c>
      <c r="F14" s="5">
        <f t="shared" si="1"/>
        <v>-18</v>
      </c>
      <c r="G14" s="41">
        <f t="shared" si="2"/>
        <v>0.28000000000000003</v>
      </c>
    </row>
    <row r="15" spans="1:13">
      <c r="A15" s="5">
        <v>12</v>
      </c>
      <c r="B15" s="21" t="s">
        <v>163</v>
      </c>
      <c r="C15" s="22" t="s">
        <v>11</v>
      </c>
      <c r="D15" s="22">
        <v>25</v>
      </c>
      <c r="E15" s="22">
        <v>3</v>
      </c>
      <c r="F15" s="5">
        <f t="shared" si="1"/>
        <v>-22</v>
      </c>
      <c r="G15" s="41">
        <f t="shared" si="2"/>
        <v>0.12</v>
      </c>
    </row>
    <row r="16" spans="1:13">
      <c r="A16" s="5">
        <v>13</v>
      </c>
      <c r="B16" s="21" t="s">
        <v>164</v>
      </c>
      <c r="C16" s="22" t="s">
        <v>11</v>
      </c>
      <c r="D16" s="22">
        <v>25</v>
      </c>
      <c r="E16" s="22">
        <v>2</v>
      </c>
      <c r="F16" s="5">
        <f t="shared" si="1"/>
        <v>-23</v>
      </c>
      <c r="G16" s="41">
        <f t="shared" si="2"/>
        <v>0.08</v>
      </c>
    </row>
    <row r="17" spans="1:7">
      <c r="A17" s="5">
        <v>14</v>
      </c>
      <c r="B17" s="37" t="s">
        <v>165</v>
      </c>
      <c r="C17" s="22" t="s">
        <v>11</v>
      </c>
      <c r="D17" s="20">
        <v>25</v>
      </c>
      <c r="E17" s="20">
        <v>1</v>
      </c>
      <c r="F17" s="5">
        <f t="shared" si="1"/>
        <v>-24</v>
      </c>
      <c r="G17" s="41">
        <f t="shared" si="2"/>
        <v>0.04</v>
      </c>
    </row>
    <row r="18" spans="1:7">
      <c r="A18" s="5">
        <v>15</v>
      </c>
      <c r="B18" s="21" t="s">
        <v>166</v>
      </c>
      <c r="C18" s="22" t="s">
        <v>11</v>
      </c>
      <c r="D18" s="38">
        <v>25</v>
      </c>
      <c r="E18" s="39">
        <v>1</v>
      </c>
      <c r="F18" s="5">
        <f t="shared" si="1"/>
        <v>-24</v>
      </c>
      <c r="G18" s="41">
        <f t="shared" si="2"/>
        <v>0.04</v>
      </c>
    </row>
    <row r="19" spans="1:7">
      <c r="A19" s="5">
        <v>16</v>
      </c>
      <c r="B19" s="21" t="s">
        <v>167</v>
      </c>
      <c r="C19" s="22" t="s">
        <v>11</v>
      </c>
      <c r="D19" s="22">
        <v>25</v>
      </c>
      <c r="E19" s="22">
        <v>0</v>
      </c>
      <c r="F19" s="5">
        <f t="shared" si="1"/>
        <v>-25</v>
      </c>
      <c r="G19" s="41">
        <f t="shared" si="2"/>
        <v>0</v>
      </c>
    </row>
    <row r="20" spans="1:7">
      <c r="A20" s="5">
        <v>17</v>
      </c>
      <c r="B20" s="21" t="s">
        <v>168</v>
      </c>
      <c r="C20" s="22" t="s">
        <v>11</v>
      </c>
      <c r="D20" s="22">
        <v>25</v>
      </c>
      <c r="E20" s="22">
        <v>0</v>
      </c>
      <c r="F20" s="5">
        <f t="shared" si="1"/>
        <v>-25</v>
      </c>
      <c r="G20" s="41">
        <f t="shared" si="2"/>
        <v>0</v>
      </c>
    </row>
    <row r="21" spans="1:7">
      <c r="A21" s="5">
        <v>18</v>
      </c>
      <c r="B21" s="21" t="s">
        <v>169</v>
      </c>
      <c r="C21" s="22" t="s">
        <v>11</v>
      </c>
      <c r="D21" s="22">
        <v>25</v>
      </c>
      <c r="E21" s="22">
        <v>0</v>
      </c>
      <c r="F21" s="5">
        <f t="shared" si="1"/>
        <v>-25</v>
      </c>
      <c r="G21" s="41">
        <f t="shared" si="2"/>
        <v>0</v>
      </c>
    </row>
    <row r="22" spans="1:7">
      <c r="A22" s="5"/>
      <c r="B22" s="24" t="s">
        <v>31</v>
      </c>
      <c r="C22" s="24"/>
      <c r="D22" s="40">
        <v>440</v>
      </c>
      <c r="E22" s="24">
        <f>SUM(E4:E21)</f>
        <v>181</v>
      </c>
      <c r="F22" s="5">
        <f t="shared" si="1"/>
        <v>-259</v>
      </c>
      <c r="G22" s="41">
        <f t="shared" si="2"/>
        <v>0.41136363636363638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4A25-CEA5-436D-B74C-FB6FB7FE5DE3}">
  <dimension ref="A2:M26"/>
  <sheetViews>
    <sheetView workbookViewId="0">
      <selection activeCell="J7" sqref="J7:M9"/>
    </sheetView>
  </sheetViews>
  <sheetFormatPr defaultRowHeight="14.5"/>
  <cols>
    <col min="1" max="1" width="6.36328125" style="13" customWidth="1"/>
    <col min="2" max="2" width="27.1796875" customWidth="1"/>
    <col min="6" max="6" width="8.7265625" style="13"/>
    <col min="7" max="7" width="8.7265625" style="16"/>
    <col min="9" max="9" width="6.1796875" customWidth="1"/>
    <col min="10" max="10" width="16.90625" customWidth="1"/>
    <col min="13" max="13" width="8.7265625" style="11"/>
  </cols>
  <sheetData>
    <row r="2" spans="1:13">
      <c r="A2" s="207" t="s">
        <v>0</v>
      </c>
      <c r="B2" s="208" t="s">
        <v>1</v>
      </c>
      <c r="C2" s="215" t="s">
        <v>7</v>
      </c>
      <c r="D2" s="216"/>
      <c r="E2" s="216"/>
      <c r="F2" s="216"/>
      <c r="G2" s="216"/>
    </row>
    <row r="3" spans="1:13">
      <c r="A3" s="207"/>
      <c r="B3" s="208"/>
      <c r="C3" s="211" t="s">
        <v>2</v>
      </c>
      <c r="D3" s="211" t="s">
        <v>3</v>
      </c>
      <c r="E3" s="211" t="s">
        <v>4</v>
      </c>
      <c r="F3" s="211" t="s">
        <v>5</v>
      </c>
      <c r="G3" s="213" t="s">
        <v>6</v>
      </c>
    </row>
    <row r="4" spans="1:13" ht="6" customHeight="1">
      <c r="A4" s="207"/>
      <c r="B4" s="208"/>
      <c r="C4" s="212"/>
      <c r="D4" s="212"/>
      <c r="E4" s="212"/>
      <c r="F4" s="212"/>
      <c r="G4" s="214"/>
    </row>
    <row r="5" spans="1:13">
      <c r="A5" s="12">
        <v>1</v>
      </c>
      <c r="B5" s="3" t="s">
        <v>8</v>
      </c>
      <c r="C5" s="4" t="s">
        <v>9</v>
      </c>
      <c r="D5" s="4">
        <v>25</v>
      </c>
      <c r="E5" s="4">
        <v>0</v>
      </c>
      <c r="F5" s="14">
        <f>E5-D5</f>
        <v>-25</v>
      </c>
      <c r="G5" s="15">
        <f>E5/D5*100%</f>
        <v>0</v>
      </c>
    </row>
    <row r="6" spans="1:13">
      <c r="A6" s="12">
        <v>2</v>
      </c>
      <c r="B6" s="6" t="s">
        <v>10</v>
      </c>
      <c r="C6" s="7" t="s">
        <v>11</v>
      </c>
      <c r="D6" s="4">
        <v>25</v>
      </c>
      <c r="E6" s="4">
        <v>17</v>
      </c>
      <c r="F6" s="14">
        <f t="shared" ref="F6:F26" si="0">E6-D6</f>
        <v>-8</v>
      </c>
      <c r="G6" s="15">
        <f t="shared" ref="G6:G26" si="1">E6/D6*100%</f>
        <v>0.68</v>
      </c>
      <c r="I6" s="33" t="s">
        <v>92</v>
      </c>
      <c r="J6" s="33" t="s">
        <v>170</v>
      </c>
      <c r="K6" s="33" t="s">
        <v>41</v>
      </c>
      <c r="L6" s="33" t="s">
        <v>42</v>
      </c>
      <c r="M6" s="46" t="s">
        <v>6</v>
      </c>
    </row>
    <row r="7" spans="1:13">
      <c r="A7" s="12">
        <v>3</v>
      </c>
      <c r="B7" s="6" t="s">
        <v>12</v>
      </c>
      <c r="C7" s="7" t="s">
        <v>11</v>
      </c>
      <c r="D7" s="4">
        <v>25</v>
      </c>
      <c r="E7" s="4">
        <v>17</v>
      </c>
      <c r="F7" s="14">
        <f t="shared" si="0"/>
        <v>-8</v>
      </c>
      <c r="G7" s="15">
        <f t="shared" si="1"/>
        <v>0.68</v>
      </c>
      <c r="I7" s="2">
        <v>1</v>
      </c>
      <c r="J7" s="2" t="s">
        <v>181</v>
      </c>
      <c r="K7" s="2">
        <v>150</v>
      </c>
      <c r="L7" s="2">
        <v>74</v>
      </c>
      <c r="M7" s="45">
        <f>L7/K7*100%</f>
        <v>0.49333333333333335</v>
      </c>
    </row>
    <row r="8" spans="1:13">
      <c r="A8" s="12">
        <v>4</v>
      </c>
      <c r="B8" s="6" t="s">
        <v>13</v>
      </c>
      <c r="C8" s="7" t="s">
        <v>11</v>
      </c>
      <c r="D8" s="4">
        <v>25</v>
      </c>
      <c r="E8" s="4">
        <v>12</v>
      </c>
      <c r="F8" s="14">
        <f t="shared" si="0"/>
        <v>-13</v>
      </c>
      <c r="G8" s="15">
        <f t="shared" si="1"/>
        <v>0.48</v>
      </c>
      <c r="I8" s="2">
        <v>2</v>
      </c>
      <c r="J8" s="2" t="s">
        <v>182</v>
      </c>
      <c r="K8" s="2">
        <v>190</v>
      </c>
      <c r="L8" s="2">
        <v>72</v>
      </c>
      <c r="M8" s="45">
        <f t="shared" ref="M8:M9" si="2">L8/K8*100%</f>
        <v>0.37894736842105264</v>
      </c>
    </row>
    <row r="9" spans="1:13">
      <c r="A9" s="12">
        <v>5</v>
      </c>
      <c r="B9" s="6" t="s">
        <v>14</v>
      </c>
      <c r="C9" s="7" t="s">
        <v>11</v>
      </c>
      <c r="D9" s="4">
        <v>25</v>
      </c>
      <c r="E9" s="4">
        <v>18</v>
      </c>
      <c r="F9" s="14">
        <f t="shared" si="0"/>
        <v>-7</v>
      </c>
      <c r="G9" s="15">
        <f t="shared" si="1"/>
        <v>0.72</v>
      </c>
      <c r="I9" s="2">
        <v>3</v>
      </c>
      <c r="J9" s="2" t="s">
        <v>183</v>
      </c>
      <c r="K9" s="2">
        <v>190</v>
      </c>
      <c r="L9" s="2">
        <v>111</v>
      </c>
      <c r="M9" s="45">
        <f t="shared" si="2"/>
        <v>0.58421052631578951</v>
      </c>
    </row>
    <row r="10" spans="1:13">
      <c r="A10" s="12">
        <v>6</v>
      </c>
      <c r="B10" s="6" t="s">
        <v>15</v>
      </c>
      <c r="C10" s="7" t="s">
        <v>11</v>
      </c>
      <c r="D10" s="4">
        <v>25</v>
      </c>
      <c r="E10" s="4">
        <v>10</v>
      </c>
      <c r="F10" s="14">
        <f t="shared" si="0"/>
        <v>-15</v>
      </c>
      <c r="G10" s="15">
        <f t="shared" si="1"/>
        <v>0.4</v>
      </c>
    </row>
    <row r="11" spans="1:13">
      <c r="A11" s="12">
        <v>7</v>
      </c>
      <c r="B11" s="3" t="s">
        <v>16</v>
      </c>
      <c r="C11" s="4" t="s">
        <v>9</v>
      </c>
      <c r="D11" s="4">
        <v>25</v>
      </c>
      <c r="E11" s="4">
        <v>0</v>
      </c>
      <c r="F11" s="14">
        <f t="shared" si="0"/>
        <v>-25</v>
      </c>
      <c r="G11" s="15">
        <f t="shared" si="1"/>
        <v>0</v>
      </c>
    </row>
    <row r="12" spans="1:13">
      <c r="A12" s="12">
        <v>8</v>
      </c>
      <c r="B12" s="8" t="s">
        <v>17</v>
      </c>
      <c r="C12" s="7" t="s">
        <v>11</v>
      </c>
      <c r="D12" s="4">
        <v>25</v>
      </c>
      <c r="E12" s="4">
        <v>9</v>
      </c>
      <c r="F12" s="14">
        <f t="shared" si="0"/>
        <v>-16</v>
      </c>
      <c r="G12" s="15">
        <f t="shared" si="1"/>
        <v>0.36</v>
      </c>
    </row>
    <row r="13" spans="1:13">
      <c r="A13" s="12">
        <v>9</v>
      </c>
      <c r="B13" s="8" t="s">
        <v>18</v>
      </c>
      <c r="C13" s="7" t="s">
        <v>11</v>
      </c>
      <c r="D13" s="4">
        <v>25</v>
      </c>
      <c r="E13" s="4">
        <v>21</v>
      </c>
      <c r="F13" s="14">
        <f t="shared" si="0"/>
        <v>-4</v>
      </c>
      <c r="G13" s="15">
        <f t="shared" si="1"/>
        <v>0.84</v>
      </c>
    </row>
    <row r="14" spans="1:13">
      <c r="A14" s="12">
        <v>10</v>
      </c>
      <c r="B14" s="8" t="s">
        <v>19</v>
      </c>
      <c r="C14" s="7" t="s">
        <v>11</v>
      </c>
      <c r="D14" s="4">
        <v>25</v>
      </c>
      <c r="E14" s="4">
        <v>17</v>
      </c>
      <c r="F14" s="14">
        <f t="shared" si="0"/>
        <v>-8</v>
      </c>
      <c r="G14" s="15">
        <f t="shared" si="1"/>
        <v>0.68</v>
      </c>
    </row>
    <row r="15" spans="1:13">
      <c r="A15" s="12">
        <v>11</v>
      </c>
      <c r="B15" s="9" t="s">
        <v>20</v>
      </c>
      <c r="C15" s="7" t="s">
        <v>11</v>
      </c>
      <c r="D15" s="4">
        <v>25</v>
      </c>
      <c r="E15" s="4">
        <v>10</v>
      </c>
      <c r="F15" s="14">
        <f t="shared" si="0"/>
        <v>-15</v>
      </c>
      <c r="G15" s="15">
        <f t="shared" si="1"/>
        <v>0.4</v>
      </c>
    </row>
    <row r="16" spans="1:13">
      <c r="A16" s="12">
        <v>12</v>
      </c>
      <c r="B16" s="9" t="s">
        <v>21</v>
      </c>
      <c r="C16" s="7" t="s">
        <v>11</v>
      </c>
      <c r="D16" s="4">
        <v>25</v>
      </c>
      <c r="E16" s="4">
        <v>11</v>
      </c>
      <c r="F16" s="14">
        <f t="shared" si="0"/>
        <v>-14</v>
      </c>
      <c r="G16" s="15">
        <f t="shared" si="1"/>
        <v>0.44</v>
      </c>
    </row>
    <row r="17" spans="1:7">
      <c r="A17" s="12">
        <v>13</v>
      </c>
      <c r="B17" s="8" t="s">
        <v>22</v>
      </c>
      <c r="C17" s="7" t="s">
        <v>11</v>
      </c>
      <c r="D17" s="4">
        <v>25</v>
      </c>
      <c r="E17" s="4">
        <v>3</v>
      </c>
      <c r="F17" s="14">
        <f t="shared" si="0"/>
        <v>-22</v>
      </c>
      <c r="G17" s="15">
        <f t="shared" si="1"/>
        <v>0.12</v>
      </c>
    </row>
    <row r="18" spans="1:7">
      <c r="A18" s="12">
        <v>14</v>
      </c>
      <c r="B18" s="8" t="s">
        <v>23</v>
      </c>
      <c r="C18" s="7" t="s">
        <v>11</v>
      </c>
      <c r="D18" s="4">
        <v>25</v>
      </c>
      <c r="E18" s="4">
        <v>1</v>
      </c>
      <c r="F18" s="14">
        <f t="shared" si="0"/>
        <v>-24</v>
      </c>
      <c r="G18" s="15">
        <f t="shared" si="1"/>
        <v>0.04</v>
      </c>
    </row>
    <row r="19" spans="1:7">
      <c r="A19" s="12">
        <v>15</v>
      </c>
      <c r="B19" s="3" t="s">
        <v>24</v>
      </c>
      <c r="C19" s="4" t="s">
        <v>9</v>
      </c>
      <c r="D19" s="4">
        <v>25</v>
      </c>
      <c r="E19" s="4">
        <v>0</v>
      </c>
      <c r="F19" s="14">
        <f t="shared" si="0"/>
        <v>-25</v>
      </c>
      <c r="G19" s="15">
        <f t="shared" si="1"/>
        <v>0</v>
      </c>
    </row>
    <row r="20" spans="1:7">
      <c r="A20" s="12">
        <v>16</v>
      </c>
      <c r="B20" s="6" t="s">
        <v>25</v>
      </c>
      <c r="C20" s="7" t="s">
        <v>11</v>
      </c>
      <c r="D20" s="4">
        <v>25</v>
      </c>
      <c r="E20" s="4">
        <v>46</v>
      </c>
      <c r="F20" s="14">
        <f t="shared" si="0"/>
        <v>21</v>
      </c>
      <c r="G20" s="15">
        <f t="shared" si="1"/>
        <v>1.84</v>
      </c>
    </row>
    <row r="21" spans="1:7">
      <c r="A21" s="12">
        <v>17</v>
      </c>
      <c r="B21" s="6" t="s">
        <v>26</v>
      </c>
      <c r="C21" s="7" t="s">
        <v>11</v>
      </c>
      <c r="D21" s="4">
        <v>25</v>
      </c>
      <c r="E21" s="4">
        <v>10</v>
      </c>
      <c r="F21" s="14">
        <f t="shared" si="0"/>
        <v>-15</v>
      </c>
      <c r="G21" s="15">
        <f t="shared" si="1"/>
        <v>0.4</v>
      </c>
    </row>
    <row r="22" spans="1:7">
      <c r="A22" s="12">
        <v>18</v>
      </c>
      <c r="B22" s="6" t="s">
        <v>27</v>
      </c>
      <c r="C22" s="7" t="s">
        <v>11</v>
      </c>
      <c r="D22" s="4">
        <v>25</v>
      </c>
      <c r="E22" s="4">
        <v>16</v>
      </c>
      <c r="F22" s="14">
        <f t="shared" si="0"/>
        <v>-9</v>
      </c>
      <c r="G22" s="15">
        <f t="shared" si="1"/>
        <v>0.64</v>
      </c>
    </row>
    <row r="23" spans="1:7">
      <c r="A23" s="12">
        <v>19</v>
      </c>
      <c r="B23" s="6" t="s">
        <v>28</v>
      </c>
      <c r="C23" s="7" t="s">
        <v>11</v>
      </c>
      <c r="D23" s="4">
        <v>25</v>
      </c>
      <c r="E23" s="4">
        <v>15</v>
      </c>
      <c r="F23" s="14">
        <f t="shared" si="0"/>
        <v>-10</v>
      </c>
      <c r="G23" s="15">
        <f t="shared" si="1"/>
        <v>0.6</v>
      </c>
    </row>
    <row r="24" spans="1:7">
      <c r="A24" s="12">
        <v>20</v>
      </c>
      <c r="B24" s="6" t="s">
        <v>29</v>
      </c>
      <c r="C24" s="7" t="s">
        <v>11</v>
      </c>
      <c r="D24" s="4">
        <v>25</v>
      </c>
      <c r="E24" s="4">
        <v>13</v>
      </c>
      <c r="F24" s="14">
        <f t="shared" si="0"/>
        <v>-12</v>
      </c>
      <c r="G24" s="15">
        <f t="shared" si="1"/>
        <v>0.52</v>
      </c>
    </row>
    <row r="25" spans="1:7">
      <c r="A25" s="12">
        <v>21</v>
      </c>
      <c r="B25" s="6" t="s">
        <v>30</v>
      </c>
      <c r="C25" s="7" t="s">
        <v>11</v>
      </c>
      <c r="D25" s="4">
        <v>25</v>
      </c>
      <c r="E25" s="4">
        <v>11</v>
      </c>
      <c r="F25" s="14">
        <f t="shared" si="0"/>
        <v>-14</v>
      </c>
      <c r="G25" s="15">
        <f t="shared" si="1"/>
        <v>0.44</v>
      </c>
    </row>
    <row r="26" spans="1:7">
      <c r="A26" s="12"/>
      <c r="B26" s="2" t="s">
        <v>31</v>
      </c>
      <c r="C26" s="2"/>
      <c r="D26" s="2">
        <v>530</v>
      </c>
      <c r="E26" s="2">
        <f>SUM(E5:E25)</f>
        <v>257</v>
      </c>
      <c r="F26" s="17">
        <f t="shared" si="0"/>
        <v>-273</v>
      </c>
      <c r="G26" s="18">
        <f t="shared" si="1"/>
        <v>0.48490566037735849</v>
      </c>
    </row>
  </sheetData>
  <mergeCells count="8">
    <mergeCell ref="A2:A4"/>
    <mergeCell ref="B2:B4"/>
    <mergeCell ref="C2:G2"/>
    <mergeCell ref="C3:C4"/>
    <mergeCell ref="D3:D4"/>
    <mergeCell ref="E3:E4"/>
    <mergeCell ref="F3:F4"/>
    <mergeCell ref="G3:G4"/>
  </mergeCells>
  <pageMargins left="0.7" right="0.7" top="0.75" bottom="0.75" header="0.3" footer="0.3"/>
  <pageSetup orientation="portrait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6BAD-A32F-4C3C-BA97-A9B9AA35B604}">
  <dimension ref="A1:G10"/>
  <sheetViews>
    <sheetView workbookViewId="0">
      <selection activeCell="G11" sqref="G11"/>
    </sheetView>
  </sheetViews>
  <sheetFormatPr defaultRowHeight="14.5"/>
  <cols>
    <col min="1" max="1" width="3.7265625" customWidth="1"/>
    <col min="2" max="2" width="27.7265625" customWidth="1"/>
    <col min="7" max="7" width="8.7265625" style="11"/>
  </cols>
  <sheetData>
    <row r="1" spans="1:7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 ht="3" customHeight="1">
      <c r="A3" s="207"/>
      <c r="B3" s="208"/>
      <c r="C3" s="212"/>
      <c r="D3" s="212"/>
      <c r="E3" s="212"/>
      <c r="F3" s="212"/>
      <c r="G3" s="214"/>
    </row>
    <row r="4" spans="1:7">
      <c r="A4" s="5">
        <v>1</v>
      </c>
      <c r="B4" s="19" t="s">
        <v>32</v>
      </c>
      <c r="C4" s="20" t="s">
        <v>9</v>
      </c>
      <c r="D4" s="20">
        <v>35</v>
      </c>
      <c r="E4" s="20">
        <v>0</v>
      </c>
      <c r="F4" s="5">
        <f>E4-D4</f>
        <v>-35</v>
      </c>
      <c r="G4" s="10">
        <f>E4/D4*100%</f>
        <v>0</v>
      </c>
    </row>
    <row r="5" spans="1:7">
      <c r="A5" s="5">
        <v>2</v>
      </c>
      <c r="B5" s="21" t="s">
        <v>33</v>
      </c>
      <c r="C5" s="22" t="s">
        <v>11</v>
      </c>
      <c r="D5" s="20">
        <v>25</v>
      </c>
      <c r="E5" s="20">
        <v>26</v>
      </c>
      <c r="F5" s="5">
        <f t="shared" ref="F5:F10" si="0">E5-D5</f>
        <v>1</v>
      </c>
      <c r="G5" s="10">
        <f t="shared" ref="G5:G10" si="1">E5/D5*100%</f>
        <v>1.04</v>
      </c>
    </row>
    <row r="6" spans="1:7">
      <c r="A6" s="5">
        <v>3</v>
      </c>
      <c r="B6" s="21" t="s">
        <v>34</v>
      </c>
      <c r="C6" s="22" t="s">
        <v>11</v>
      </c>
      <c r="D6" s="22">
        <v>25</v>
      </c>
      <c r="E6" s="20">
        <v>19</v>
      </c>
      <c r="F6" s="5">
        <f t="shared" si="0"/>
        <v>-6</v>
      </c>
      <c r="G6" s="10">
        <f t="shared" si="1"/>
        <v>0.76</v>
      </c>
    </row>
    <row r="7" spans="1:7">
      <c r="A7" s="5">
        <v>4</v>
      </c>
      <c r="B7" s="21" t="s">
        <v>35</v>
      </c>
      <c r="C7" s="22" t="s">
        <v>11</v>
      </c>
      <c r="D7" s="23">
        <v>25</v>
      </c>
      <c r="E7" s="20">
        <v>8</v>
      </c>
      <c r="F7" s="5">
        <f t="shared" si="0"/>
        <v>-17</v>
      </c>
      <c r="G7" s="10">
        <f t="shared" si="1"/>
        <v>0.32</v>
      </c>
    </row>
    <row r="8" spans="1:7">
      <c r="A8" s="5">
        <v>5</v>
      </c>
      <c r="B8" s="21" t="s">
        <v>36</v>
      </c>
      <c r="C8" s="22" t="s">
        <v>11</v>
      </c>
      <c r="D8" s="23">
        <v>25</v>
      </c>
      <c r="E8" s="20">
        <v>10</v>
      </c>
      <c r="F8" s="5">
        <f t="shared" si="0"/>
        <v>-15</v>
      </c>
      <c r="G8" s="10">
        <f t="shared" si="1"/>
        <v>0.4</v>
      </c>
    </row>
    <row r="9" spans="1:7">
      <c r="A9" s="5">
        <v>6</v>
      </c>
      <c r="B9" s="21" t="s">
        <v>37</v>
      </c>
      <c r="C9" s="22" t="s">
        <v>11</v>
      </c>
      <c r="D9" s="23">
        <v>25</v>
      </c>
      <c r="E9" s="22">
        <v>4</v>
      </c>
      <c r="F9" s="5">
        <f t="shared" si="0"/>
        <v>-21</v>
      </c>
      <c r="G9" s="10">
        <f t="shared" si="1"/>
        <v>0.16</v>
      </c>
    </row>
    <row r="10" spans="1:7">
      <c r="A10" s="5"/>
      <c r="B10" s="24" t="s">
        <v>31</v>
      </c>
      <c r="C10" s="24"/>
      <c r="D10" s="24">
        <v>150</v>
      </c>
      <c r="E10" s="24">
        <f>SUM(E4:E9)</f>
        <v>67</v>
      </c>
      <c r="F10" s="24">
        <f t="shared" si="0"/>
        <v>-83</v>
      </c>
      <c r="G10" s="25">
        <f t="shared" si="1"/>
        <v>0.44666666666666666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9CD6-8062-4D30-80D3-D2D2087FB17B}">
  <dimension ref="A1:N26"/>
  <sheetViews>
    <sheetView workbookViewId="0">
      <selection activeCell="K5" sqref="K5:N8"/>
    </sheetView>
  </sheetViews>
  <sheetFormatPr defaultRowHeight="14.5"/>
  <cols>
    <col min="1" max="1" width="5.6328125" style="13" customWidth="1"/>
    <col min="2" max="2" width="27.1796875" customWidth="1"/>
    <col min="6" max="6" width="8.7265625" style="13"/>
    <col min="7" max="7" width="8.7265625" style="16"/>
    <col min="10" max="10" width="5.81640625" customWidth="1"/>
    <col min="11" max="11" width="19.6328125" customWidth="1"/>
    <col min="14" max="14" width="8.7265625" style="11"/>
  </cols>
  <sheetData>
    <row r="1" spans="1:14">
      <c r="A1" s="207" t="s">
        <v>0</v>
      </c>
      <c r="B1" s="208" t="s">
        <v>1</v>
      </c>
      <c r="C1" s="215" t="s">
        <v>7</v>
      </c>
      <c r="D1" s="216"/>
      <c r="E1" s="216"/>
      <c r="F1" s="216"/>
      <c r="G1" s="216"/>
    </row>
    <row r="2" spans="1:14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4">
      <c r="A3" s="207"/>
      <c r="B3" s="208"/>
      <c r="C3" s="212"/>
      <c r="D3" s="212"/>
      <c r="E3" s="212"/>
      <c r="F3" s="212"/>
      <c r="G3" s="214"/>
    </row>
    <row r="4" spans="1:14">
      <c r="A4" s="14">
        <v>1</v>
      </c>
      <c r="B4" s="35" t="s">
        <v>97</v>
      </c>
      <c r="C4" s="22" t="s">
        <v>9</v>
      </c>
      <c r="D4" s="22">
        <v>25</v>
      </c>
      <c r="E4" s="22">
        <v>0</v>
      </c>
      <c r="F4" s="14">
        <f>E4-D4</f>
        <v>-25</v>
      </c>
      <c r="G4" s="15">
        <f>E4/D4*100%</f>
        <v>0</v>
      </c>
      <c r="J4" s="33" t="s">
        <v>92</v>
      </c>
      <c r="K4" s="33" t="s">
        <v>170</v>
      </c>
      <c r="L4" s="33" t="s">
        <v>41</v>
      </c>
      <c r="M4" s="33" t="s">
        <v>42</v>
      </c>
      <c r="N4" s="46" t="s">
        <v>6</v>
      </c>
    </row>
    <row r="5" spans="1:14">
      <c r="A5" s="14">
        <v>2</v>
      </c>
      <c r="B5" s="35" t="s">
        <v>98</v>
      </c>
      <c r="C5" s="22" t="s">
        <v>11</v>
      </c>
      <c r="D5" s="22">
        <v>25</v>
      </c>
      <c r="E5" s="22">
        <v>52</v>
      </c>
      <c r="F5" s="14">
        <f t="shared" ref="F5:F26" si="0">E5-D5</f>
        <v>27</v>
      </c>
      <c r="G5" s="15">
        <f t="shared" ref="G5:G26" si="1">E5/D5*100%</f>
        <v>2.08</v>
      </c>
      <c r="J5" s="2">
        <v>1</v>
      </c>
      <c r="K5" s="2" t="s">
        <v>177</v>
      </c>
      <c r="L5" s="2">
        <v>150</v>
      </c>
      <c r="M5" s="2">
        <v>116</v>
      </c>
      <c r="N5" s="45">
        <f>M5/L5*100%</f>
        <v>0.77333333333333332</v>
      </c>
    </row>
    <row r="6" spans="1:14">
      <c r="A6" s="14">
        <v>3</v>
      </c>
      <c r="B6" s="21" t="s">
        <v>99</v>
      </c>
      <c r="C6" s="23" t="s">
        <v>11</v>
      </c>
      <c r="D6" s="22">
        <v>25</v>
      </c>
      <c r="E6" s="22">
        <v>7</v>
      </c>
      <c r="F6" s="14">
        <f t="shared" si="0"/>
        <v>-18</v>
      </c>
      <c r="G6" s="15">
        <f t="shared" si="1"/>
        <v>0.28000000000000003</v>
      </c>
      <c r="J6" s="2">
        <v>2</v>
      </c>
      <c r="K6" s="2" t="s">
        <v>178</v>
      </c>
      <c r="L6" s="2">
        <v>150</v>
      </c>
      <c r="M6" s="2">
        <v>58</v>
      </c>
      <c r="N6" s="45">
        <f t="shared" ref="N6:N8" si="2">M6/L6*100%</f>
        <v>0.38666666666666666</v>
      </c>
    </row>
    <row r="7" spans="1:14">
      <c r="A7" s="14">
        <v>4</v>
      </c>
      <c r="B7" s="21" t="s">
        <v>100</v>
      </c>
      <c r="C7" s="22" t="s">
        <v>11</v>
      </c>
      <c r="D7" s="22">
        <v>25</v>
      </c>
      <c r="E7" s="22">
        <v>22</v>
      </c>
      <c r="F7" s="14">
        <f t="shared" si="0"/>
        <v>-3</v>
      </c>
      <c r="G7" s="15">
        <f t="shared" si="1"/>
        <v>0.88</v>
      </c>
      <c r="J7" s="2">
        <v>3</v>
      </c>
      <c r="K7" s="2" t="s">
        <v>179</v>
      </c>
      <c r="L7" s="2">
        <v>150</v>
      </c>
      <c r="M7" s="2">
        <v>51</v>
      </c>
      <c r="N7" s="45">
        <f t="shared" si="2"/>
        <v>0.34</v>
      </c>
    </row>
    <row r="8" spans="1:14">
      <c r="A8" s="14">
        <v>5</v>
      </c>
      <c r="B8" s="21" t="s">
        <v>101</v>
      </c>
      <c r="C8" s="23" t="s">
        <v>11</v>
      </c>
      <c r="D8" s="23">
        <v>25</v>
      </c>
      <c r="E8" s="22">
        <v>35</v>
      </c>
      <c r="F8" s="14">
        <f t="shared" si="0"/>
        <v>10</v>
      </c>
      <c r="G8" s="15">
        <f t="shared" si="1"/>
        <v>1.4</v>
      </c>
      <c r="J8" s="2">
        <v>4</v>
      </c>
      <c r="K8" s="2" t="s">
        <v>180</v>
      </c>
      <c r="L8" s="2">
        <v>150</v>
      </c>
      <c r="M8" s="2">
        <v>51</v>
      </c>
      <c r="N8" s="45">
        <f t="shared" si="2"/>
        <v>0.34</v>
      </c>
    </row>
    <row r="9" spans="1:14">
      <c r="A9" s="14">
        <v>6</v>
      </c>
      <c r="B9" s="21" t="s">
        <v>102</v>
      </c>
      <c r="C9" s="22" t="s">
        <v>9</v>
      </c>
      <c r="D9" s="22">
        <v>25</v>
      </c>
      <c r="E9" s="22">
        <v>0</v>
      </c>
      <c r="F9" s="14">
        <f t="shared" si="0"/>
        <v>-25</v>
      </c>
      <c r="G9" s="15">
        <f t="shared" si="1"/>
        <v>0</v>
      </c>
    </row>
    <row r="10" spans="1:14">
      <c r="A10" s="14">
        <v>7</v>
      </c>
      <c r="B10" s="35" t="s">
        <v>103</v>
      </c>
      <c r="C10" s="22" t="s">
        <v>11</v>
      </c>
      <c r="D10" s="22">
        <v>25</v>
      </c>
      <c r="E10" s="22">
        <v>14</v>
      </c>
      <c r="F10" s="14">
        <f t="shared" si="0"/>
        <v>-11</v>
      </c>
      <c r="G10" s="15">
        <f t="shared" si="1"/>
        <v>0.56000000000000005</v>
      </c>
    </row>
    <row r="11" spans="1:14">
      <c r="A11" s="14">
        <v>8</v>
      </c>
      <c r="B11" s="21" t="s">
        <v>104</v>
      </c>
      <c r="C11" s="23" t="s">
        <v>11</v>
      </c>
      <c r="D11" s="23">
        <v>25</v>
      </c>
      <c r="E11" s="22">
        <v>35</v>
      </c>
      <c r="F11" s="14">
        <f t="shared" si="0"/>
        <v>10</v>
      </c>
      <c r="G11" s="15">
        <f t="shared" si="1"/>
        <v>1.4</v>
      </c>
    </row>
    <row r="12" spans="1:14">
      <c r="A12" s="14">
        <v>9</v>
      </c>
      <c r="B12" s="21" t="s">
        <v>105</v>
      </c>
      <c r="C12" s="22" t="s">
        <v>11</v>
      </c>
      <c r="D12" s="22">
        <v>25</v>
      </c>
      <c r="E12" s="22">
        <v>7</v>
      </c>
      <c r="F12" s="14">
        <f t="shared" si="0"/>
        <v>-18</v>
      </c>
      <c r="G12" s="15">
        <f t="shared" si="1"/>
        <v>0.28000000000000003</v>
      </c>
    </row>
    <row r="13" spans="1:14">
      <c r="A13" s="14">
        <v>10</v>
      </c>
      <c r="B13" s="21" t="s">
        <v>106</v>
      </c>
      <c r="C13" s="23" t="s">
        <v>11</v>
      </c>
      <c r="D13" s="23">
        <v>25</v>
      </c>
      <c r="E13" s="22">
        <v>2</v>
      </c>
      <c r="F13" s="14">
        <f t="shared" si="0"/>
        <v>-23</v>
      </c>
      <c r="G13" s="15">
        <f t="shared" si="1"/>
        <v>0.08</v>
      </c>
    </row>
    <row r="14" spans="1:14">
      <c r="A14" s="14">
        <v>11</v>
      </c>
      <c r="B14" s="21" t="s">
        <v>107</v>
      </c>
      <c r="C14" s="22" t="s">
        <v>9</v>
      </c>
      <c r="D14" s="22">
        <v>25</v>
      </c>
      <c r="E14" s="22">
        <v>2</v>
      </c>
      <c r="F14" s="14">
        <f t="shared" si="0"/>
        <v>-23</v>
      </c>
      <c r="G14" s="15">
        <f t="shared" si="1"/>
        <v>0.08</v>
      </c>
    </row>
    <row r="15" spans="1:14">
      <c r="A15" s="14">
        <v>12</v>
      </c>
      <c r="B15" s="35" t="s">
        <v>108</v>
      </c>
      <c r="C15" s="22" t="s">
        <v>11</v>
      </c>
      <c r="D15" s="22">
        <v>25</v>
      </c>
      <c r="E15" s="22">
        <v>7</v>
      </c>
      <c r="F15" s="14">
        <f t="shared" si="0"/>
        <v>-18</v>
      </c>
      <c r="G15" s="15">
        <f t="shared" si="1"/>
        <v>0.28000000000000003</v>
      </c>
    </row>
    <row r="16" spans="1:14">
      <c r="A16" s="14">
        <v>13</v>
      </c>
      <c r="B16" s="21" t="s">
        <v>109</v>
      </c>
      <c r="C16" s="22" t="s">
        <v>11</v>
      </c>
      <c r="D16" s="22">
        <v>25</v>
      </c>
      <c r="E16" s="22">
        <v>17</v>
      </c>
      <c r="F16" s="14">
        <f t="shared" si="0"/>
        <v>-8</v>
      </c>
      <c r="G16" s="15">
        <f t="shared" si="1"/>
        <v>0.68</v>
      </c>
    </row>
    <row r="17" spans="1:7">
      <c r="A17" s="14">
        <v>14</v>
      </c>
      <c r="B17" s="35" t="s">
        <v>110</v>
      </c>
      <c r="C17" s="22" t="s">
        <v>11</v>
      </c>
      <c r="D17" s="22">
        <v>25</v>
      </c>
      <c r="E17" s="22">
        <v>11</v>
      </c>
      <c r="F17" s="14">
        <f t="shared" si="0"/>
        <v>-14</v>
      </c>
      <c r="G17" s="15">
        <f t="shared" si="1"/>
        <v>0.44</v>
      </c>
    </row>
    <row r="18" spans="1:7">
      <c r="A18" s="14">
        <v>15</v>
      </c>
      <c r="B18" s="35" t="s">
        <v>111</v>
      </c>
      <c r="C18" s="22" t="s">
        <v>11</v>
      </c>
      <c r="D18" s="22">
        <v>25</v>
      </c>
      <c r="E18" s="22">
        <v>13</v>
      </c>
      <c r="F18" s="14">
        <f t="shared" si="0"/>
        <v>-12</v>
      </c>
      <c r="G18" s="15">
        <f t="shared" si="1"/>
        <v>0.52</v>
      </c>
    </row>
    <row r="19" spans="1:7">
      <c r="A19" s="14">
        <v>16</v>
      </c>
      <c r="B19" s="35" t="s">
        <v>112</v>
      </c>
      <c r="C19" s="22" t="s">
        <v>11</v>
      </c>
      <c r="D19" s="22">
        <v>25</v>
      </c>
      <c r="E19" s="22">
        <v>1</v>
      </c>
      <c r="F19" s="14">
        <f t="shared" si="0"/>
        <v>-24</v>
      </c>
      <c r="G19" s="15">
        <f t="shared" si="1"/>
        <v>0.04</v>
      </c>
    </row>
    <row r="20" spans="1:7">
      <c r="A20" s="14">
        <v>17</v>
      </c>
      <c r="B20" s="35" t="s">
        <v>113</v>
      </c>
      <c r="C20" s="22" t="s">
        <v>9</v>
      </c>
      <c r="D20" s="22">
        <v>25</v>
      </c>
      <c r="E20" s="22">
        <v>0</v>
      </c>
      <c r="F20" s="14">
        <f t="shared" si="0"/>
        <v>-25</v>
      </c>
      <c r="G20" s="15">
        <f t="shared" si="1"/>
        <v>0</v>
      </c>
    </row>
    <row r="21" spans="1:7">
      <c r="A21" s="14">
        <v>18</v>
      </c>
      <c r="B21" s="35" t="s">
        <v>114</v>
      </c>
      <c r="C21" s="22" t="s">
        <v>11</v>
      </c>
      <c r="D21" s="22">
        <v>25</v>
      </c>
      <c r="E21" s="22">
        <v>29</v>
      </c>
      <c r="F21" s="14">
        <f t="shared" si="0"/>
        <v>4</v>
      </c>
      <c r="G21" s="15">
        <f t="shared" si="1"/>
        <v>1.1599999999999999</v>
      </c>
    </row>
    <row r="22" spans="1:7">
      <c r="A22" s="14">
        <v>19</v>
      </c>
      <c r="B22" s="192" t="s">
        <v>115</v>
      </c>
      <c r="C22" s="191" t="s">
        <v>11</v>
      </c>
      <c r="D22" s="191">
        <v>25</v>
      </c>
      <c r="E22" s="191">
        <v>1</v>
      </c>
      <c r="F22" s="14">
        <f t="shared" si="0"/>
        <v>-24</v>
      </c>
      <c r="G22" s="15">
        <f t="shared" si="1"/>
        <v>0.04</v>
      </c>
    </row>
    <row r="23" spans="1:7">
      <c r="A23" s="14">
        <v>20</v>
      </c>
      <c r="B23" s="21" t="s">
        <v>116</v>
      </c>
      <c r="C23" s="23" t="s">
        <v>11</v>
      </c>
      <c r="D23" s="23">
        <v>25</v>
      </c>
      <c r="E23" s="22">
        <v>14</v>
      </c>
      <c r="F23" s="14">
        <f t="shared" si="0"/>
        <v>-11</v>
      </c>
      <c r="G23" s="15">
        <f t="shared" si="1"/>
        <v>0.56000000000000005</v>
      </c>
    </row>
    <row r="24" spans="1:7">
      <c r="A24" s="14">
        <v>21</v>
      </c>
      <c r="B24" s="21" t="s">
        <v>117</v>
      </c>
      <c r="C24" s="23" t="s">
        <v>11</v>
      </c>
      <c r="D24" s="23">
        <v>25</v>
      </c>
      <c r="E24" s="22">
        <v>3</v>
      </c>
      <c r="F24" s="14">
        <f t="shared" si="0"/>
        <v>-22</v>
      </c>
      <c r="G24" s="15">
        <f t="shared" si="1"/>
        <v>0.12</v>
      </c>
    </row>
    <row r="25" spans="1:7">
      <c r="A25" s="14">
        <v>22</v>
      </c>
      <c r="B25" s="21" t="s">
        <v>118</v>
      </c>
      <c r="C25" s="23" t="s">
        <v>11</v>
      </c>
      <c r="D25" s="23">
        <v>25</v>
      </c>
      <c r="E25" s="22">
        <v>4</v>
      </c>
      <c r="F25" s="14">
        <f t="shared" si="0"/>
        <v>-21</v>
      </c>
      <c r="G25" s="15">
        <f t="shared" si="1"/>
        <v>0.16</v>
      </c>
    </row>
    <row r="26" spans="1:7">
      <c r="A26" s="14"/>
      <c r="B26" s="24" t="s">
        <v>31</v>
      </c>
      <c r="C26" s="24"/>
      <c r="D26" s="24">
        <v>600</v>
      </c>
      <c r="E26" s="24">
        <f>SUM(E4:E25)</f>
        <v>276</v>
      </c>
      <c r="F26" s="17">
        <f t="shared" si="0"/>
        <v>-324</v>
      </c>
      <c r="G26" s="18">
        <f t="shared" si="1"/>
        <v>0.46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50F2-A885-4957-88DA-4FD73D108B40}">
  <dimension ref="A1:M20"/>
  <sheetViews>
    <sheetView workbookViewId="0">
      <selection activeCell="J6" sqref="J6:M7"/>
    </sheetView>
  </sheetViews>
  <sheetFormatPr defaultRowHeight="14.5"/>
  <cols>
    <col min="1" max="1" width="5.26953125" customWidth="1"/>
    <col min="2" max="2" width="33.6328125" customWidth="1"/>
    <col min="7" max="7" width="8.7265625" style="11"/>
    <col min="9" max="9" width="4.54296875" customWidth="1"/>
    <col min="10" max="10" width="18.5429687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29" t="s">
        <v>585</v>
      </c>
      <c r="C4" s="130" t="s">
        <v>9</v>
      </c>
      <c r="D4" s="130">
        <v>35</v>
      </c>
      <c r="E4" s="130">
        <v>3</v>
      </c>
      <c r="F4" s="60">
        <f>E4-D4</f>
        <v>-32</v>
      </c>
      <c r="G4" s="71">
        <f>E4/D4*100%</f>
        <v>8.5714285714285715E-2</v>
      </c>
    </row>
    <row r="5" spans="1:13">
      <c r="A5" s="60">
        <v>2</v>
      </c>
      <c r="B5" s="131" t="s">
        <v>586</v>
      </c>
      <c r="C5" s="130" t="s">
        <v>11</v>
      </c>
      <c r="D5" s="130">
        <v>25</v>
      </c>
      <c r="E5" s="130">
        <v>12</v>
      </c>
      <c r="F5" s="60">
        <f t="shared" ref="F5:F20" si="0">E5-D5</f>
        <v>-13</v>
      </c>
      <c r="G5" s="71">
        <f t="shared" ref="G5:G20" si="1">E5/D5*100%</f>
        <v>0.48</v>
      </c>
      <c r="I5" s="34" t="s">
        <v>92</v>
      </c>
      <c r="J5" s="33" t="s">
        <v>170</v>
      </c>
      <c r="K5" s="33" t="s">
        <v>41</v>
      </c>
      <c r="L5" s="33" t="s">
        <v>42</v>
      </c>
      <c r="M5" s="46" t="s">
        <v>6</v>
      </c>
    </row>
    <row r="6" spans="1:13">
      <c r="A6" s="60">
        <v>3</v>
      </c>
      <c r="B6" s="131" t="s">
        <v>587</v>
      </c>
      <c r="C6" s="130" t="s">
        <v>11</v>
      </c>
      <c r="D6" s="130">
        <v>25</v>
      </c>
      <c r="E6" s="130">
        <v>14</v>
      </c>
      <c r="F6" s="60">
        <f t="shared" si="0"/>
        <v>-11</v>
      </c>
      <c r="G6" s="71">
        <f t="shared" si="1"/>
        <v>0.56000000000000005</v>
      </c>
      <c r="I6" s="58">
        <v>1</v>
      </c>
      <c r="J6" s="58" t="s">
        <v>601</v>
      </c>
      <c r="K6" s="58">
        <v>150</v>
      </c>
      <c r="L6" s="58">
        <v>70</v>
      </c>
      <c r="M6" s="75">
        <f>L6/K6*100%</f>
        <v>0.46666666666666667</v>
      </c>
    </row>
    <row r="7" spans="1:13">
      <c r="A7" s="60">
        <v>4</v>
      </c>
      <c r="B7" s="131" t="s">
        <v>588</v>
      </c>
      <c r="C7" s="132" t="s">
        <v>11</v>
      </c>
      <c r="D7" s="132">
        <v>25</v>
      </c>
      <c r="E7" s="130">
        <v>16</v>
      </c>
      <c r="F7" s="60">
        <f t="shared" si="0"/>
        <v>-9</v>
      </c>
      <c r="G7" s="71">
        <f t="shared" si="1"/>
        <v>0.64</v>
      </c>
      <c r="I7" s="58">
        <v>2</v>
      </c>
      <c r="J7" s="58" t="s">
        <v>602</v>
      </c>
      <c r="K7" s="58">
        <v>230</v>
      </c>
      <c r="L7" s="58">
        <v>103</v>
      </c>
      <c r="M7" s="75">
        <f>L7/K7*100%</f>
        <v>0.44782608695652176</v>
      </c>
    </row>
    <row r="8" spans="1:13">
      <c r="A8" s="60">
        <v>5</v>
      </c>
      <c r="B8" s="129" t="s">
        <v>589</v>
      </c>
      <c r="C8" s="130" t="s">
        <v>11</v>
      </c>
      <c r="D8" s="130">
        <v>25</v>
      </c>
      <c r="E8" s="130">
        <v>11</v>
      </c>
      <c r="F8" s="60">
        <f t="shared" si="0"/>
        <v>-14</v>
      </c>
      <c r="G8" s="71">
        <f t="shared" si="1"/>
        <v>0.44</v>
      </c>
    </row>
    <row r="9" spans="1:13">
      <c r="A9" s="60">
        <v>6</v>
      </c>
      <c r="B9" s="131" t="s">
        <v>590</v>
      </c>
      <c r="C9" s="130" t="s">
        <v>11</v>
      </c>
      <c r="D9" s="130">
        <v>25</v>
      </c>
      <c r="E9" s="130">
        <v>14</v>
      </c>
      <c r="F9" s="60">
        <f t="shared" si="0"/>
        <v>-11</v>
      </c>
      <c r="G9" s="71">
        <f t="shared" si="1"/>
        <v>0.56000000000000005</v>
      </c>
    </row>
    <row r="10" spans="1:13">
      <c r="A10" s="60">
        <v>7</v>
      </c>
      <c r="B10" s="131" t="s">
        <v>591</v>
      </c>
      <c r="C10" s="130" t="s">
        <v>11</v>
      </c>
      <c r="D10" s="130">
        <v>25</v>
      </c>
      <c r="E10" s="130">
        <v>0</v>
      </c>
      <c r="F10" s="60">
        <f t="shared" si="0"/>
        <v>-25</v>
      </c>
      <c r="G10" s="71">
        <f t="shared" si="1"/>
        <v>0</v>
      </c>
    </row>
    <row r="11" spans="1:13">
      <c r="A11" s="60">
        <v>8</v>
      </c>
      <c r="B11" s="129" t="s">
        <v>592</v>
      </c>
      <c r="C11" s="130" t="s">
        <v>9</v>
      </c>
      <c r="D11" s="130">
        <v>35</v>
      </c>
      <c r="E11" s="130">
        <v>0</v>
      </c>
      <c r="F11" s="60">
        <f t="shared" si="0"/>
        <v>-35</v>
      </c>
      <c r="G11" s="71">
        <f t="shared" si="1"/>
        <v>0</v>
      </c>
    </row>
    <row r="12" spans="1:13">
      <c r="A12" s="60">
        <v>9</v>
      </c>
      <c r="B12" s="131" t="s">
        <v>593</v>
      </c>
      <c r="C12" s="130" t="s">
        <v>11</v>
      </c>
      <c r="D12" s="130">
        <v>25</v>
      </c>
      <c r="E12" s="130">
        <v>18</v>
      </c>
      <c r="F12" s="60">
        <f t="shared" si="0"/>
        <v>-7</v>
      </c>
      <c r="G12" s="71">
        <f t="shared" si="1"/>
        <v>0.72</v>
      </c>
    </row>
    <row r="13" spans="1:13">
      <c r="A13" s="60">
        <v>10</v>
      </c>
      <c r="B13" s="131" t="s">
        <v>594</v>
      </c>
      <c r="C13" s="130" t="s">
        <v>11</v>
      </c>
      <c r="D13" s="130">
        <v>25</v>
      </c>
      <c r="E13" s="130">
        <v>12</v>
      </c>
      <c r="F13" s="60">
        <f t="shared" si="0"/>
        <v>-13</v>
      </c>
      <c r="G13" s="71">
        <f t="shared" si="1"/>
        <v>0.48</v>
      </c>
    </row>
    <row r="14" spans="1:13">
      <c r="A14" s="60">
        <v>11</v>
      </c>
      <c r="B14" s="129" t="s">
        <v>595</v>
      </c>
      <c r="C14" s="130" t="s">
        <v>11</v>
      </c>
      <c r="D14" s="130">
        <v>25</v>
      </c>
      <c r="E14" s="130">
        <v>12</v>
      </c>
      <c r="F14" s="60">
        <f t="shared" si="0"/>
        <v>-13</v>
      </c>
      <c r="G14" s="71">
        <f t="shared" si="1"/>
        <v>0.48</v>
      </c>
    </row>
    <row r="15" spans="1:13">
      <c r="A15" s="60">
        <v>12</v>
      </c>
      <c r="B15" s="131" t="s">
        <v>596</v>
      </c>
      <c r="C15" s="130" t="s">
        <v>11</v>
      </c>
      <c r="D15" s="130">
        <v>25</v>
      </c>
      <c r="E15" s="130">
        <v>11</v>
      </c>
      <c r="F15" s="60">
        <f t="shared" si="0"/>
        <v>-14</v>
      </c>
      <c r="G15" s="71">
        <f t="shared" si="1"/>
        <v>0.44</v>
      </c>
    </row>
    <row r="16" spans="1:13">
      <c r="A16" s="60">
        <v>13</v>
      </c>
      <c r="B16" s="131" t="s">
        <v>597</v>
      </c>
      <c r="C16" s="130" t="s">
        <v>11</v>
      </c>
      <c r="D16" s="130">
        <v>25</v>
      </c>
      <c r="E16" s="130">
        <v>14</v>
      </c>
      <c r="F16" s="60">
        <f t="shared" si="0"/>
        <v>-11</v>
      </c>
      <c r="G16" s="71">
        <f t="shared" si="1"/>
        <v>0.56000000000000005</v>
      </c>
    </row>
    <row r="17" spans="1:7">
      <c r="A17" s="60">
        <v>14</v>
      </c>
      <c r="B17" s="131" t="s">
        <v>598</v>
      </c>
      <c r="C17" s="130" t="s">
        <v>11</v>
      </c>
      <c r="D17" s="130">
        <v>25</v>
      </c>
      <c r="E17" s="130">
        <v>20</v>
      </c>
      <c r="F17" s="60">
        <f t="shared" si="0"/>
        <v>-5</v>
      </c>
      <c r="G17" s="71">
        <f t="shared" si="1"/>
        <v>0.8</v>
      </c>
    </row>
    <row r="18" spans="1:7">
      <c r="A18" s="60">
        <v>15</v>
      </c>
      <c r="B18" s="131" t="s">
        <v>599</v>
      </c>
      <c r="C18" s="130" t="s">
        <v>11</v>
      </c>
      <c r="D18" s="130">
        <v>25</v>
      </c>
      <c r="E18" s="130">
        <v>16</v>
      </c>
      <c r="F18" s="60">
        <f t="shared" si="0"/>
        <v>-9</v>
      </c>
      <c r="G18" s="71">
        <f t="shared" si="1"/>
        <v>0.64</v>
      </c>
    </row>
    <row r="19" spans="1:7">
      <c r="A19" s="60">
        <v>16</v>
      </c>
      <c r="B19" s="131" t="s">
        <v>600</v>
      </c>
      <c r="C19" s="130" t="s">
        <v>11</v>
      </c>
      <c r="D19" s="130">
        <v>25</v>
      </c>
      <c r="E19" s="130">
        <v>0</v>
      </c>
      <c r="F19" s="60">
        <f t="shared" si="0"/>
        <v>-25</v>
      </c>
      <c r="G19" s="71">
        <f t="shared" si="1"/>
        <v>0</v>
      </c>
    </row>
    <row r="20" spans="1:7">
      <c r="A20" s="60"/>
      <c r="B20" s="60" t="s">
        <v>31</v>
      </c>
      <c r="C20" s="60"/>
      <c r="D20" s="60">
        <v>380</v>
      </c>
      <c r="E20" s="60">
        <f>SUM(E4:E19)</f>
        <v>173</v>
      </c>
      <c r="F20" s="60">
        <f t="shared" si="0"/>
        <v>-207</v>
      </c>
      <c r="G20" s="71">
        <f t="shared" si="1"/>
        <v>0.45526315789473687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54BD-DE53-44C0-8B4A-B3D2B1107918}">
  <dimension ref="A1:G7"/>
  <sheetViews>
    <sheetView workbookViewId="0">
      <selection activeCell="D10" sqref="D10"/>
    </sheetView>
  </sheetViews>
  <sheetFormatPr defaultRowHeight="14.5"/>
  <cols>
    <col min="1" max="1" width="5.1796875" customWidth="1"/>
    <col min="2" max="2" width="26.816406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15" t="s">
        <v>557</v>
      </c>
      <c r="C4" s="116" t="s">
        <v>9</v>
      </c>
      <c r="D4" s="116">
        <v>35</v>
      </c>
      <c r="E4" s="116">
        <v>1</v>
      </c>
      <c r="F4" s="60">
        <f>E4-D4</f>
        <v>-34</v>
      </c>
      <c r="G4" s="71">
        <f>E4/D4*100%</f>
        <v>2.8571428571428571E-2</v>
      </c>
    </row>
    <row r="5" spans="1:7">
      <c r="A5" s="60">
        <v>2</v>
      </c>
      <c r="B5" s="115" t="s">
        <v>558</v>
      </c>
      <c r="C5" s="117" t="s">
        <v>11</v>
      </c>
      <c r="D5" s="116">
        <v>25</v>
      </c>
      <c r="E5" s="116">
        <v>3</v>
      </c>
      <c r="F5" s="60">
        <f t="shared" ref="F5:F7" si="0">E5-D5</f>
        <v>-22</v>
      </c>
      <c r="G5" s="71">
        <f t="shared" ref="G5:G7" si="1">E5/D5*100%</f>
        <v>0.12</v>
      </c>
    </row>
    <row r="6" spans="1:7">
      <c r="A6" s="60">
        <v>3</v>
      </c>
      <c r="B6" s="118" t="s">
        <v>556</v>
      </c>
      <c r="C6" s="117" t="s">
        <v>11</v>
      </c>
      <c r="D6" s="117">
        <v>25</v>
      </c>
      <c r="E6" s="116">
        <v>2</v>
      </c>
      <c r="F6" s="60">
        <f t="shared" si="0"/>
        <v>-23</v>
      </c>
      <c r="G6" s="71">
        <f t="shared" si="1"/>
        <v>0.08</v>
      </c>
    </row>
    <row r="7" spans="1:7">
      <c r="A7" s="60"/>
      <c r="B7" s="60" t="s">
        <v>31</v>
      </c>
      <c r="C7" s="60"/>
      <c r="D7" s="60">
        <v>150</v>
      </c>
      <c r="E7" s="60">
        <f>SUM(E4:E6)</f>
        <v>6</v>
      </c>
      <c r="F7" s="60">
        <f t="shared" si="0"/>
        <v>-144</v>
      </c>
      <c r="G7" s="71">
        <f t="shared" si="1"/>
        <v>0.04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2414-BA0F-408D-8539-4C957E120E92}">
  <dimension ref="A1:M18"/>
  <sheetViews>
    <sheetView workbookViewId="0">
      <selection activeCell="J6" sqref="J6:M7"/>
    </sheetView>
  </sheetViews>
  <sheetFormatPr defaultRowHeight="14.5"/>
  <cols>
    <col min="1" max="1" width="4.7265625" customWidth="1"/>
    <col min="2" max="2" width="28.36328125" customWidth="1"/>
    <col min="7" max="7" width="8.7265625" style="11"/>
    <col min="9" max="9" width="3.81640625" customWidth="1"/>
    <col min="10" max="10" width="22.5429687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21" t="s">
        <v>562</v>
      </c>
      <c r="C4" s="110" t="s">
        <v>9</v>
      </c>
      <c r="D4" s="110">
        <v>35</v>
      </c>
      <c r="E4" s="110">
        <v>6</v>
      </c>
      <c r="F4" s="60">
        <f>E4-D4</f>
        <v>-29</v>
      </c>
      <c r="G4" s="71">
        <f>E4/D4*100%</f>
        <v>0.17142857142857143</v>
      </c>
    </row>
    <row r="5" spans="1:13">
      <c r="A5" s="60">
        <v>2</v>
      </c>
      <c r="B5" s="121" t="s">
        <v>563</v>
      </c>
      <c r="C5" s="111" t="s">
        <v>11</v>
      </c>
      <c r="D5" s="110">
        <v>25</v>
      </c>
      <c r="E5" s="110">
        <v>13</v>
      </c>
      <c r="F5" s="60">
        <f t="shared" ref="F5:F18" si="0">E5-D5</f>
        <v>-12</v>
      </c>
      <c r="G5" s="71">
        <f t="shared" ref="G5:G18" si="1">E5/D5*100%</f>
        <v>0.52</v>
      </c>
      <c r="I5" s="34" t="s">
        <v>92</v>
      </c>
      <c r="J5" s="33" t="s">
        <v>170</v>
      </c>
      <c r="K5" s="33" t="s">
        <v>41</v>
      </c>
      <c r="L5" s="33" t="s">
        <v>42</v>
      </c>
      <c r="M5" s="46" t="s">
        <v>6</v>
      </c>
    </row>
    <row r="6" spans="1:13">
      <c r="A6" s="60">
        <v>3</v>
      </c>
      <c r="B6" s="121" t="s">
        <v>564</v>
      </c>
      <c r="C6" s="111" t="s">
        <v>11</v>
      </c>
      <c r="D6" s="110">
        <v>25</v>
      </c>
      <c r="E6" s="110">
        <v>12</v>
      </c>
      <c r="F6" s="60">
        <f t="shared" si="0"/>
        <v>-13</v>
      </c>
      <c r="G6" s="71">
        <f t="shared" si="1"/>
        <v>0.48</v>
      </c>
      <c r="I6" s="58">
        <v>1</v>
      </c>
      <c r="J6" s="58" t="s">
        <v>576</v>
      </c>
      <c r="K6" s="58">
        <v>150</v>
      </c>
      <c r="L6" s="58">
        <v>42</v>
      </c>
      <c r="M6" s="75">
        <f>L6/K6*100%</f>
        <v>0.28000000000000003</v>
      </c>
    </row>
    <row r="7" spans="1:13">
      <c r="A7" s="60">
        <v>4</v>
      </c>
      <c r="B7" s="122" t="s">
        <v>565</v>
      </c>
      <c r="C7" s="111" t="s">
        <v>11</v>
      </c>
      <c r="D7" s="110">
        <v>25</v>
      </c>
      <c r="E7" s="110">
        <v>7</v>
      </c>
      <c r="F7" s="60">
        <f t="shared" si="0"/>
        <v>-18</v>
      </c>
      <c r="G7" s="71">
        <f t="shared" si="1"/>
        <v>0.28000000000000003</v>
      </c>
      <c r="I7" s="58">
        <v>2</v>
      </c>
      <c r="J7" s="58" t="s">
        <v>577</v>
      </c>
      <c r="K7" s="58">
        <v>190</v>
      </c>
      <c r="L7" s="58">
        <v>57</v>
      </c>
      <c r="M7" s="75">
        <f>L7/K7*100%</f>
        <v>0.3</v>
      </c>
    </row>
    <row r="8" spans="1:13">
      <c r="A8" s="60">
        <v>5</v>
      </c>
      <c r="B8" s="122" t="s">
        <v>566</v>
      </c>
      <c r="C8" s="111" t="s">
        <v>11</v>
      </c>
      <c r="D8" s="110">
        <v>25</v>
      </c>
      <c r="E8" s="110">
        <v>4</v>
      </c>
      <c r="F8" s="60">
        <f t="shared" si="0"/>
        <v>-21</v>
      </c>
      <c r="G8" s="71">
        <f t="shared" si="1"/>
        <v>0.16</v>
      </c>
    </row>
    <row r="9" spans="1:13">
      <c r="A9" s="60">
        <v>6</v>
      </c>
      <c r="B9" s="122" t="s">
        <v>567</v>
      </c>
      <c r="C9" s="111" t="s">
        <v>11</v>
      </c>
      <c r="D9" s="110">
        <v>25</v>
      </c>
      <c r="E9" s="110">
        <v>0</v>
      </c>
      <c r="F9" s="60">
        <f t="shared" si="0"/>
        <v>-25</v>
      </c>
      <c r="G9" s="71">
        <f t="shared" si="1"/>
        <v>0</v>
      </c>
    </row>
    <row r="10" spans="1:13">
      <c r="A10" s="60">
        <v>7</v>
      </c>
      <c r="B10" s="123" t="s">
        <v>568</v>
      </c>
      <c r="C10" s="110" t="s">
        <v>9</v>
      </c>
      <c r="D10" s="110">
        <v>35</v>
      </c>
      <c r="E10" s="110">
        <v>2</v>
      </c>
      <c r="F10" s="60">
        <f t="shared" si="0"/>
        <v>-33</v>
      </c>
      <c r="G10" s="71">
        <f t="shared" si="1"/>
        <v>5.7142857142857141E-2</v>
      </c>
    </row>
    <row r="11" spans="1:13">
      <c r="A11" s="60">
        <v>8</v>
      </c>
      <c r="B11" s="123" t="s">
        <v>569</v>
      </c>
      <c r="C11" s="111" t="s">
        <v>11</v>
      </c>
      <c r="D11" s="110">
        <v>25</v>
      </c>
      <c r="E11" s="110">
        <v>15</v>
      </c>
      <c r="F11" s="60">
        <f t="shared" si="0"/>
        <v>-10</v>
      </c>
      <c r="G11" s="71">
        <f t="shared" si="1"/>
        <v>0.6</v>
      </c>
    </row>
    <row r="12" spans="1:13">
      <c r="A12" s="60">
        <v>9</v>
      </c>
      <c r="B12" s="123" t="s">
        <v>570</v>
      </c>
      <c r="C12" s="111" t="s">
        <v>11</v>
      </c>
      <c r="D12" s="110">
        <v>25</v>
      </c>
      <c r="E12" s="110">
        <v>25</v>
      </c>
      <c r="F12" s="60">
        <f t="shared" si="0"/>
        <v>0</v>
      </c>
      <c r="G12" s="71">
        <f t="shared" si="1"/>
        <v>1</v>
      </c>
    </row>
    <row r="13" spans="1:13">
      <c r="A13" s="60">
        <v>10</v>
      </c>
      <c r="B13" s="122" t="s">
        <v>571</v>
      </c>
      <c r="C13" s="111" t="s">
        <v>11</v>
      </c>
      <c r="D13" s="110">
        <v>25</v>
      </c>
      <c r="E13" s="110">
        <v>7</v>
      </c>
      <c r="F13" s="60">
        <f t="shared" si="0"/>
        <v>-18</v>
      </c>
      <c r="G13" s="71">
        <f t="shared" si="1"/>
        <v>0.28000000000000003</v>
      </c>
    </row>
    <row r="14" spans="1:13">
      <c r="A14" s="60">
        <v>11</v>
      </c>
      <c r="B14" s="122" t="s">
        <v>572</v>
      </c>
      <c r="C14" s="111" t="s">
        <v>11</v>
      </c>
      <c r="D14" s="110">
        <v>25</v>
      </c>
      <c r="E14" s="110">
        <v>7</v>
      </c>
      <c r="F14" s="60">
        <f t="shared" si="0"/>
        <v>-18</v>
      </c>
      <c r="G14" s="71">
        <f t="shared" si="1"/>
        <v>0.28000000000000003</v>
      </c>
    </row>
    <row r="15" spans="1:13">
      <c r="A15" s="60">
        <v>12</v>
      </c>
      <c r="B15" s="122" t="s">
        <v>573</v>
      </c>
      <c r="C15" s="111" t="s">
        <v>11</v>
      </c>
      <c r="D15" s="110">
        <v>25</v>
      </c>
      <c r="E15" s="110">
        <v>1</v>
      </c>
      <c r="F15" s="60">
        <f t="shared" si="0"/>
        <v>-24</v>
      </c>
      <c r="G15" s="71">
        <f t="shared" si="1"/>
        <v>0.04</v>
      </c>
    </row>
    <row r="16" spans="1:13">
      <c r="A16" s="60">
        <v>13</v>
      </c>
      <c r="B16" s="121" t="s">
        <v>574</v>
      </c>
      <c r="C16" s="111" t="s">
        <v>11</v>
      </c>
      <c r="D16" s="110">
        <v>25</v>
      </c>
      <c r="E16" s="110">
        <v>0</v>
      </c>
      <c r="F16" s="60">
        <f t="shared" si="0"/>
        <v>-25</v>
      </c>
      <c r="G16" s="71">
        <f t="shared" si="1"/>
        <v>0</v>
      </c>
    </row>
    <row r="17" spans="1:7">
      <c r="A17" s="60">
        <v>14</v>
      </c>
      <c r="B17" s="121" t="s">
        <v>575</v>
      </c>
      <c r="C17" s="111" t="s">
        <v>11</v>
      </c>
      <c r="D17" s="110">
        <v>25</v>
      </c>
      <c r="E17" s="110">
        <v>0</v>
      </c>
      <c r="F17" s="60">
        <f t="shared" si="0"/>
        <v>-25</v>
      </c>
      <c r="G17" s="71">
        <f t="shared" si="1"/>
        <v>0</v>
      </c>
    </row>
    <row r="18" spans="1:7">
      <c r="A18" s="60"/>
      <c r="B18" s="60" t="s">
        <v>31</v>
      </c>
      <c r="C18" s="60"/>
      <c r="D18" s="60">
        <v>340</v>
      </c>
      <c r="E18" s="60">
        <f>SUM(E4:E17)</f>
        <v>99</v>
      </c>
      <c r="F18" s="60">
        <f t="shared" si="0"/>
        <v>-241</v>
      </c>
      <c r="G18" s="71">
        <f t="shared" si="1"/>
        <v>0.29117647058823531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3A73-16BF-4CE7-A0AF-FD8AD6C9FDDA}">
  <dimension ref="A1:G11"/>
  <sheetViews>
    <sheetView workbookViewId="0">
      <selection activeCell="I5" sqref="I5"/>
    </sheetView>
  </sheetViews>
  <sheetFormatPr defaultRowHeight="14.5"/>
  <cols>
    <col min="1" max="1" width="4.81640625" customWidth="1"/>
    <col min="2" max="2" width="29.906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25" t="s">
        <v>578</v>
      </c>
      <c r="C4" s="124" t="s">
        <v>9</v>
      </c>
      <c r="D4" s="124">
        <v>35</v>
      </c>
      <c r="E4" s="124">
        <v>1</v>
      </c>
      <c r="F4" s="60">
        <f>E4-D4</f>
        <v>-34</v>
      </c>
      <c r="G4" s="71">
        <f>E4/D4*100%</f>
        <v>2.8571428571428571E-2</v>
      </c>
    </row>
    <row r="5" spans="1:7">
      <c r="A5" s="60">
        <v>2</v>
      </c>
      <c r="B5" s="126" t="s">
        <v>579</v>
      </c>
      <c r="C5" s="127" t="s">
        <v>11</v>
      </c>
      <c r="D5" s="124">
        <v>25</v>
      </c>
      <c r="E5" s="124">
        <v>1</v>
      </c>
      <c r="F5" s="60">
        <f t="shared" ref="F5:F11" si="0">E5-D5</f>
        <v>-24</v>
      </c>
      <c r="G5" s="71">
        <f t="shared" ref="G5:G11" si="1">E5/D5*100%</f>
        <v>0.04</v>
      </c>
    </row>
    <row r="6" spans="1:7">
      <c r="A6" s="60">
        <v>3</v>
      </c>
      <c r="B6" s="126" t="s">
        <v>580</v>
      </c>
      <c r="C6" s="127" t="s">
        <v>11</v>
      </c>
      <c r="D6" s="124">
        <v>25</v>
      </c>
      <c r="E6" s="124">
        <v>2</v>
      </c>
      <c r="F6" s="60">
        <f t="shared" si="0"/>
        <v>-23</v>
      </c>
      <c r="G6" s="71">
        <f t="shared" si="1"/>
        <v>0.08</v>
      </c>
    </row>
    <row r="7" spans="1:7">
      <c r="A7" s="60">
        <v>4</v>
      </c>
      <c r="B7" s="125" t="s">
        <v>581</v>
      </c>
      <c r="C7" s="127" t="s">
        <v>11</v>
      </c>
      <c r="D7" s="124">
        <v>25</v>
      </c>
      <c r="E7" s="124">
        <v>2</v>
      </c>
      <c r="F7" s="60">
        <f t="shared" si="0"/>
        <v>-23</v>
      </c>
      <c r="G7" s="71">
        <f t="shared" si="1"/>
        <v>0.08</v>
      </c>
    </row>
    <row r="8" spans="1:7">
      <c r="A8" s="60">
        <v>5</v>
      </c>
      <c r="B8" s="125" t="s">
        <v>582</v>
      </c>
      <c r="C8" s="127" t="s">
        <v>11</v>
      </c>
      <c r="D8" s="124">
        <v>25</v>
      </c>
      <c r="E8" s="124">
        <v>1</v>
      </c>
      <c r="F8" s="60">
        <f t="shared" si="0"/>
        <v>-24</v>
      </c>
      <c r="G8" s="71">
        <f t="shared" si="1"/>
        <v>0.04</v>
      </c>
    </row>
    <row r="9" spans="1:7">
      <c r="A9" s="60">
        <v>6</v>
      </c>
      <c r="B9" s="125" t="s">
        <v>583</v>
      </c>
      <c r="C9" s="127" t="s">
        <v>11</v>
      </c>
      <c r="D9" s="124">
        <v>25</v>
      </c>
      <c r="E9" s="124">
        <v>3</v>
      </c>
      <c r="F9" s="60">
        <f t="shared" si="0"/>
        <v>-22</v>
      </c>
      <c r="G9" s="71">
        <f t="shared" si="1"/>
        <v>0.12</v>
      </c>
    </row>
    <row r="10" spans="1:7">
      <c r="A10" s="60">
        <v>7</v>
      </c>
      <c r="B10" s="128" t="s">
        <v>584</v>
      </c>
      <c r="C10" s="127" t="s">
        <v>11</v>
      </c>
      <c r="D10" s="124">
        <v>25</v>
      </c>
      <c r="E10" s="124">
        <v>0</v>
      </c>
      <c r="F10" s="60">
        <f t="shared" si="0"/>
        <v>-25</v>
      </c>
      <c r="G10" s="71">
        <f t="shared" si="1"/>
        <v>0</v>
      </c>
    </row>
    <row r="11" spans="1:7">
      <c r="A11" s="60"/>
      <c r="B11" s="60" t="s">
        <v>31</v>
      </c>
      <c r="C11" s="60"/>
      <c r="D11" s="124">
        <v>190</v>
      </c>
      <c r="E11" s="60">
        <f>SUM(E4:E10)</f>
        <v>10</v>
      </c>
      <c r="F11" s="60">
        <f t="shared" si="0"/>
        <v>-180</v>
      </c>
      <c r="G11" s="71">
        <f t="shared" si="1"/>
        <v>5.2631578947368418E-2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3D2B-4846-4075-89E6-9702F8812357}">
  <dimension ref="A1:G7"/>
  <sheetViews>
    <sheetView workbookViewId="0">
      <selection sqref="A1:G3"/>
    </sheetView>
  </sheetViews>
  <sheetFormatPr defaultRowHeight="14.5"/>
  <cols>
    <col min="1" max="1" width="6.1796875" customWidth="1"/>
    <col min="2" max="2" width="32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19" t="s">
        <v>559</v>
      </c>
      <c r="C4" s="111" t="s">
        <v>11</v>
      </c>
      <c r="D4" s="110">
        <v>25</v>
      </c>
      <c r="E4" s="110">
        <v>7</v>
      </c>
      <c r="F4" s="60">
        <f>E4-D4</f>
        <v>-18</v>
      </c>
      <c r="G4" s="71">
        <f>E4/D4*100%</f>
        <v>0.28000000000000003</v>
      </c>
    </row>
    <row r="5" spans="1:7">
      <c r="A5" s="60">
        <v>2</v>
      </c>
      <c r="B5" s="60" t="s">
        <v>560</v>
      </c>
      <c r="C5" s="111" t="s">
        <v>11</v>
      </c>
      <c r="D5" s="110">
        <v>25</v>
      </c>
      <c r="E5" s="110">
        <v>0</v>
      </c>
      <c r="F5" s="60">
        <f t="shared" ref="F5:F7" si="0">E5-D5</f>
        <v>-25</v>
      </c>
      <c r="G5" s="71">
        <f t="shared" ref="G5:G7" si="1">E5/D5*100%</f>
        <v>0</v>
      </c>
    </row>
    <row r="6" spans="1:7">
      <c r="A6" s="60">
        <v>3</v>
      </c>
      <c r="B6" s="120" t="s">
        <v>561</v>
      </c>
      <c r="C6" s="111" t="s">
        <v>11</v>
      </c>
      <c r="D6" s="110">
        <v>25</v>
      </c>
      <c r="E6" s="110">
        <v>2</v>
      </c>
      <c r="F6" s="60">
        <f t="shared" si="0"/>
        <v>-23</v>
      </c>
      <c r="G6" s="71">
        <f t="shared" si="1"/>
        <v>0.08</v>
      </c>
    </row>
    <row r="7" spans="1:7">
      <c r="A7" s="60"/>
      <c r="B7" s="60" t="s">
        <v>31</v>
      </c>
      <c r="C7" s="60"/>
      <c r="D7" s="60">
        <v>75</v>
      </c>
      <c r="E7" s="60">
        <f>SUM(E4:E6)</f>
        <v>9</v>
      </c>
      <c r="F7" s="60">
        <f t="shared" si="0"/>
        <v>-66</v>
      </c>
      <c r="G7" s="71">
        <f t="shared" si="1"/>
        <v>0.12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2DE9-FBD4-4E19-A029-A0641C879C78}">
  <dimension ref="A1:M22"/>
  <sheetViews>
    <sheetView topLeftCell="A10" workbookViewId="0">
      <selection activeCell="J15" sqref="J15"/>
    </sheetView>
  </sheetViews>
  <sheetFormatPr defaultRowHeight="14.5"/>
  <cols>
    <col min="1" max="1" width="4.1796875" customWidth="1"/>
    <col min="2" max="2" width="32.7265625" customWidth="1"/>
    <col min="7" max="7" width="8.7265625" style="11"/>
    <col min="9" max="9" width="5.1796875" customWidth="1"/>
    <col min="10" max="10" width="18.45312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33" t="s">
        <v>723</v>
      </c>
      <c r="C4" s="134" t="s">
        <v>9</v>
      </c>
      <c r="D4" s="134">
        <v>25</v>
      </c>
      <c r="E4" s="134">
        <v>1</v>
      </c>
      <c r="F4" s="60">
        <f>E4-D4</f>
        <v>-24</v>
      </c>
      <c r="G4" s="71">
        <f>E4/D4*100%</f>
        <v>0.04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33" t="s">
        <v>724</v>
      </c>
      <c r="C5" s="134" t="s">
        <v>725</v>
      </c>
      <c r="D5" s="134">
        <v>25</v>
      </c>
      <c r="E5" s="134">
        <v>14</v>
      </c>
      <c r="F5" s="60">
        <f t="shared" ref="F5:F22" si="0">E5-D5</f>
        <v>-11</v>
      </c>
      <c r="G5" s="71">
        <f t="shared" ref="G5:G22" si="1">E5/D5*100%</f>
        <v>0.56000000000000005</v>
      </c>
      <c r="I5" s="58">
        <v>1</v>
      </c>
      <c r="J5" s="58" t="s">
        <v>741</v>
      </c>
      <c r="K5" s="58">
        <v>150</v>
      </c>
      <c r="L5" s="58">
        <v>41</v>
      </c>
      <c r="M5" s="75">
        <f>L5/K5*100%</f>
        <v>0.27333333333333332</v>
      </c>
    </row>
    <row r="6" spans="1:13">
      <c r="A6" s="60">
        <v>3</v>
      </c>
      <c r="B6" s="137" t="s">
        <v>726</v>
      </c>
      <c r="C6" s="136" t="s">
        <v>725</v>
      </c>
      <c r="D6" s="134">
        <v>25</v>
      </c>
      <c r="E6" s="134">
        <v>19</v>
      </c>
      <c r="F6" s="60">
        <f t="shared" si="0"/>
        <v>-6</v>
      </c>
      <c r="G6" s="71">
        <f t="shared" si="1"/>
        <v>0.76</v>
      </c>
      <c r="I6" s="58">
        <v>2</v>
      </c>
      <c r="J6" s="58" t="s">
        <v>742</v>
      </c>
      <c r="K6" s="58">
        <v>150</v>
      </c>
      <c r="L6" s="58">
        <v>50</v>
      </c>
      <c r="M6" s="75">
        <f t="shared" ref="M6:M7" si="2">L6/K6*100%</f>
        <v>0.33333333333333331</v>
      </c>
    </row>
    <row r="7" spans="1:13">
      <c r="A7" s="60">
        <v>4</v>
      </c>
      <c r="B7" s="137" t="s">
        <v>727</v>
      </c>
      <c r="C7" s="136" t="s">
        <v>725</v>
      </c>
      <c r="D7" s="134">
        <v>25</v>
      </c>
      <c r="E7" s="134">
        <v>4</v>
      </c>
      <c r="F7" s="60">
        <f t="shared" si="0"/>
        <v>-21</v>
      </c>
      <c r="G7" s="71">
        <f t="shared" si="1"/>
        <v>0.16</v>
      </c>
      <c r="I7" s="58">
        <v>3</v>
      </c>
      <c r="J7" s="58" t="s">
        <v>743</v>
      </c>
      <c r="K7" s="58">
        <v>150</v>
      </c>
      <c r="L7" s="58">
        <v>37</v>
      </c>
      <c r="M7" s="75">
        <f t="shared" si="2"/>
        <v>0.24666666666666667</v>
      </c>
    </row>
    <row r="8" spans="1:13">
      <c r="A8" s="60">
        <v>5</v>
      </c>
      <c r="B8" s="137" t="s">
        <v>728</v>
      </c>
      <c r="C8" s="136" t="s">
        <v>725</v>
      </c>
      <c r="D8" s="134">
        <v>25</v>
      </c>
      <c r="E8" s="134">
        <v>3</v>
      </c>
      <c r="F8" s="60">
        <f t="shared" si="0"/>
        <v>-22</v>
      </c>
      <c r="G8" s="71">
        <f t="shared" si="1"/>
        <v>0.12</v>
      </c>
    </row>
    <row r="9" spans="1:13">
      <c r="A9" s="60">
        <v>6</v>
      </c>
      <c r="B9" s="162" t="s">
        <v>729</v>
      </c>
      <c r="C9" s="136" t="s">
        <v>725</v>
      </c>
      <c r="D9" s="134">
        <v>25</v>
      </c>
      <c r="E9" s="134">
        <v>0</v>
      </c>
      <c r="F9" s="60">
        <f t="shared" si="0"/>
        <v>-25</v>
      </c>
      <c r="G9" s="71">
        <f t="shared" si="1"/>
        <v>0</v>
      </c>
    </row>
    <row r="10" spans="1:13">
      <c r="A10" s="60">
        <v>7</v>
      </c>
      <c r="B10" s="133" t="s">
        <v>730</v>
      </c>
      <c r="C10" s="134" t="s">
        <v>9</v>
      </c>
      <c r="D10" s="134">
        <v>25</v>
      </c>
      <c r="E10" s="134">
        <v>1</v>
      </c>
      <c r="F10" s="60">
        <f t="shared" si="0"/>
        <v>-24</v>
      </c>
      <c r="G10" s="71">
        <f t="shared" si="1"/>
        <v>0.04</v>
      </c>
    </row>
    <row r="11" spans="1:13">
      <c r="A11" s="60">
        <v>8</v>
      </c>
      <c r="B11" s="133" t="s">
        <v>731</v>
      </c>
      <c r="C11" s="134" t="s">
        <v>725</v>
      </c>
      <c r="D11" s="134">
        <v>25</v>
      </c>
      <c r="E11" s="134">
        <v>18</v>
      </c>
      <c r="F11" s="60">
        <f t="shared" si="0"/>
        <v>-7</v>
      </c>
      <c r="G11" s="71">
        <f t="shared" si="1"/>
        <v>0.72</v>
      </c>
    </row>
    <row r="12" spans="1:13">
      <c r="A12" s="60">
        <v>9</v>
      </c>
      <c r="B12" s="137" t="s">
        <v>732</v>
      </c>
      <c r="C12" s="136" t="s">
        <v>725</v>
      </c>
      <c r="D12" s="134">
        <v>25</v>
      </c>
      <c r="E12" s="134">
        <v>16</v>
      </c>
      <c r="F12" s="60">
        <f t="shared" si="0"/>
        <v>-9</v>
      </c>
      <c r="G12" s="71">
        <f t="shared" si="1"/>
        <v>0.64</v>
      </c>
    </row>
    <row r="13" spans="1:13">
      <c r="A13" s="60">
        <v>10</v>
      </c>
      <c r="B13" s="137" t="s">
        <v>733</v>
      </c>
      <c r="C13" s="136" t="s">
        <v>725</v>
      </c>
      <c r="D13" s="134">
        <v>25</v>
      </c>
      <c r="E13" s="134">
        <v>9</v>
      </c>
      <c r="F13" s="60">
        <f t="shared" si="0"/>
        <v>-16</v>
      </c>
      <c r="G13" s="71">
        <f t="shared" si="1"/>
        <v>0.36</v>
      </c>
    </row>
    <row r="14" spans="1:13">
      <c r="A14" s="60">
        <v>11</v>
      </c>
      <c r="B14" s="137" t="s">
        <v>734</v>
      </c>
      <c r="C14" s="136" t="s">
        <v>725</v>
      </c>
      <c r="D14" s="134">
        <v>25</v>
      </c>
      <c r="E14" s="134">
        <v>1</v>
      </c>
      <c r="F14" s="60">
        <f t="shared" si="0"/>
        <v>-24</v>
      </c>
      <c r="G14" s="71">
        <f t="shared" si="1"/>
        <v>0.04</v>
      </c>
    </row>
    <row r="15" spans="1:13">
      <c r="A15" s="60">
        <v>12</v>
      </c>
      <c r="B15" s="201" t="s">
        <v>878</v>
      </c>
      <c r="C15" s="136" t="s">
        <v>725</v>
      </c>
      <c r="D15" s="134">
        <v>25</v>
      </c>
      <c r="E15" s="134">
        <v>7</v>
      </c>
      <c r="F15" s="60">
        <f t="shared" si="0"/>
        <v>-18</v>
      </c>
      <c r="G15" s="71">
        <f t="shared" si="1"/>
        <v>0.28000000000000003</v>
      </c>
    </row>
    <row r="16" spans="1:13">
      <c r="A16" s="60">
        <v>13</v>
      </c>
      <c r="B16" s="133" t="s">
        <v>735</v>
      </c>
      <c r="C16" s="134" t="s">
        <v>9</v>
      </c>
      <c r="D16" s="134">
        <v>25</v>
      </c>
      <c r="E16" s="134">
        <v>1</v>
      </c>
      <c r="F16" s="60">
        <f t="shared" si="0"/>
        <v>-24</v>
      </c>
      <c r="G16" s="71">
        <f t="shared" si="1"/>
        <v>0.04</v>
      </c>
    </row>
    <row r="17" spans="1:7">
      <c r="A17" s="60">
        <v>14</v>
      </c>
      <c r="B17" s="133" t="s">
        <v>736</v>
      </c>
      <c r="C17" s="134" t="s">
        <v>725</v>
      </c>
      <c r="D17" s="134">
        <v>25</v>
      </c>
      <c r="E17" s="134">
        <v>16</v>
      </c>
      <c r="F17" s="60">
        <f t="shared" si="0"/>
        <v>-9</v>
      </c>
      <c r="G17" s="71">
        <f t="shared" si="1"/>
        <v>0.64</v>
      </c>
    </row>
    <row r="18" spans="1:7">
      <c r="A18" s="60">
        <v>15</v>
      </c>
      <c r="B18" s="137" t="s">
        <v>737</v>
      </c>
      <c r="C18" s="136" t="s">
        <v>725</v>
      </c>
      <c r="D18" s="134">
        <v>25</v>
      </c>
      <c r="E18" s="134">
        <v>3</v>
      </c>
      <c r="F18" s="60">
        <f t="shared" si="0"/>
        <v>-22</v>
      </c>
      <c r="G18" s="71">
        <f t="shared" si="1"/>
        <v>0.12</v>
      </c>
    </row>
    <row r="19" spans="1:7">
      <c r="A19" s="60">
        <v>16</v>
      </c>
      <c r="B19" s="137" t="s">
        <v>738</v>
      </c>
      <c r="C19" s="136" t="s">
        <v>725</v>
      </c>
      <c r="D19" s="134">
        <v>25</v>
      </c>
      <c r="E19" s="134">
        <v>6</v>
      </c>
      <c r="F19" s="60">
        <f t="shared" si="0"/>
        <v>-19</v>
      </c>
      <c r="G19" s="71">
        <f t="shared" si="1"/>
        <v>0.24</v>
      </c>
    </row>
    <row r="20" spans="1:7">
      <c r="A20" s="60">
        <v>17</v>
      </c>
      <c r="B20" s="137" t="s">
        <v>739</v>
      </c>
      <c r="C20" s="136" t="s">
        <v>725</v>
      </c>
      <c r="D20" s="134">
        <v>25</v>
      </c>
      <c r="E20" s="134">
        <v>9</v>
      </c>
      <c r="F20" s="60">
        <f t="shared" si="0"/>
        <v>-16</v>
      </c>
      <c r="G20" s="71">
        <f t="shared" si="1"/>
        <v>0.36</v>
      </c>
    </row>
    <row r="21" spans="1:7">
      <c r="A21" s="60">
        <v>18</v>
      </c>
      <c r="B21" s="137" t="s">
        <v>740</v>
      </c>
      <c r="C21" s="136" t="s">
        <v>725</v>
      </c>
      <c r="D21" s="134">
        <v>25</v>
      </c>
      <c r="E21" s="134">
        <v>2</v>
      </c>
      <c r="F21" s="60">
        <f t="shared" si="0"/>
        <v>-23</v>
      </c>
      <c r="G21" s="71">
        <f t="shared" si="1"/>
        <v>0.08</v>
      </c>
    </row>
    <row r="22" spans="1:7">
      <c r="A22" s="60"/>
      <c r="B22" s="60" t="s">
        <v>31</v>
      </c>
      <c r="C22" s="60"/>
      <c r="D22" s="60">
        <v>450</v>
      </c>
      <c r="E22" s="60">
        <f>SUM(E4:E21)</f>
        <v>130</v>
      </c>
      <c r="F22" s="60">
        <f t="shared" si="0"/>
        <v>-320</v>
      </c>
      <c r="G22" s="71">
        <f t="shared" si="1"/>
        <v>0.28888888888888886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6C13-D744-4151-8B70-37F7A736758F}">
  <dimension ref="A1:M29"/>
  <sheetViews>
    <sheetView topLeftCell="A19" workbookViewId="0">
      <selection activeCell="C17" sqref="C17:C18"/>
    </sheetView>
  </sheetViews>
  <sheetFormatPr defaultRowHeight="14.5"/>
  <cols>
    <col min="1" max="1" width="4.7265625" customWidth="1"/>
    <col min="2" max="2" width="30.54296875" customWidth="1"/>
    <col min="7" max="7" width="8.7265625" style="11"/>
    <col min="9" max="9" width="5.81640625" customWidth="1"/>
    <col min="10" max="10" width="22.90625" customWidth="1"/>
    <col min="11" max="11" width="7.726562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61" t="s">
        <v>744</v>
      </c>
      <c r="C4" s="62" t="s">
        <v>9</v>
      </c>
      <c r="D4" s="62">
        <v>35</v>
      </c>
      <c r="E4" s="62">
        <v>0</v>
      </c>
      <c r="F4" s="60">
        <f>E4-D4</f>
        <v>-35</v>
      </c>
      <c r="G4" s="71">
        <f>E4/D4*100%</f>
        <v>0</v>
      </c>
    </row>
    <row r="5" spans="1:13">
      <c r="A5" s="60">
        <v>2</v>
      </c>
      <c r="B5" s="61" t="s">
        <v>745</v>
      </c>
      <c r="C5" s="62" t="s">
        <v>725</v>
      </c>
      <c r="D5" s="62">
        <v>25</v>
      </c>
      <c r="E5" s="62">
        <v>14</v>
      </c>
      <c r="F5" s="60">
        <f t="shared" ref="F5:F29" si="0">E5-D5</f>
        <v>-11</v>
      </c>
      <c r="G5" s="71">
        <f t="shared" ref="G5:G29" si="1">E5/D5*100%</f>
        <v>0.56000000000000005</v>
      </c>
      <c r="I5" s="34" t="s">
        <v>92</v>
      </c>
      <c r="J5" s="33" t="s">
        <v>170</v>
      </c>
      <c r="K5" s="33" t="s">
        <v>41</v>
      </c>
      <c r="L5" s="33" t="s">
        <v>42</v>
      </c>
      <c r="M5" s="46" t="s">
        <v>6</v>
      </c>
    </row>
    <row r="6" spans="1:13">
      <c r="A6" s="60">
        <v>3</v>
      </c>
      <c r="B6" s="61" t="s">
        <v>746</v>
      </c>
      <c r="C6" s="62" t="s">
        <v>725</v>
      </c>
      <c r="D6" s="62">
        <v>25</v>
      </c>
      <c r="E6" s="62">
        <v>47</v>
      </c>
      <c r="F6" s="60">
        <f t="shared" si="0"/>
        <v>22</v>
      </c>
      <c r="G6" s="71">
        <f t="shared" si="1"/>
        <v>1.88</v>
      </c>
      <c r="I6" s="58">
        <v>1</v>
      </c>
      <c r="J6" s="58" t="s">
        <v>770</v>
      </c>
      <c r="K6" s="58">
        <v>190</v>
      </c>
      <c r="L6" s="58">
        <v>88</v>
      </c>
      <c r="M6" s="75">
        <f>L6/K6*100%</f>
        <v>0.4631578947368421</v>
      </c>
    </row>
    <row r="7" spans="1:13">
      <c r="A7" s="60">
        <v>4</v>
      </c>
      <c r="B7" s="171" t="s">
        <v>747</v>
      </c>
      <c r="C7" s="163" t="s">
        <v>725</v>
      </c>
      <c r="D7" s="163">
        <v>25</v>
      </c>
      <c r="E7" s="163">
        <v>19</v>
      </c>
      <c r="F7" s="60">
        <f t="shared" si="0"/>
        <v>-6</v>
      </c>
      <c r="G7" s="71">
        <f t="shared" si="1"/>
        <v>0.76</v>
      </c>
      <c r="I7" s="58">
        <v>2</v>
      </c>
      <c r="J7" s="58" t="s">
        <v>771</v>
      </c>
      <c r="K7" s="58">
        <v>190</v>
      </c>
      <c r="L7" s="58">
        <v>66</v>
      </c>
      <c r="M7" s="75">
        <f t="shared" ref="M7:M9" si="2">L7/K7*100%</f>
        <v>0.3473684210526316</v>
      </c>
    </row>
    <row r="8" spans="1:13">
      <c r="A8" s="60">
        <v>5</v>
      </c>
      <c r="B8" s="165" t="s">
        <v>748</v>
      </c>
      <c r="C8" s="163" t="s">
        <v>725</v>
      </c>
      <c r="D8" s="164">
        <v>25</v>
      </c>
      <c r="E8" s="164">
        <v>7</v>
      </c>
      <c r="F8" s="60">
        <f t="shared" si="0"/>
        <v>-18</v>
      </c>
      <c r="G8" s="71">
        <f t="shared" si="1"/>
        <v>0.28000000000000003</v>
      </c>
      <c r="I8" s="58">
        <v>3</v>
      </c>
      <c r="J8" s="58" t="s">
        <v>772</v>
      </c>
      <c r="K8" s="58">
        <v>150</v>
      </c>
      <c r="L8" s="58">
        <v>74</v>
      </c>
      <c r="M8" s="75">
        <f t="shared" si="2"/>
        <v>0.49333333333333335</v>
      </c>
    </row>
    <row r="9" spans="1:13">
      <c r="A9" s="60">
        <v>6</v>
      </c>
      <c r="B9" s="165" t="s">
        <v>749</v>
      </c>
      <c r="C9" s="163" t="s">
        <v>725</v>
      </c>
      <c r="D9" s="164">
        <v>25</v>
      </c>
      <c r="E9" s="164">
        <v>1</v>
      </c>
      <c r="F9" s="60">
        <f t="shared" si="0"/>
        <v>-24</v>
      </c>
      <c r="G9" s="71">
        <f t="shared" si="1"/>
        <v>0.04</v>
      </c>
      <c r="I9" s="58">
        <v>4</v>
      </c>
      <c r="J9" s="58" t="s">
        <v>773</v>
      </c>
      <c r="K9" s="58">
        <v>150</v>
      </c>
      <c r="L9" s="58">
        <v>56</v>
      </c>
      <c r="M9" s="75">
        <f t="shared" si="2"/>
        <v>0.37333333333333335</v>
      </c>
    </row>
    <row r="10" spans="1:13">
      <c r="A10" s="60">
        <v>7</v>
      </c>
      <c r="B10" s="172" t="s">
        <v>751</v>
      </c>
      <c r="C10" s="163" t="s">
        <v>11</v>
      </c>
      <c r="D10" s="164">
        <v>25</v>
      </c>
      <c r="E10" s="164">
        <v>0</v>
      </c>
      <c r="F10" s="60">
        <f t="shared" si="0"/>
        <v>-25</v>
      </c>
      <c r="G10" s="71">
        <f t="shared" si="1"/>
        <v>0</v>
      </c>
    </row>
    <row r="11" spans="1:13">
      <c r="A11" s="60">
        <v>8</v>
      </c>
      <c r="B11" s="61" t="s">
        <v>752</v>
      </c>
      <c r="C11" s="62" t="s">
        <v>9</v>
      </c>
      <c r="D11" s="62">
        <v>25</v>
      </c>
      <c r="E11" s="62">
        <v>0</v>
      </c>
      <c r="F11" s="60">
        <f t="shared" si="0"/>
        <v>-25</v>
      </c>
      <c r="G11" s="71">
        <f t="shared" si="1"/>
        <v>0</v>
      </c>
    </row>
    <row r="12" spans="1:13">
      <c r="A12" s="60">
        <v>9</v>
      </c>
      <c r="B12" s="61" t="s">
        <v>753</v>
      </c>
      <c r="C12" s="62" t="s">
        <v>725</v>
      </c>
      <c r="D12" s="62">
        <v>25</v>
      </c>
      <c r="E12" s="62">
        <v>25</v>
      </c>
      <c r="F12" s="60">
        <f t="shared" si="0"/>
        <v>0</v>
      </c>
      <c r="G12" s="71">
        <f t="shared" si="1"/>
        <v>1</v>
      </c>
    </row>
    <row r="13" spans="1:13">
      <c r="A13" s="60">
        <v>10</v>
      </c>
      <c r="B13" s="61" t="s">
        <v>754</v>
      </c>
      <c r="C13" s="62" t="s">
        <v>725</v>
      </c>
      <c r="D13" s="62">
        <v>25</v>
      </c>
      <c r="E13" s="62">
        <v>21</v>
      </c>
      <c r="F13" s="60">
        <f t="shared" si="0"/>
        <v>-4</v>
      </c>
      <c r="G13" s="71">
        <f t="shared" si="1"/>
        <v>0.84</v>
      </c>
    </row>
    <row r="14" spans="1:13">
      <c r="A14" s="60">
        <v>11</v>
      </c>
      <c r="B14" s="165" t="s">
        <v>755</v>
      </c>
      <c r="C14" s="164" t="s">
        <v>725</v>
      </c>
      <c r="D14" s="164">
        <v>25</v>
      </c>
      <c r="E14" s="164">
        <v>16</v>
      </c>
      <c r="F14" s="60">
        <f t="shared" si="0"/>
        <v>-9</v>
      </c>
      <c r="G14" s="71">
        <f t="shared" si="1"/>
        <v>0.64</v>
      </c>
    </row>
    <row r="15" spans="1:13">
      <c r="A15" s="60">
        <v>12</v>
      </c>
      <c r="B15" s="166" t="s">
        <v>756</v>
      </c>
      <c r="C15" s="62" t="s">
        <v>725</v>
      </c>
      <c r="D15" s="62">
        <v>25</v>
      </c>
      <c r="E15" s="62">
        <v>4</v>
      </c>
      <c r="F15" s="60">
        <f t="shared" si="0"/>
        <v>-21</v>
      </c>
      <c r="G15" s="71">
        <f t="shared" si="1"/>
        <v>0.16</v>
      </c>
    </row>
    <row r="16" spans="1:13">
      <c r="A16" s="60">
        <v>13</v>
      </c>
      <c r="B16" s="167" t="s">
        <v>757</v>
      </c>
      <c r="C16" s="164" t="s">
        <v>750</v>
      </c>
      <c r="D16" s="164">
        <v>25</v>
      </c>
      <c r="E16" s="164">
        <v>0</v>
      </c>
      <c r="F16" s="60">
        <f t="shared" si="0"/>
        <v>-25</v>
      </c>
      <c r="G16" s="71">
        <f t="shared" si="1"/>
        <v>0</v>
      </c>
    </row>
    <row r="17" spans="1:7" ht="29">
      <c r="A17" s="60">
        <v>14</v>
      </c>
      <c r="B17" s="173" t="s">
        <v>758</v>
      </c>
      <c r="C17" s="200" t="s">
        <v>11</v>
      </c>
      <c r="D17" s="164">
        <v>25</v>
      </c>
      <c r="E17" s="164">
        <v>0</v>
      </c>
      <c r="F17" s="60">
        <f t="shared" si="0"/>
        <v>-25</v>
      </c>
      <c r="G17" s="71">
        <f t="shared" si="1"/>
        <v>0</v>
      </c>
    </row>
    <row r="18" spans="1:7" ht="29">
      <c r="A18" s="60">
        <v>15</v>
      </c>
      <c r="B18" s="173" t="s">
        <v>759</v>
      </c>
      <c r="C18" s="200" t="s">
        <v>11</v>
      </c>
      <c r="D18" s="164">
        <v>25</v>
      </c>
      <c r="E18" s="164">
        <v>0</v>
      </c>
      <c r="F18" s="60">
        <f t="shared" si="0"/>
        <v>-25</v>
      </c>
      <c r="G18" s="71">
        <f t="shared" si="1"/>
        <v>0</v>
      </c>
    </row>
    <row r="19" spans="1:7">
      <c r="A19" s="60">
        <v>16</v>
      </c>
      <c r="B19" s="61" t="s">
        <v>760</v>
      </c>
      <c r="C19" s="62" t="s">
        <v>9</v>
      </c>
      <c r="D19" s="62">
        <v>35</v>
      </c>
      <c r="E19" s="62">
        <v>0</v>
      </c>
      <c r="F19" s="60">
        <f t="shared" si="0"/>
        <v>-35</v>
      </c>
      <c r="G19" s="71">
        <f t="shared" si="1"/>
        <v>0</v>
      </c>
    </row>
    <row r="20" spans="1:7">
      <c r="A20" s="60">
        <v>17</v>
      </c>
      <c r="B20" s="61" t="s">
        <v>761</v>
      </c>
      <c r="C20" s="62" t="s">
        <v>725</v>
      </c>
      <c r="D20" s="62">
        <v>25</v>
      </c>
      <c r="E20" s="62">
        <v>31</v>
      </c>
      <c r="F20" s="60">
        <f t="shared" si="0"/>
        <v>6</v>
      </c>
      <c r="G20" s="71">
        <f t="shared" si="1"/>
        <v>1.24</v>
      </c>
    </row>
    <row r="21" spans="1:7">
      <c r="A21" s="60">
        <v>18</v>
      </c>
      <c r="B21" s="61" t="s">
        <v>762</v>
      </c>
      <c r="C21" s="62" t="s">
        <v>725</v>
      </c>
      <c r="D21" s="62">
        <v>25</v>
      </c>
      <c r="E21" s="62">
        <v>7</v>
      </c>
      <c r="F21" s="60">
        <f t="shared" si="0"/>
        <v>-18</v>
      </c>
      <c r="G21" s="71">
        <f t="shared" si="1"/>
        <v>0.28000000000000003</v>
      </c>
    </row>
    <row r="22" spans="1:7">
      <c r="A22" s="60">
        <v>19</v>
      </c>
      <c r="B22" s="61" t="s">
        <v>763</v>
      </c>
      <c r="C22" s="62" t="s">
        <v>725</v>
      </c>
      <c r="D22" s="62">
        <v>25</v>
      </c>
      <c r="E22" s="62">
        <v>6</v>
      </c>
      <c r="F22" s="60">
        <f t="shared" si="0"/>
        <v>-19</v>
      </c>
      <c r="G22" s="71">
        <f t="shared" si="1"/>
        <v>0.24</v>
      </c>
    </row>
    <row r="23" spans="1:7">
      <c r="A23" s="60">
        <v>20</v>
      </c>
      <c r="B23" s="168" t="s">
        <v>764</v>
      </c>
      <c r="C23" s="62" t="s">
        <v>725</v>
      </c>
      <c r="D23" s="62">
        <v>25</v>
      </c>
      <c r="E23" s="62">
        <v>30</v>
      </c>
      <c r="F23" s="60">
        <f t="shared" si="0"/>
        <v>5</v>
      </c>
      <c r="G23" s="71">
        <f t="shared" si="1"/>
        <v>1.2</v>
      </c>
    </row>
    <row r="24" spans="1:7">
      <c r="A24" s="60">
        <v>21</v>
      </c>
      <c r="B24" s="172" t="s">
        <v>765</v>
      </c>
      <c r="C24" s="62" t="s">
        <v>725</v>
      </c>
      <c r="D24" s="62">
        <v>25</v>
      </c>
      <c r="E24" s="62">
        <v>0</v>
      </c>
      <c r="F24" s="60">
        <f t="shared" si="0"/>
        <v>-25</v>
      </c>
      <c r="G24" s="71">
        <f t="shared" si="1"/>
        <v>0</v>
      </c>
    </row>
    <row r="25" spans="1:7">
      <c r="A25" s="60">
        <v>22</v>
      </c>
      <c r="B25" s="61" t="s">
        <v>766</v>
      </c>
      <c r="C25" s="62" t="s">
        <v>9</v>
      </c>
      <c r="D25" s="62">
        <v>25</v>
      </c>
      <c r="E25" s="62">
        <v>0</v>
      </c>
      <c r="F25" s="60">
        <f t="shared" si="0"/>
        <v>-25</v>
      </c>
      <c r="G25" s="71">
        <f t="shared" si="1"/>
        <v>0</v>
      </c>
    </row>
    <row r="26" spans="1:7">
      <c r="A26" s="60">
        <v>23</v>
      </c>
      <c r="B26" s="61" t="s">
        <v>767</v>
      </c>
      <c r="C26" s="163" t="s">
        <v>725</v>
      </c>
      <c r="D26" s="163">
        <v>25</v>
      </c>
      <c r="E26" s="163">
        <v>18</v>
      </c>
      <c r="F26" s="60">
        <f t="shared" si="0"/>
        <v>-7</v>
      </c>
      <c r="G26" s="71">
        <f t="shared" si="1"/>
        <v>0.72</v>
      </c>
    </row>
    <row r="27" spans="1:7">
      <c r="A27" s="60">
        <v>24</v>
      </c>
      <c r="B27" s="169" t="s">
        <v>768</v>
      </c>
      <c r="C27" s="170" t="s">
        <v>725</v>
      </c>
      <c r="D27" s="170">
        <v>25</v>
      </c>
      <c r="E27" s="170">
        <v>26</v>
      </c>
      <c r="F27" s="60">
        <f t="shared" si="0"/>
        <v>1</v>
      </c>
      <c r="G27" s="71">
        <f t="shared" si="1"/>
        <v>1.04</v>
      </c>
    </row>
    <row r="28" spans="1:7">
      <c r="A28" s="60">
        <v>25</v>
      </c>
      <c r="B28" s="61" t="s">
        <v>769</v>
      </c>
      <c r="C28" s="143" t="s">
        <v>11</v>
      </c>
      <c r="D28" s="68">
        <v>25</v>
      </c>
      <c r="E28" s="170">
        <v>12</v>
      </c>
      <c r="F28" s="60">
        <f t="shared" si="0"/>
        <v>-13</v>
      </c>
      <c r="G28" s="71">
        <f t="shared" si="1"/>
        <v>0.48</v>
      </c>
    </row>
    <row r="29" spans="1:7">
      <c r="A29" s="60"/>
      <c r="B29" s="60" t="s">
        <v>31</v>
      </c>
      <c r="C29" s="60"/>
      <c r="D29" s="60">
        <v>680</v>
      </c>
      <c r="E29" s="60">
        <f>SUM(E4:E28)</f>
        <v>284</v>
      </c>
      <c r="F29" s="60">
        <f t="shared" si="0"/>
        <v>-396</v>
      </c>
      <c r="G29" s="71">
        <f t="shared" si="1"/>
        <v>0.41764705882352943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CC35-5458-4CC6-AA30-A90EB3D103B2}">
  <dimension ref="A1:G10"/>
  <sheetViews>
    <sheetView workbookViewId="0">
      <selection activeCell="E12" sqref="E12"/>
    </sheetView>
  </sheetViews>
  <sheetFormatPr defaultRowHeight="14.5"/>
  <cols>
    <col min="1" max="1" width="3.90625" customWidth="1"/>
    <col min="2" max="2" width="29.26953125" customWidth="1"/>
    <col min="7" max="7" width="8.7265625" style="11"/>
  </cols>
  <sheetData>
    <row r="1" spans="1:7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7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7">
      <c r="A3" s="217"/>
      <c r="B3" s="218"/>
      <c r="C3" s="219"/>
      <c r="D3" s="219"/>
      <c r="E3" s="219"/>
      <c r="F3" s="219"/>
      <c r="G3" s="220"/>
    </row>
    <row r="4" spans="1:7">
      <c r="A4" s="60">
        <v>1</v>
      </c>
      <c r="B4" s="108" t="s">
        <v>774</v>
      </c>
      <c r="C4" s="178" t="s">
        <v>9</v>
      </c>
      <c r="D4" s="174">
        <v>35</v>
      </c>
      <c r="E4" s="109">
        <v>11</v>
      </c>
      <c r="F4" s="60">
        <f>E4-D4</f>
        <v>-24</v>
      </c>
      <c r="G4" s="71">
        <f>E4/D4*100%</f>
        <v>0.31428571428571428</v>
      </c>
    </row>
    <row r="5" spans="1:7">
      <c r="A5" s="60">
        <v>2</v>
      </c>
      <c r="B5" s="108" t="s">
        <v>775</v>
      </c>
      <c r="C5" s="178" t="s">
        <v>11</v>
      </c>
      <c r="D5" s="175">
        <v>25</v>
      </c>
      <c r="E5" s="109">
        <v>2</v>
      </c>
      <c r="F5" s="60">
        <f t="shared" ref="F5:F10" si="0">E5-D5</f>
        <v>-23</v>
      </c>
      <c r="G5" s="71">
        <f t="shared" ref="G5:G10" si="1">E5/D5*100%</f>
        <v>0.08</v>
      </c>
    </row>
    <row r="6" spans="1:7">
      <c r="A6" s="60">
        <v>3</v>
      </c>
      <c r="B6" s="108" t="s">
        <v>776</v>
      </c>
      <c r="C6" s="178" t="s">
        <v>11</v>
      </c>
      <c r="D6" s="130">
        <v>25</v>
      </c>
      <c r="E6" s="109">
        <v>10</v>
      </c>
      <c r="F6" s="60">
        <f t="shared" si="0"/>
        <v>-15</v>
      </c>
      <c r="G6" s="71">
        <f t="shared" si="1"/>
        <v>0.4</v>
      </c>
    </row>
    <row r="7" spans="1:7">
      <c r="A7" s="60">
        <v>4</v>
      </c>
      <c r="B7" s="108" t="s">
        <v>777</v>
      </c>
      <c r="C7" s="179" t="s">
        <v>11</v>
      </c>
      <c r="D7" s="130">
        <v>25</v>
      </c>
      <c r="E7" s="109">
        <v>8</v>
      </c>
      <c r="F7" s="60">
        <f t="shared" si="0"/>
        <v>-17</v>
      </c>
      <c r="G7" s="71">
        <f t="shared" si="1"/>
        <v>0.32</v>
      </c>
    </row>
    <row r="8" spans="1:7">
      <c r="A8" s="60">
        <v>5</v>
      </c>
      <c r="B8" s="142" t="s">
        <v>778</v>
      </c>
      <c r="C8" s="180" t="s">
        <v>11</v>
      </c>
      <c r="D8" s="175">
        <v>25</v>
      </c>
      <c r="E8" s="109">
        <v>1</v>
      </c>
      <c r="F8" s="60">
        <f t="shared" si="0"/>
        <v>-24</v>
      </c>
      <c r="G8" s="71">
        <f t="shared" si="1"/>
        <v>0.04</v>
      </c>
    </row>
    <row r="9" spans="1:7">
      <c r="A9" s="60">
        <v>6</v>
      </c>
      <c r="B9" s="108" t="s">
        <v>779</v>
      </c>
      <c r="C9" s="181" t="s">
        <v>11</v>
      </c>
      <c r="D9" s="130">
        <v>25</v>
      </c>
      <c r="E9" s="109">
        <v>17</v>
      </c>
      <c r="F9" s="60">
        <f t="shared" si="0"/>
        <v>-8</v>
      </c>
      <c r="G9" s="71">
        <f t="shared" si="1"/>
        <v>0.68</v>
      </c>
    </row>
    <row r="10" spans="1:7">
      <c r="A10" s="60"/>
      <c r="B10" s="60" t="s">
        <v>31</v>
      </c>
      <c r="C10" s="60"/>
      <c r="D10" s="60">
        <v>150</v>
      </c>
      <c r="E10" s="60">
        <f>SUM(E4:E9)</f>
        <v>49</v>
      </c>
      <c r="F10" s="60">
        <f t="shared" si="0"/>
        <v>-101</v>
      </c>
      <c r="G10" s="71">
        <f t="shared" si="1"/>
        <v>0.32666666666666666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3F3A-FA8D-4BF1-BC20-214B8615FF10}">
  <dimension ref="A1:M17"/>
  <sheetViews>
    <sheetView topLeftCell="A13" workbookViewId="0">
      <selection activeCell="J9" sqref="J9"/>
    </sheetView>
  </sheetViews>
  <sheetFormatPr defaultRowHeight="14.5"/>
  <cols>
    <col min="1" max="1" width="5.26953125" customWidth="1"/>
    <col min="2" max="2" width="31.1796875" customWidth="1"/>
    <col min="7" max="7" width="8.7265625" style="11"/>
    <col min="9" max="9" width="4.81640625" customWidth="1"/>
    <col min="10" max="10" width="25.726562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08" t="s">
        <v>780</v>
      </c>
      <c r="C4" s="174" t="s">
        <v>9</v>
      </c>
      <c r="D4" s="174">
        <v>35</v>
      </c>
      <c r="E4" s="109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08" t="s">
        <v>781</v>
      </c>
      <c r="C5" s="176" t="s">
        <v>11</v>
      </c>
      <c r="D5" s="177">
        <v>25</v>
      </c>
      <c r="E5" s="109">
        <v>19</v>
      </c>
      <c r="F5" s="60">
        <f t="shared" ref="F5:F17" si="0">E5-D5</f>
        <v>-6</v>
      </c>
      <c r="G5" s="71">
        <f t="shared" ref="G5:G17" si="1">E5/D5*100%</f>
        <v>0.76</v>
      </c>
      <c r="I5" s="58">
        <v>1</v>
      </c>
      <c r="J5" s="58" t="s">
        <v>793</v>
      </c>
      <c r="K5" s="58">
        <v>190</v>
      </c>
      <c r="L5" s="58">
        <v>83</v>
      </c>
      <c r="M5" s="75">
        <f>L5/K5*100%</f>
        <v>0.43684210526315792</v>
      </c>
    </row>
    <row r="6" spans="1:13">
      <c r="A6" s="60">
        <v>3</v>
      </c>
      <c r="B6" s="108" t="s">
        <v>782</v>
      </c>
      <c r="C6" s="176" t="s">
        <v>11</v>
      </c>
      <c r="D6" s="177">
        <v>25</v>
      </c>
      <c r="E6" s="109">
        <v>20</v>
      </c>
      <c r="F6" s="60">
        <f t="shared" si="0"/>
        <v>-5</v>
      </c>
      <c r="G6" s="71">
        <f t="shared" si="1"/>
        <v>0.8</v>
      </c>
      <c r="I6" s="58">
        <v>2</v>
      </c>
      <c r="J6" s="58" t="s">
        <v>794</v>
      </c>
      <c r="K6" s="58">
        <v>150</v>
      </c>
      <c r="L6" s="58">
        <v>89</v>
      </c>
      <c r="M6" s="75">
        <f>L6/K6*100%</f>
        <v>0.59333333333333338</v>
      </c>
    </row>
    <row r="7" spans="1:13">
      <c r="A7" s="60">
        <v>4</v>
      </c>
      <c r="B7" s="108" t="s">
        <v>783</v>
      </c>
      <c r="C7" s="176" t="s">
        <v>11</v>
      </c>
      <c r="D7" s="177">
        <v>25</v>
      </c>
      <c r="E7" s="109">
        <v>31</v>
      </c>
      <c r="F7" s="60">
        <f t="shared" si="0"/>
        <v>6</v>
      </c>
      <c r="G7" s="71">
        <f t="shared" si="1"/>
        <v>1.24</v>
      </c>
    </row>
    <row r="8" spans="1:13">
      <c r="A8" s="60">
        <v>5</v>
      </c>
      <c r="B8" s="108" t="s">
        <v>784</v>
      </c>
      <c r="C8" s="176" t="s">
        <v>11</v>
      </c>
      <c r="D8" s="177">
        <v>25</v>
      </c>
      <c r="E8" s="109">
        <v>2</v>
      </c>
      <c r="F8" s="60">
        <f t="shared" si="0"/>
        <v>-23</v>
      </c>
      <c r="G8" s="71">
        <f t="shared" si="1"/>
        <v>0.08</v>
      </c>
    </row>
    <row r="9" spans="1:13">
      <c r="A9" s="60">
        <v>6</v>
      </c>
      <c r="B9" s="108" t="s">
        <v>785</v>
      </c>
      <c r="C9" s="176" t="s">
        <v>11</v>
      </c>
      <c r="D9" s="177">
        <v>25</v>
      </c>
      <c r="E9" s="109">
        <v>5</v>
      </c>
      <c r="F9" s="60">
        <f t="shared" si="0"/>
        <v>-20</v>
      </c>
      <c r="G9" s="71">
        <f t="shared" si="1"/>
        <v>0.2</v>
      </c>
    </row>
    <row r="10" spans="1:13">
      <c r="A10" s="60">
        <v>7</v>
      </c>
      <c r="B10" s="108" t="s">
        <v>786</v>
      </c>
      <c r="C10" s="176" t="s">
        <v>11</v>
      </c>
      <c r="D10" s="177">
        <v>25</v>
      </c>
      <c r="E10" s="109">
        <v>6</v>
      </c>
      <c r="F10" s="60">
        <f t="shared" si="0"/>
        <v>-19</v>
      </c>
      <c r="G10" s="71">
        <f t="shared" si="1"/>
        <v>0.24</v>
      </c>
    </row>
    <row r="11" spans="1:13" ht="29">
      <c r="A11" s="60">
        <v>8</v>
      </c>
      <c r="B11" s="108" t="s">
        <v>787</v>
      </c>
      <c r="C11" s="174" t="s">
        <v>9</v>
      </c>
      <c r="D11" s="174">
        <v>35</v>
      </c>
      <c r="E11" s="109">
        <v>0</v>
      </c>
      <c r="F11" s="60">
        <f t="shared" si="0"/>
        <v>-35</v>
      </c>
      <c r="G11" s="71">
        <f t="shared" si="1"/>
        <v>0</v>
      </c>
    </row>
    <row r="12" spans="1:13">
      <c r="A12" s="60">
        <v>9</v>
      </c>
      <c r="B12" s="108" t="s">
        <v>788</v>
      </c>
      <c r="C12" s="176" t="s">
        <v>11</v>
      </c>
      <c r="D12" s="177">
        <v>25</v>
      </c>
      <c r="E12" s="109">
        <v>29</v>
      </c>
      <c r="F12" s="60">
        <f t="shared" si="0"/>
        <v>4</v>
      </c>
      <c r="G12" s="71">
        <f t="shared" si="1"/>
        <v>1.1599999999999999</v>
      </c>
    </row>
    <row r="13" spans="1:13">
      <c r="A13" s="60">
        <v>10</v>
      </c>
      <c r="B13" s="108" t="s">
        <v>789</v>
      </c>
      <c r="C13" s="176" t="s">
        <v>11</v>
      </c>
      <c r="D13" s="177">
        <v>25</v>
      </c>
      <c r="E13" s="109">
        <v>18</v>
      </c>
      <c r="F13" s="60">
        <f t="shared" si="0"/>
        <v>-7</v>
      </c>
      <c r="G13" s="71">
        <f t="shared" si="1"/>
        <v>0.72</v>
      </c>
    </row>
    <row r="14" spans="1:13">
      <c r="A14" s="60">
        <v>11</v>
      </c>
      <c r="B14" s="108" t="s">
        <v>790</v>
      </c>
      <c r="C14" s="176" t="s">
        <v>11</v>
      </c>
      <c r="D14" s="177">
        <v>25</v>
      </c>
      <c r="E14" s="109">
        <v>16</v>
      </c>
      <c r="F14" s="60">
        <f t="shared" si="0"/>
        <v>-9</v>
      </c>
      <c r="G14" s="71">
        <f t="shared" si="1"/>
        <v>0.64</v>
      </c>
    </row>
    <row r="15" spans="1:13">
      <c r="A15" s="60">
        <v>12</v>
      </c>
      <c r="B15" s="108" t="s">
        <v>791</v>
      </c>
      <c r="C15" s="176" t="s">
        <v>11</v>
      </c>
      <c r="D15" s="177">
        <v>25</v>
      </c>
      <c r="E15" s="109">
        <v>12</v>
      </c>
      <c r="F15" s="60">
        <f t="shared" si="0"/>
        <v>-13</v>
      </c>
      <c r="G15" s="71">
        <f t="shared" si="1"/>
        <v>0.48</v>
      </c>
    </row>
    <row r="16" spans="1:13">
      <c r="A16" s="60">
        <v>13</v>
      </c>
      <c r="B16" s="108" t="s">
        <v>792</v>
      </c>
      <c r="C16" s="176" t="s">
        <v>11</v>
      </c>
      <c r="D16" s="177">
        <v>25</v>
      </c>
      <c r="E16" s="109">
        <v>14</v>
      </c>
      <c r="F16" s="60">
        <f t="shared" si="0"/>
        <v>-11</v>
      </c>
      <c r="G16" s="71">
        <f t="shared" si="1"/>
        <v>0.56000000000000005</v>
      </c>
    </row>
    <row r="17" spans="1:7">
      <c r="A17" s="60"/>
      <c r="B17" s="60" t="s">
        <v>31</v>
      </c>
      <c r="C17" s="60"/>
      <c r="D17" s="60">
        <v>340</v>
      </c>
      <c r="E17" s="60">
        <f>SUM(E4:E16)</f>
        <v>172</v>
      </c>
      <c r="F17" s="60">
        <f t="shared" si="0"/>
        <v>-168</v>
      </c>
      <c r="G17" s="71">
        <f t="shared" si="1"/>
        <v>0.50588235294117645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7836-9940-4730-B642-D5BDE27E83C5}">
  <dimension ref="A1:M20"/>
  <sheetViews>
    <sheetView workbookViewId="0">
      <selection activeCell="J5" sqref="J5:M7"/>
    </sheetView>
  </sheetViews>
  <sheetFormatPr defaultRowHeight="14.5"/>
  <cols>
    <col min="1" max="1" width="5.26953125" customWidth="1"/>
    <col min="2" max="2" width="30.1796875" customWidth="1"/>
    <col min="7" max="7" width="8.7265625" style="11"/>
    <col min="9" max="9" width="4.26953125" customWidth="1"/>
    <col min="10" max="10" width="21.179687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33" t="s">
        <v>603</v>
      </c>
      <c r="C4" s="134" t="s">
        <v>9</v>
      </c>
      <c r="D4" s="134">
        <v>35</v>
      </c>
      <c r="E4" s="135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133" t="s">
        <v>604</v>
      </c>
      <c r="C5" s="136" t="s">
        <v>11</v>
      </c>
      <c r="D5" s="134">
        <v>25</v>
      </c>
      <c r="E5" s="135">
        <v>27</v>
      </c>
      <c r="F5" s="60">
        <f t="shared" ref="F5:F20" si="0">E5-D5</f>
        <v>2</v>
      </c>
      <c r="G5" s="71">
        <f t="shared" ref="G5:G20" si="1">E5/D5*100%</f>
        <v>1.08</v>
      </c>
      <c r="I5" s="58">
        <v>1</v>
      </c>
      <c r="J5" s="58" t="s">
        <v>619</v>
      </c>
      <c r="K5" s="58">
        <v>150</v>
      </c>
      <c r="L5" s="58">
        <v>97</v>
      </c>
      <c r="M5" s="75">
        <f>L5/K5*100%</f>
        <v>0.64666666666666661</v>
      </c>
    </row>
    <row r="6" spans="1:13">
      <c r="A6" s="60">
        <v>3</v>
      </c>
      <c r="B6" s="133" t="s">
        <v>605</v>
      </c>
      <c r="C6" s="136" t="s">
        <v>11</v>
      </c>
      <c r="D6" s="134">
        <v>25</v>
      </c>
      <c r="E6" s="135">
        <v>24</v>
      </c>
      <c r="F6" s="60">
        <f t="shared" si="0"/>
        <v>-1</v>
      </c>
      <c r="G6" s="71">
        <f t="shared" si="1"/>
        <v>0.96</v>
      </c>
      <c r="I6" s="58">
        <v>2</v>
      </c>
      <c r="J6" s="58" t="s">
        <v>620</v>
      </c>
      <c r="K6" s="58">
        <v>150</v>
      </c>
      <c r="L6" s="58">
        <v>64</v>
      </c>
      <c r="M6" s="75">
        <f t="shared" ref="M6:M7" si="2">L6/K6*100%</f>
        <v>0.42666666666666669</v>
      </c>
    </row>
    <row r="7" spans="1:13">
      <c r="A7" s="60">
        <v>4</v>
      </c>
      <c r="B7" s="133" t="s">
        <v>606</v>
      </c>
      <c r="C7" s="136" t="s">
        <v>11</v>
      </c>
      <c r="D7" s="134">
        <v>25</v>
      </c>
      <c r="E7" s="135">
        <v>35</v>
      </c>
      <c r="F7" s="60">
        <f t="shared" si="0"/>
        <v>10</v>
      </c>
      <c r="G7" s="71">
        <f t="shared" si="1"/>
        <v>1.4</v>
      </c>
      <c r="I7" s="58">
        <v>3</v>
      </c>
      <c r="J7" s="58" t="s">
        <v>621</v>
      </c>
      <c r="K7" s="58">
        <v>190</v>
      </c>
      <c r="L7" s="58">
        <v>90</v>
      </c>
      <c r="M7" s="75">
        <f t="shared" si="2"/>
        <v>0.47368421052631576</v>
      </c>
    </row>
    <row r="8" spans="1:13">
      <c r="A8" s="60">
        <v>5</v>
      </c>
      <c r="B8" s="133" t="s">
        <v>607</v>
      </c>
      <c r="C8" s="136" t="s">
        <v>11</v>
      </c>
      <c r="D8" s="134">
        <v>25</v>
      </c>
      <c r="E8" s="135">
        <v>11</v>
      </c>
      <c r="F8" s="60">
        <f t="shared" si="0"/>
        <v>-14</v>
      </c>
      <c r="G8" s="71">
        <f t="shared" si="1"/>
        <v>0.44</v>
      </c>
    </row>
    <row r="9" spans="1:13">
      <c r="A9" s="60">
        <v>6</v>
      </c>
      <c r="B9" s="133" t="s">
        <v>608</v>
      </c>
      <c r="C9" s="134" t="s">
        <v>9</v>
      </c>
      <c r="D9" s="134">
        <v>35</v>
      </c>
      <c r="E9" s="135">
        <v>0</v>
      </c>
      <c r="F9" s="60">
        <f t="shared" si="0"/>
        <v>-35</v>
      </c>
      <c r="G9" s="71">
        <f t="shared" si="1"/>
        <v>0</v>
      </c>
    </row>
    <row r="10" spans="1:13">
      <c r="A10" s="60">
        <v>7</v>
      </c>
      <c r="B10" s="133" t="s">
        <v>609</v>
      </c>
      <c r="C10" s="136" t="s">
        <v>11</v>
      </c>
      <c r="D10" s="136">
        <v>25</v>
      </c>
      <c r="E10" s="135">
        <v>21</v>
      </c>
      <c r="F10" s="60">
        <f t="shared" si="0"/>
        <v>-4</v>
      </c>
      <c r="G10" s="71">
        <f t="shared" si="1"/>
        <v>0.84</v>
      </c>
    </row>
    <row r="11" spans="1:13">
      <c r="A11" s="60">
        <v>8</v>
      </c>
      <c r="B11" s="133" t="s">
        <v>610</v>
      </c>
      <c r="C11" s="136" t="s">
        <v>11</v>
      </c>
      <c r="D11" s="136">
        <v>25</v>
      </c>
      <c r="E11" s="135">
        <v>32</v>
      </c>
      <c r="F11" s="60">
        <f t="shared" si="0"/>
        <v>7</v>
      </c>
      <c r="G11" s="71">
        <f t="shared" si="1"/>
        <v>1.28</v>
      </c>
    </row>
    <row r="12" spans="1:13">
      <c r="A12" s="60">
        <v>9</v>
      </c>
      <c r="B12" s="133" t="s">
        <v>611</v>
      </c>
      <c r="C12" s="136" t="s">
        <v>11</v>
      </c>
      <c r="D12" s="136">
        <v>25</v>
      </c>
      <c r="E12" s="135">
        <v>11</v>
      </c>
      <c r="F12" s="60">
        <f t="shared" si="0"/>
        <v>-14</v>
      </c>
      <c r="G12" s="71">
        <f t="shared" si="1"/>
        <v>0.44</v>
      </c>
    </row>
    <row r="13" spans="1:13">
      <c r="A13" s="60">
        <v>10</v>
      </c>
      <c r="B13" s="137" t="s">
        <v>612</v>
      </c>
      <c r="C13" s="134" t="s">
        <v>9</v>
      </c>
      <c r="D13" s="134">
        <v>35</v>
      </c>
      <c r="E13" s="135">
        <v>1</v>
      </c>
      <c r="F13" s="60">
        <f t="shared" si="0"/>
        <v>-34</v>
      </c>
      <c r="G13" s="71">
        <f t="shared" si="1"/>
        <v>2.8571428571428571E-2</v>
      </c>
    </row>
    <row r="14" spans="1:13">
      <c r="A14" s="60">
        <v>11</v>
      </c>
      <c r="B14" s="137" t="s">
        <v>613</v>
      </c>
      <c r="C14" s="136" t="s">
        <v>11</v>
      </c>
      <c r="D14" s="136">
        <v>25</v>
      </c>
      <c r="E14" s="135">
        <v>23</v>
      </c>
      <c r="F14" s="60">
        <f t="shared" si="0"/>
        <v>-2</v>
      </c>
      <c r="G14" s="71">
        <f t="shared" si="1"/>
        <v>0.92</v>
      </c>
    </row>
    <row r="15" spans="1:13">
      <c r="A15" s="60">
        <v>12</v>
      </c>
      <c r="B15" s="138" t="s">
        <v>614</v>
      </c>
      <c r="C15" s="136" t="s">
        <v>11</v>
      </c>
      <c r="D15" s="136">
        <v>25</v>
      </c>
      <c r="E15" s="135">
        <v>5</v>
      </c>
      <c r="F15" s="60">
        <f t="shared" si="0"/>
        <v>-20</v>
      </c>
      <c r="G15" s="71">
        <f t="shared" si="1"/>
        <v>0.2</v>
      </c>
    </row>
    <row r="16" spans="1:13">
      <c r="A16" s="60">
        <v>13</v>
      </c>
      <c r="B16" s="137" t="s">
        <v>615</v>
      </c>
      <c r="C16" s="136" t="s">
        <v>11</v>
      </c>
      <c r="D16" s="136">
        <v>25</v>
      </c>
      <c r="E16" s="135">
        <v>28</v>
      </c>
      <c r="F16" s="60">
        <f t="shared" si="0"/>
        <v>3</v>
      </c>
      <c r="G16" s="71">
        <f t="shared" si="1"/>
        <v>1.1200000000000001</v>
      </c>
    </row>
    <row r="17" spans="1:7">
      <c r="A17" s="60">
        <v>14</v>
      </c>
      <c r="B17" s="137" t="s">
        <v>616</v>
      </c>
      <c r="C17" s="136" t="s">
        <v>11</v>
      </c>
      <c r="D17" s="136">
        <v>25</v>
      </c>
      <c r="E17" s="135">
        <v>30</v>
      </c>
      <c r="F17" s="60">
        <f t="shared" si="0"/>
        <v>5</v>
      </c>
      <c r="G17" s="71">
        <f t="shared" si="1"/>
        <v>1.2</v>
      </c>
    </row>
    <row r="18" spans="1:7">
      <c r="A18" s="60">
        <v>15</v>
      </c>
      <c r="B18" s="139" t="s">
        <v>617</v>
      </c>
      <c r="C18" s="136" t="s">
        <v>11</v>
      </c>
      <c r="D18" s="136">
        <v>25</v>
      </c>
      <c r="E18" s="135">
        <v>1</v>
      </c>
      <c r="F18" s="60">
        <f t="shared" si="0"/>
        <v>-24</v>
      </c>
      <c r="G18" s="71">
        <f t="shared" si="1"/>
        <v>0.04</v>
      </c>
    </row>
    <row r="19" spans="1:7">
      <c r="A19" s="60">
        <v>16</v>
      </c>
      <c r="B19" s="139" t="s">
        <v>618</v>
      </c>
      <c r="C19" s="136" t="s">
        <v>11</v>
      </c>
      <c r="D19" s="136">
        <v>25</v>
      </c>
      <c r="E19" s="135">
        <v>2</v>
      </c>
      <c r="F19" s="60">
        <f t="shared" si="0"/>
        <v>-23</v>
      </c>
      <c r="G19" s="71">
        <f t="shared" si="1"/>
        <v>0.08</v>
      </c>
    </row>
    <row r="20" spans="1:7">
      <c r="A20" s="60"/>
      <c r="B20" s="60" t="s">
        <v>31</v>
      </c>
      <c r="C20" s="60"/>
      <c r="D20" s="60">
        <v>490</v>
      </c>
      <c r="E20" s="60">
        <f>SUM(E4:E19)</f>
        <v>251</v>
      </c>
      <c r="F20" s="60">
        <f t="shared" si="0"/>
        <v>-239</v>
      </c>
      <c r="G20" s="71">
        <f t="shared" si="1"/>
        <v>0.51224489795918371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C58-133A-44E8-882A-75F5F87CF533}">
  <dimension ref="A1:M28"/>
  <sheetViews>
    <sheetView workbookViewId="0">
      <selection activeCell="J5" sqref="J5:M8"/>
    </sheetView>
  </sheetViews>
  <sheetFormatPr defaultRowHeight="14.5"/>
  <cols>
    <col min="1" max="1" width="6.08984375" customWidth="1"/>
    <col min="2" max="2" width="25.81640625" customWidth="1"/>
    <col min="7" max="7" width="8.7265625" style="11"/>
    <col min="9" max="9" width="5.6328125" customWidth="1"/>
    <col min="10" max="10" width="21.54296875" customWidth="1"/>
    <col min="13" max="13" width="8.7265625" style="11"/>
  </cols>
  <sheetData>
    <row r="1" spans="1:13">
      <c r="A1" s="207" t="s">
        <v>0</v>
      </c>
      <c r="B1" s="208" t="s">
        <v>1</v>
      </c>
      <c r="C1" s="209" t="s">
        <v>7</v>
      </c>
      <c r="D1" s="210"/>
      <c r="E1" s="210"/>
      <c r="F1" s="210"/>
      <c r="G1" s="210"/>
    </row>
    <row r="2" spans="1:13">
      <c r="A2" s="207"/>
      <c r="B2" s="208"/>
      <c r="C2" s="211" t="s">
        <v>2</v>
      </c>
      <c r="D2" s="211" t="s">
        <v>3</v>
      </c>
      <c r="E2" s="211" t="s">
        <v>4</v>
      </c>
      <c r="F2" s="211" t="s">
        <v>5</v>
      </c>
      <c r="G2" s="213" t="s">
        <v>6</v>
      </c>
    </row>
    <row r="3" spans="1:13">
      <c r="A3" s="217"/>
      <c r="B3" s="218"/>
      <c r="C3" s="219"/>
      <c r="D3" s="219"/>
      <c r="E3" s="219"/>
      <c r="F3" s="219"/>
      <c r="G3" s="220"/>
    </row>
    <row r="4" spans="1:13">
      <c r="A4" s="60">
        <v>1</v>
      </c>
      <c r="B4" s="112" t="s">
        <v>528</v>
      </c>
      <c r="C4" s="110" t="s">
        <v>9</v>
      </c>
      <c r="D4" s="110">
        <v>35</v>
      </c>
      <c r="E4" s="113">
        <v>0</v>
      </c>
      <c r="F4" s="60">
        <f>E4-D4</f>
        <v>-35</v>
      </c>
      <c r="G4" s="71">
        <f>E4/D4*100%</f>
        <v>0</v>
      </c>
      <c r="I4" s="34" t="s">
        <v>92</v>
      </c>
      <c r="J4" s="33" t="s">
        <v>170</v>
      </c>
      <c r="K4" s="33" t="s">
        <v>41</v>
      </c>
      <c r="L4" s="33" t="s">
        <v>42</v>
      </c>
      <c r="M4" s="46" t="s">
        <v>6</v>
      </c>
    </row>
    <row r="5" spans="1:13">
      <c r="A5" s="60">
        <v>2</v>
      </c>
      <c r="B5" s="60" t="s">
        <v>529</v>
      </c>
      <c r="C5" s="111" t="s">
        <v>11</v>
      </c>
      <c r="D5" s="110">
        <v>25</v>
      </c>
      <c r="E5" s="113">
        <v>31</v>
      </c>
      <c r="F5" s="60">
        <f t="shared" ref="F5:F28" si="0">E5-D5</f>
        <v>6</v>
      </c>
      <c r="G5" s="71">
        <f t="shared" ref="G5:G28" si="1">E5/D5*100%</f>
        <v>1.24</v>
      </c>
      <c r="I5" s="58">
        <v>1</v>
      </c>
      <c r="J5" s="58" t="s">
        <v>552</v>
      </c>
      <c r="K5" s="58">
        <v>150</v>
      </c>
      <c r="L5" s="58">
        <v>99</v>
      </c>
      <c r="M5" s="75">
        <f>L5/K5*100%</f>
        <v>0.66</v>
      </c>
    </row>
    <row r="6" spans="1:13">
      <c r="A6" s="60">
        <v>3</v>
      </c>
      <c r="B6" s="114" t="s">
        <v>530</v>
      </c>
      <c r="C6" s="111" t="s">
        <v>11</v>
      </c>
      <c r="D6" s="110">
        <v>25</v>
      </c>
      <c r="E6" s="113">
        <v>14</v>
      </c>
      <c r="F6" s="60">
        <f t="shared" si="0"/>
        <v>-11</v>
      </c>
      <c r="G6" s="71">
        <f t="shared" si="1"/>
        <v>0.56000000000000005</v>
      </c>
      <c r="I6" s="58">
        <v>2</v>
      </c>
      <c r="J6" s="58" t="s">
        <v>553</v>
      </c>
      <c r="K6" s="58">
        <v>150</v>
      </c>
      <c r="L6" s="58">
        <v>113</v>
      </c>
      <c r="M6" s="75">
        <f t="shared" ref="M6:M8" si="2">L6/K6*100%</f>
        <v>0.7533333333333333</v>
      </c>
    </row>
    <row r="7" spans="1:13">
      <c r="A7" s="60">
        <v>4</v>
      </c>
      <c r="B7" s="114" t="s">
        <v>531</v>
      </c>
      <c r="C7" s="111" t="s">
        <v>11</v>
      </c>
      <c r="D7" s="110">
        <v>25</v>
      </c>
      <c r="E7" s="113">
        <v>26</v>
      </c>
      <c r="F7" s="60">
        <f t="shared" si="0"/>
        <v>1</v>
      </c>
      <c r="G7" s="71">
        <f t="shared" si="1"/>
        <v>1.04</v>
      </c>
      <c r="I7" s="58">
        <v>3</v>
      </c>
      <c r="J7" s="58" t="s">
        <v>554</v>
      </c>
      <c r="K7" s="58">
        <v>150</v>
      </c>
      <c r="L7" s="58">
        <v>122</v>
      </c>
      <c r="M7" s="75">
        <f t="shared" si="2"/>
        <v>0.81333333333333335</v>
      </c>
    </row>
    <row r="8" spans="1:13">
      <c r="A8" s="60">
        <v>5</v>
      </c>
      <c r="B8" s="114" t="s">
        <v>532</v>
      </c>
      <c r="C8" s="111" t="s">
        <v>11</v>
      </c>
      <c r="D8" s="110">
        <v>25</v>
      </c>
      <c r="E8" s="113">
        <v>15</v>
      </c>
      <c r="F8" s="60">
        <f t="shared" si="0"/>
        <v>-10</v>
      </c>
      <c r="G8" s="71">
        <f t="shared" si="1"/>
        <v>0.6</v>
      </c>
      <c r="I8" s="58">
        <v>4</v>
      </c>
      <c r="J8" s="58" t="s">
        <v>555</v>
      </c>
      <c r="K8" s="58">
        <v>150</v>
      </c>
      <c r="L8" s="58">
        <v>160</v>
      </c>
      <c r="M8" s="75">
        <f t="shared" si="2"/>
        <v>1.0666666666666667</v>
      </c>
    </row>
    <row r="9" spans="1:13">
      <c r="A9" s="60">
        <v>6</v>
      </c>
      <c r="B9" s="114" t="s">
        <v>533</v>
      </c>
      <c r="C9" s="111" t="s">
        <v>11</v>
      </c>
      <c r="D9" s="110">
        <v>25</v>
      </c>
      <c r="E9" s="113">
        <v>13</v>
      </c>
      <c r="F9" s="60">
        <f t="shared" si="0"/>
        <v>-12</v>
      </c>
      <c r="G9" s="71">
        <f t="shared" si="1"/>
        <v>0.52</v>
      </c>
    </row>
    <row r="10" spans="1:13">
      <c r="A10" s="60">
        <v>7</v>
      </c>
      <c r="B10" s="112" t="s">
        <v>534</v>
      </c>
      <c r="C10" s="110" t="s">
        <v>9</v>
      </c>
      <c r="D10" s="110">
        <v>35</v>
      </c>
      <c r="E10" s="113">
        <v>0</v>
      </c>
      <c r="F10" s="60">
        <f t="shared" si="0"/>
        <v>-35</v>
      </c>
      <c r="G10" s="71">
        <f t="shared" si="1"/>
        <v>0</v>
      </c>
    </row>
    <row r="11" spans="1:13">
      <c r="A11" s="60">
        <v>8</v>
      </c>
      <c r="B11" s="60" t="s">
        <v>535</v>
      </c>
      <c r="C11" s="111" t="s">
        <v>11</v>
      </c>
      <c r="D11" s="110">
        <v>25</v>
      </c>
      <c r="E11" s="113">
        <v>26</v>
      </c>
      <c r="F11" s="60">
        <f t="shared" si="0"/>
        <v>1</v>
      </c>
      <c r="G11" s="71">
        <f t="shared" si="1"/>
        <v>1.04</v>
      </c>
    </row>
    <row r="12" spans="1:13">
      <c r="A12" s="60">
        <v>9</v>
      </c>
      <c r="B12" s="114" t="s">
        <v>536</v>
      </c>
      <c r="C12" s="111" t="s">
        <v>11</v>
      </c>
      <c r="D12" s="110">
        <v>25</v>
      </c>
      <c r="E12" s="113">
        <v>26</v>
      </c>
      <c r="F12" s="60">
        <f t="shared" si="0"/>
        <v>1</v>
      </c>
      <c r="G12" s="71">
        <f t="shared" si="1"/>
        <v>1.04</v>
      </c>
    </row>
    <row r="13" spans="1:13">
      <c r="A13" s="60">
        <v>10</v>
      </c>
      <c r="B13" s="114" t="s">
        <v>537</v>
      </c>
      <c r="C13" s="111" t="s">
        <v>11</v>
      </c>
      <c r="D13" s="110">
        <v>25</v>
      </c>
      <c r="E13" s="113">
        <v>29</v>
      </c>
      <c r="F13" s="60">
        <f t="shared" si="0"/>
        <v>4</v>
      </c>
      <c r="G13" s="71">
        <f t="shared" si="1"/>
        <v>1.1599999999999999</v>
      </c>
    </row>
    <row r="14" spans="1:13">
      <c r="A14" s="60">
        <v>11</v>
      </c>
      <c r="B14" s="114" t="s">
        <v>538</v>
      </c>
      <c r="C14" s="111" t="s">
        <v>11</v>
      </c>
      <c r="D14" s="110">
        <v>25</v>
      </c>
      <c r="E14" s="113">
        <v>19</v>
      </c>
      <c r="F14" s="60">
        <f t="shared" si="0"/>
        <v>-6</v>
      </c>
      <c r="G14" s="71">
        <f t="shared" si="1"/>
        <v>0.76</v>
      </c>
    </row>
    <row r="15" spans="1:13">
      <c r="A15" s="60">
        <v>12</v>
      </c>
      <c r="B15" s="114" t="s">
        <v>539</v>
      </c>
      <c r="C15" s="111" t="s">
        <v>11</v>
      </c>
      <c r="D15" s="110">
        <v>25</v>
      </c>
      <c r="E15" s="113">
        <v>13</v>
      </c>
      <c r="F15" s="60">
        <f t="shared" si="0"/>
        <v>-12</v>
      </c>
      <c r="G15" s="71">
        <f t="shared" si="1"/>
        <v>0.52</v>
      </c>
    </row>
    <row r="16" spans="1:13">
      <c r="A16" s="60">
        <v>13</v>
      </c>
      <c r="B16" s="112" t="s">
        <v>540</v>
      </c>
      <c r="C16" s="110" t="s">
        <v>9</v>
      </c>
      <c r="D16" s="110">
        <v>35</v>
      </c>
      <c r="E16" s="113">
        <v>0</v>
      </c>
      <c r="F16" s="60">
        <f t="shared" si="0"/>
        <v>-35</v>
      </c>
      <c r="G16" s="71">
        <f t="shared" si="1"/>
        <v>0</v>
      </c>
    </row>
    <row r="17" spans="1:7">
      <c r="A17" s="60">
        <v>14</v>
      </c>
      <c r="B17" s="60" t="s">
        <v>541</v>
      </c>
      <c r="C17" s="111" t="s">
        <v>11</v>
      </c>
      <c r="D17" s="110">
        <v>25</v>
      </c>
      <c r="E17" s="113">
        <v>28</v>
      </c>
      <c r="F17" s="60">
        <f t="shared" si="0"/>
        <v>3</v>
      </c>
      <c r="G17" s="71">
        <f t="shared" si="1"/>
        <v>1.1200000000000001</v>
      </c>
    </row>
    <row r="18" spans="1:7">
      <c r="A18" s="60">
        <v>15</v>
      </c>
      <c r="B18" s="114" t="s">
        <v>542</v>
      </c>
      <c r="C18" s="111" t="s">
        <v>11</v>
      </c>
      <c r="D18" s="110">
        <v>25</v>
      </c>
      <c r="E18" s="113">
        <v>30</v>
      </c>
      <c r="F18" s="60">
        <f t="shared" si="0"/>
        <v>5</v>
      </c>
      <c r="G18" s="71">
        <f t="shared" si="1"/>
        <v>1.2</v>
      </c>
    </row>
    <row r="19" spans="1:7">
      <c r="A19" s="60">
        <v>16</v>
      </c>
      <c r="B19" s="114" t="s">
        <v>543</v>
      </c>
      <c r="C19" s="111" t="s">
        <v>11</v>
      </c>
      <c r="D19" s="110">
        <v>25</v>
      </c>
      <c r="E19" s="113">
        <v>6</v>
      </c>
      <c r="F19" s="60">
        <f t="shared" si="0"/>
        <v>-19</v>
      </c>
      <c r="G19" s="71">
        <f t="shared" si="1"/>
        <v>0.24</v>
      </c>
    </row>
    <row r="20" spans="1:7">
      <c r="A20" s="60">
        <v>17</v>
      </c>
      <c r="B20" s="114" t="s">
        <v>544</v>
      </c>
      <c r="C20" s="111" t="s">
        <v>11</v>
      </c>
      <c r="D20" s="110">
        <v>25</v>
      </c>
      <c r="E20" s="113">
        <v>37</v>
      </c>
      <c r="F20" s="60">
        <f t="shared" si="0"/>
        <v>12</v>
      </c>
      <c r="G20" s="71">
        <f t="shared" si="1"/>
        <v>1.48</v>
      </c>
    </row>
    <row r="21" spans="1:7">
      <c r="A21" s="60">
        <v>18</v>
      </c>
      <c r="B21" s="114" t="s">
        <v>545</v>
      </c>
      <c r="C21" s="111" t="s">
        <v>11</v>
      </c>
      <c r="D21" s="110">
        <v>25</v>
      </c>
      <c r="E21" s="113">
        <v>21</v>
      </c>
      <c r="F21" s="60">
        <f t="shared" si="0"/>
        <v>-4</v>
      </c>
      <c r="G21" s="71">
        <f t="shared" si="1"/>
        <v>0.84</v>
      </c>
    </row>
    <row r="22" spans="1:7">
      <c r="A22" s="60">
        <v>19</v>
      </c>
      <c r="B22" s="112" t="s">
        <v>546</v>
      </c>
      <c r="C22" s="110" t="s">
        <v>9</v>
      </c>
      <c r="D22" s="110">
        <v>35</v>
      </c>
      <c r="E22" s="113">
        <v>0</v>
      </c>
      <c r="F22" s="60">
        <f t="shared" si="0"/>
        <v>-35</v>
      </c>
      <c r="G22" s="71">
        <f t="shared" si="1"/>
        <v>0</v>
      </c>
    </row>
    <row r="23" spans="1:7">
      <c r="A23" s="60">
        <v>20</v>
      </c>
      <c r="B23" s="60" t="s">
        <v>547</v>
      </c>
      <c r="C23" s="111" t="s">
        <v>11</v>
      </c>
      <c r="D23" s="110">
        <v>25</v>
      </c>
      <c r="E23" s="113">
        <v>41</v>
      </c>
      <c r="F23" s="60">
        <f t="shared" si="0"/>
        <v>16</v>
      </c>
      <c r="G23" s="71">
        <f t="shared" si="1"/>
        <v>1.64</v>
      </c>
    </row>
    <row r="24" spans="1:7">
      <c r="A24" s="60">
        <v>21</v>
      </c>
      <c r="B24" s="114" t="s">
        <v>548</v>
      </c>
      <c r="C24" s="111" t="s">
        <v>11</v>
      </c>
      <c r="D24" s="110">
        <v>25</v>
      </c>
      <c r="E24" s="113">
        <v>27</v>
      </c>
      <c r="F24" s="60">
        <f t="shared" si="0"/>
        <v>2</v>
      </c>
      <c r="G24" s="71">
        <f t="shared" si="1"/>
        <v>1.08</v>
      </c>
    </row>
    <row r="25" spans="1:7">
      <c r="A25" s="60">
        <v>22</v>
      </c>
      <c r="B25" s="114" t="s">
        <v>549</v>
      </c>
      <c r="C25" s="111" t="s">
        <v>11</v>
      </c>
      <c r="D25" s="110">
        <v>25</v>
      </c>
      <c r="E25" s="113">
        <v>40</v>
      </c>
      <c r="F25" s="60">
        <f t="shared" si="0"/>
        <v>15</v>
      </c>
      <c r="G25" s="71">
        <f t="shared" si="1"/>
        <v>1.6</v>
      </c>
    </row>
    <row r="26" spans="1:7">
      <c r="A26" s="60">
        <v>23</v>
      </c>
      <c r="B26" s="114" t="s">
        <v>550</v>
      </c>
      <c r="C26" s="111" t="s">
        <v>11</v>
      </c>
      <c r="D26" s="110">
        <v>25</v>
      </c>
      <c r="E26" s="113">
        <v>28</v>
      </c>
      <c r="F26" s="60">
        <f t="shared" si="0"/>
        <v>3</v>
      </c>
      <c r="G26" s="71">
        <f t="shared" si="1"/>
        <v>1.1200000000000001</v>
      </c>
    </row>
    <row r="27" spans="1:7">
      <c r="A27" s="60">
        <v>24</v>
      </c>
      <c r="B27" s="114" t="s">
        <v>551</v>
      </c>
      <c r="C27" s="111" t="s">
        <v>11</v>
      </c>
      <c r="D27" s="110">
        <v>25</v>
      </c>
      <c r="E27" s="113">
        <v>24</v>
      </c>
      <c r="F27" s="60">
        <f t="shared" si="0"/>
        <v>-1</v>
      </c>
      <c r="G27" s="71">
        <f t="shared" si="1"/>
        <v>0.96</v>
      </c>
    </row>
    <row r="28" spans="1:7">
      <c r="A28" s="60"/>
      <c r="B28" s="60" t="s">
        <v>31</v>
      </c>
      <c r="C28" s="60"/>
      <c r="D28" s="60">
        <v>600</v>
      </c>
      <c r="E28" s="60">
        <f>SUM(E4:E27)</f>
        <v>494</v>
      </c>
      <c r="F28" s="60">
        <f t="shared" si="0"/>
        <v>-106</v>
      </c>
      <c r="G28" s="71">
        <f t="shared" si="1"/>
        <v>0.82333333333333336</v>
      </c>
    </row>
  </sheetData>
  <mergeCells count="8">
    <mergeCell ref="A1:A3"/>
    <mergeCell ref="B1:B3"/>
    <mergeCell ref="C1:G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PENCAPAIAN KOTA</vt:lpstr>
      <vt:lpstr>BEST DS &amp; BEST SPV</vt:lpstr>
      <vt:lpstr>PEERSENTASE TIM</vt:lpstr>
      <vt:lpstr>BANTEN</vt:lpstr>
      <vt:lpstr>TANGGERANG</vt:lpstr>
      <vt:lpstr>JAKARTA</vt:lpstr>
      <vt:lpstr>DEPOK</vt:lpstr>
      <vt:lpstr>BOGOR</vt:lpstr>
      <vt:lpstr>CIREBON</vt:lpstr>
      <vt:lpstr>SUBANG</vt:lpstr>
      <vt:lpstr>KARAWANG</vt:lpstr>
      <vt:lpstr>PURWAKARTA</vt:lpstr>
      <vt:lpstr>CISOLOK</vt:lpstr>
      <vt:lpstr>TASIKMALAYA</vt:lpstr>
      <vt:lpstr>KAB TASIK</vt:lpstr>
      <vt:lpstr>CIAWI</vt:lpstr>
      <vt:lpstr>CIAMIS</vt:lpstr>
      <vt:lpstr>BANJAR</vt:lpstr>
      <vt:lpstr>GARUT</vt:lpstr>
      <vt:lpstr>BANDUNG</vt:lpstr>
      <vt:lpstr>CIANJUR</vt:lpstr>
      <vt:lpstr>SEMARANG</vt:lpstr>
      <vt:lpstr>KENDAL</vt:lpstr>
      <vt:lpstr>DEMAK</vt:lpstr>
      <vt:lpstr>KUDUS</vt:lpstr>
      <vt:lpstr>CILACAP</vt:lpstr>
      <vt:lpstr>KEBUMEN</vt:lpstr>
      <vt:lpstr>PURWOKERTO</vt:lpstr>
      <vt:lpstr>TEGAL</vt:lpstr>
      <vt:lpstr>JOGJA</vt:lpstr>
      <vt:lpstr>KLATEN</vt:lpstr>
      <vt:lpstr>SOLO</vt:lpstr>
      <vt:lpstr>KEDIRI</vt:lpstr>
      <vt:lpstr>PONOROGO</vt:lpstr>
      <vt:lpstr>SURABAYA</vt:lpstr>
      <vt:lpstr>SIDOARJO</vt:lpstr>
      <vt:lpstr>MALANG</vt:lpstr>
      <vt:lpstr>DENPASAR</vt:lpstr>
      <vt:lpstr>BADUNG</vt:lpstr>
      <vt:lpstr>TABANAN</vt:lpstr>
      <vt:lpstr>NEGARA</vt:lpstr>
      <vt:lpstr>BANGKA BELITUNG</vt:lpstr>
      <vt:lpstr>MEDAN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2024-10-21T02:49:00Z</dcterms:created>
  <dcterms:modified xsi:type="dcterms:W3CDTF">2024-10-23T15:38:27Z</dcterms:modified>
</cp:coreProperties>
</file>