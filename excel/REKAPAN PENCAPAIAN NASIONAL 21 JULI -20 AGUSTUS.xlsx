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00140E2-611E-49D8-ACEF-E2CB0D7B96F3}" xr6:coauthVersionLast="47" xr6:coauthVersionMax="47" xr10:uidLastSave="{00000000-0000-0000-0000-000000000000}"/>
  <bookViews>
    <workbookView xWindow="-110" yWindow="-110" windowWidth="19420" windowHeight="10300" firstSheet="30" activeTab="31" xr2:uid="{EE49FCC5-3C60-410C-A117-1836072F2111}"/>
  </bookViews>
  <sheets>
    <sheet name="PENCAPAIAN KOTA" sheetId="1" r:id="rId1"/>
    <sheet name="BEST DS" sheetId="38" r:id="rId2"/>
    <sheet name="TANGGERANG" sheetId="2" r:id="rId3"/>
    <sheet name="JAKARTA" sheetId="32" r:id="rId4"/>
    <sheet name="DEPOK" sheetId="8" r:id="rId5"/>
    <sheet name="CENGKARENG" sheetId="39" r:id="rId6"/>
    <sheet name="BOGOR" sheetId="13" r:id="rId7"/>
    <sheet name="BANTEN" sheetId="3" r:id="rId8"/>
    <sheet name="SEMARANG" sheetId="4" r:id="rId9"/>
    <sheet name="KENDAL-DEMAK-KUDUS" sheetId="5" r:id="rId10"/>
    <sheet name="CILACAP-KEBUMEN-PURWOKERTO" sheetId="6" r:id="rId11"/>
    <sheet name="TEGAL" sheetId="7" r:id="rId12"/>
    <sheet name="SOLO" sheetId="9" r:id="rId13"/>
    <sheet name="KLATEN" sheetId="10" r:id="rId14"/>
    <sheet name="JOGJA" sheetId="11" r:id="rId15"/>
    <sheet name="TASIKMALAYA" sheetId="14" r:id="rId16"/>
    <sheet name="KAB TASIK" sheetId="15" r:id="rId17"/>
    <sheet name="GARUT" sheetId="16" r:id="rId18"/>
    <sheet name="BANJAR" sheetId="17" r:id="rId19"/>
    <sheet name="CIAMIS" sheetId="18" r:id="rId20"/>
    <sheet name="CIAWI" sheetId="20" r:id="rId21"/>
    <sheet name="BANDUNG RAYA" sheetId="19" r:id="rId22"/>
    <sheet name="CIANJUR" sheetId="21" r:id="rId23"/>
    <sheet name="KEDIRI" sheetId="22" r:id="rId24"/>
    <sheet name="SURABAYA" sheetId="23" r:id="rId25"/>
    <sheet name="PONOROGO" sheetId="24" r:id="rId26"/>
    <sheet name="MALANG" sheetId="29" r:id="rId27"/>
    <sheet name="DENPASAR" sheetId="25" r:id="rId28"/>
    <sheet name="TABANAN" sheetId="26" r:id="rId29"/>
    <sheet name="NEGARA" sheetId="27" r:id="rId30"/>
    <sheet name="BADUNG" sheetId="28" r:id="rId31"/>
    <sheet name="BANGKA BELITUNG" sheetId="30" r:id="rId32"/>
    <sheet name="MEDAN" sheetId="31" r:id="rId33"/>
    <sheet name="CIREBON" sheetId="33" r:id="rId34"/>
    <sheet name="SUBANG" sheetId="34" r:id="rId35"/>
    <sheet name="KARAWANG" sheetId="35" r:id="rId36"/>
    <sheet name="PURWAKARTA" sheetId="36" r:id="rId37"/>
    <sheet name="CISOLOK" sheetId="37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8" l="1"/>
  <c r="G25" i="28"/>
  <c r="G26" i="28"/>
  <c r="G27" i="28"/>
  <c r="F25" i="28"/>
  <c r="F26" i="28"/>
  <c r="F27" i="28"/>
  <c r="E49" i="5"/>
  <c r="G48" i="5"/>
  <c r="F48" i="5"/>
  <c r="E39" i="5"/>
  <c r="G53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6" i="1"/>
  <c r="F53" i="1"/>
  <c r="I53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6" i="1"/>
  <c r="G7" i="39"/>
  <c r="F7" i="39"/>
  <c r="E29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7" i="8"/>
  <c r="E33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7" i="32"/>
  <c r="E18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6" i="31"/>
  <c r="E12" i="37"/>
  <c r="G7" i="37"/>
  <c r="G8" i="37"/>
  <c r="G9" i="37"/>
  <c r="G10" i="37"/>
  <c r="G11" i="37"/>
  <c r="G12" i="37"/>
  <c r="G6" i="37"/>
  <c r="F7" i="37"/>
  <c r="F8" i="37"/>
  <c r="F9" i="37"/>
  <c r="F10" i="37"/>
  <c r="F11" i="37"/>
  <c r="F12" i="37"/>
  <c r="F6" i="37"/>
  <c r="E12" i="36"/>
  <c r="G7" i="36"/>
  <c r="G8" i="36"/>
  <c r="G9" i="36"/>
  <c r="G10" i="36"/>
  <c r="G11" i="36"/>
  <c r="G12" i="36"/>
  <c r="G6" i="36"/>
  <c r="F7" i="36"/>
  <c r="F8" i="36"/>
  <c r="F9" i="36"/>
  <c r="F10" i="36"/>
  <c r="F11" i="36"/>
  <c r="F12" i="36"/>
  <c r="F6" i="36"/>
  <c r="E11" i="35"/>
  <c r="G7" i="35"/>
  <c r="G8" i="35"/>
  <c r="G9" i="35"/>
  <c r="G10" i="35"/>
  <c r="G11" i="35"/>
  <c r="G6" i="35"/>
  <c r="F7" i="35"/>
  <c r="F8" i="35"/>
  <c r="F9" i="35"/>
  <c r="F10" i="35"/>
  <c r="F11" i="35"/>
  <c r="F6" i="35"/>
  <c r="E22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6" i="34"/>
  <c r="E27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6" i="33"/>
  <c r="E22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6" i="30"/>
  <c r="E12" i="29"/>
  <c r="G7" i="29"/>
  <c r="G8" i="29"/>
  <c r="G9" i="29"/>
  <c r="G10" i="29"/>
  <c r="G11" i="29"/>
  <c r="G12" i="29"/>
  <c r="G6" i="29"/>
  <c r="F7" i="29"/>
  <c r="F8" i="29"/>
  <c r="F9" i="29"/>
  <c r="F10" i="29"/>
  <c r="F11" i="29"/>
  <c r="F12" i="29"/>
  <c r="F6" i="29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8" i="28"/>
  <c r="G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8" i="28"/>
  <c r="F6" i="28"/>
  <c r="E18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6" i="27"/>
  <c r="E11" i="26"/>
  <c r="G7" i="26"/>
  <c r="G8" i="26"/>
  <c r="G9" i="26"/>
  <c r="G10" i="26"/>
  <c r="G11" i="26"/>
  <c r="G6" i="26"/>
  <c r="F7" i="26"/>
  <c r="F8" i="26"/>
  <c r="F9" i="26"/>
  <c r="F10" i="26"/>
  <c r="F11" i="26"/>
  <c r="F6" i="26"/>
  <c r="E27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6" i="25"/>
  <c r="E9" i="24"/>
  <c r="G7" i="24"/>
  <c r="G8" i="24"/>
  <c r="G9" i="24"/>
  <c r="G6" i="24"/>
  <c r="F7" i="24"/>
  <c r="F8" i="24"/>
  <c r="F9" i="24"/>
  <c r="F6" i="24"/>
  <c r="E13" i="23"/>
  <c r="G7" i="23"/>
  <c r="G8" i="23"/>
  <c r="G9" i="23"/>
  <c r="G10" i="23"/>
  <c r="G11" i="23"/>
  <c r="G12" i="23"/>
  <c r="G13" i="23"/>
  <c r="G6" i="23"/>
  <c r="F7" i="23"/>
  <c r="F8" i="23"/>
  <c r="F9" i="23"/>
  <c r="F10" i="23"/>
  <c r="F11" i="23"/>
  <c r="F12" i="23"/>
  <c r="F13" i="23"/>
  <c r="F6" i="23"/>
  <c r="E23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6" i="22"/>
  <c r="E15" i="20"/>
  <c r="G8" i="20"/>
  <c r="G9" i="20"/>
  <c r="G10" i="20"/>
  <c r="G11" i="20"/>
  <c r="G12" i="20"/>
  <c r="G13" i="20"/>
  <c r="G14" i="20"/>
  <c r="G15" i="20"/>
  <c r="G7" i="20"/>
  <c r="F8" i="20"/>
  <c r="F9" i="20"/>
  <c r="F10" i="20"/>
  <c r="F11" i="20"/>
  <c r="F12" i="20"/>
  <c r="F13" i="20"/>
  <c r="F14" i="20"/>
  <c r="F15" i="20"/>
  <c r="F7" i="20"/>
  <c r="E15" i="19"/>
  <c r="G8" i="19"/>
  <c r="G9" i="19"/>
  <c r="G10" i="19"/>
  <c r="G11" i="19"/>
  <c r="G12" i="19"/>
  <c r="G13" i="19"/>
  <c r="G14" i="19"/>
  <c r="G15" i="19"/>
  <c r="G7" i="19"/>
  <c r="F8" i="19"/>
  <c r="F9" i="19"/>
  <c r="F10" i="19"/>
  <c r="F11" i="19"/>
  <c r="F12" i="19"/>
  <c r="F13" i="19"/>
  <c r="F14" i="19"/>
  <c r="F15" i="19"/>
  <c r="F7" i="19"/>
  <c r="E12" i="21"/>
  <c r="G8" i="21"/>
  <c r="G9" i="21"/>
  <c r="G10" i="21"/>
  <c r="G11" i="21"/>
  <c r="G12" i="21"/>
  <c r="G7" i="21"/>
  <c r="F8" i="21"/>
  <c r="F9" i="21"/>
  <c r="F10" i="21"/>
  <c r="F11" i="21"/>
  <c r="F12" i="21"/>
  <c r="F7" i="21"/>
  <c r="E19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7" i="18"/>
  <c r="E2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7" i="17"/>
  <c r="E2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7" i="16"/>
  <c r="E13" i="15"/>
  <c r="G8" i="15"/>
  <c r="G9" i="15"/>
  <c r="G10" i="15"/>
  <c r="G11" i="15"/>
  <c r="G12" i="15"/>
  <c r="G13" i="15"/>
  <c r="G7" i="15"/>
  <c r="F8" i="15"/>
  <c r="F9" i="15"/>
  <c r="F10" i="15"/>
  <c r="F11" i="15"/>
  <c r="F12" i="15"/>
  <c r="F13" i="15"/>
  <c r="F7" i="15"/>
  <c r="E2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7" i="14"/>
  <c r="F2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7" i="14"/>
  <c r="E55" i="13"/>
  <c r="G48" i="13"/>
  <c r="G49" i="13"/>
  <c r="G50" i="13"/>
  <c r="G51" i="13"/>
  <c r="G52" i="13"/>
  <c r="G53" i="13"/>
  <c r="G54" i="13"/>
  <c r="G55" i="13"/>
  <c r="G47" i="13"/>
  <c r="F48" i="13"/>
  <c r="F49" i="13"/>
  <c r="F50" i="13"/>
  <c r="F51" i="13"/>
  <c r="F52" i="13"/>
  <c r="F53" i="13"/>
  <c r="F54" i="13"/>
  <c r="F55" i="13"/>
  <c r="F47" i="13"/>
  <c r="E41" i="13"/>
  <c r="G35" i="13"/>
  <c r="G36" i="13"/>
  <c r="G37" i="13"/>
  <c r="G38" i="13"/>
  <c r="G39" i="13"/>
  <c r="G40" i="13"/>
  <c r="G41" i="13"/>
  <c r="G34" i="13"/>
  <c r="F35" i="13"/>
  <c r="F36" i="13"/>
  <c r="F37" i="13"/>
  <c r="F38" i="13"/>
  <c r="F39" i="13"/>
  <c r="F40" i="13"/>
  <c r="F41" i="13"/>
  <c r="F34" i="13"/>
  <c r="E28" i="13"/>
  <c r="G23" i="13"/>
  <c r="G24" i="13"/>
  <c r="G25" i="13"/>
  <c r="G26" i="13"/>
  <c r="G27" i="13"/>
  <c r="G28" i="13"/>
  <c r="G22" i="13"/>
  <c r="F23" i="13"/>
  <c r="F24" i="13"/>
  <c r="F25" i="13"/>
  <c r="F26" i="13"/>
  <c r="F27" i="13"/>
  <c r="F28" i="13"/>
  <c r="F22" i="13"/>
  <c r="E16" i="13"/>
  <c r="G9" i="13"/>
  <c r="G10" i="13"/>
  <c r="G11" i="13"/>
  <c r="G12" i="13"/>
  <c r="G13" i="13"/>
  <c r="G14" i="13"/>
  <c r="G15" i="13"/>
  <c r="G16" i="13"/>
  <c r="G8" i="13"/>
  <c r="F9" i="13"/>
  <c r="F10" i="13"/>
  <c r="F11" i="13"/>
  <c r="F12" i="13"/>
  <c r="F13" i="13"/>
  <c r="F14" i="13"/>
  <c r="F15" i="13"/>
  <c r="F16" i="13"/>
  <c r="F8" i="13"/>
  <c r="E29" i="11" l="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6" i="11"/>
  <c r="E15" i="10"/>
  <c r="G7" i="10"/>
  <c r="G8" i="10"/>
  <c r="G9" i="10"/>
  <c r="G10" i="10"/>
  <c r="G11" i="10"/>
  <c r="G12" i="10"/>
  <c r="G13" i="10"/>
  <c r="G14" i="10"/>
  <c r="G15" i="10"/>
  <c r="G6" i="10"/>
  <c r="F7" i="10"/>
  <c r="F8" i="10"/>
  <c r="F9" i="10"/>
  <c r="F10" i="10"/>
  <c r="F11" i="10"/>
  <c r="F12" i="10"/>
  <c r="F13" i="10"/>
  <c r="F14" i="10"/>
  <c r="F15" i="10"/>
  <c r="F6" i="10"/>
  <c r="E32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6" i="9"/>
  <c r="E67" i="2"/>
  <c r="G58" i="2"/>
  <c r="G59" i="2"/>
  <c r="G60" i="2"/>
  <c r="G61" i="2"/>
  <c r="G62" i="2"/>
  <c r="G63" i="2"/>
  <c r="G64" i="2"/>
  <c r="G65" i="2"/>
  <c r="G66" i="2"/>
  <c r="G67" i="2"/>
  <c r="G57" i="2"/>
  <c r="F58" i="2"/>
  <c r="F59" i="2"/>
  <c r="F60" i="2"/>
  <c r="F61" i="2"/>
  <c r="F62" i="2"/>
  <c r="F63" i="2"/>
  <c r="F64" i="2"/>
  <c r="F65" i="2"/>
  <c r="F66" i="2"/>
  <c r="F67" i="2"/>
  <c r="F57" i="2"/>
  <c r="E49" i="2"/>
  <c r="G41" i="2"/>
  <c r="G42" i="2"/>
  <c r="G43" i="2"/>
  <c r="G44" i="2"/>
  <c r="G45" i="2"/>
  <c r="G46" i="2"/>
  <c r="G47" i="2"/>
  <c r="G48" i="2"/>
  <c r="G49" i="2"/>
  <c r="G40" i="2"/>
  <c r="F41" i="2"/>
  <c r="F42" i="2"/>
  <c r="F43" i="2"/>
  <c r="F44" i="2"/>
  <c r="F45" i="2"/>
  <c r="F46" i="2"/>
  <c r="F47" i="2"/>
  <c r="F48" i="2"/>
  <c r="F49" i="2"/>
  <c r="F40" i="2"/>
  <c r="E24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8" i="2"/>
  <c r="E16" i="7"/>
  <c r="G7" i="7"/>
  <c r="G8" i="7"/>
  <c r="G9" i="7"/>
  <c r="G10" i="7"/>
  <c r="G11" i="7"/>
  <c r="G12" i="7"/>
  <c r="G13" i="7"/>
  <c r="G14" i="7"/>
  <c r="G15" i="7"/>
  <c r="G16" i="7"/>
  <c r="G6" i="7"/>
  <c r="F7" i="7"/>
  <c r="F8" i="7"/>
  <c r="F9" i="7"/>
  <c r="F10" i="7"/>
  <c r="F11" i="7"/>
  <c r="F12" i="7"/>
  <c r="F13" i="7"/>
  <c r="F14" i="7"/>
  <c r="F15" i="7"/>
  <c r="F16" i="7"/>
  <c r="F6" i="7"/>
  <c r="E48" i="6"/>
  <c r="G44" i="6"/>
  <c r="G45" i="6"/>
  <c r="G46" i="6"/>
  <c r="G47" i="6"/>
  <c r="G48" i="6"/>
  <c r="G43" i="6"/>
  <c r="F44" i="6"/>
  <c r="F45" i="6"/>
  <c r="F46" i="6"/>
  <c r="F47" i="6"/>
  <c r="F48" i="6"/>
  <c r="F43" i="6"/>
  <c r="E36" i="6"/>
  <c r="G28" i="6"/>
  <c r="G29" i="6"/>
  <c r="G30" i="6"/>
  <c r="G31" i="6"/>
  <c r="G32" i="6"/>
  <c r="G33" i="6"/>
  <c r="G34" i="6"/>
  <c r="G35" i="6"/>
  <c r="G36" i="6"/>
  <c r="G27" i="6"/>
  <c r="F28" i="6"/>
  <c r="F29" i="6"/>
  <c r="F30" i="6"/>
  <c r="F31" i="6"/>
  <c r="F32" i="6"/>
  <c r="F33" i="6"/>
  <c r="F34" i="6"/>
  <c r="F35" i="6"/>
  <c r="F36" i="6"/>
  <c r="F27" i="6"/>
  <c r="E21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7" i="6"/>
  <c r="G46" i="5"/>
  <c r="G47" i="5"/>
  <c r="G49" i="5"/>
  <c r="G45" i="5"/>
  <c r="F46" i="5"/>
  <c r="F47" i="5"/>
  <c r="F49" i="5"/>
  <c r="F45" i="5"/>
  <c r="G28" i="5"/>
  <c r="G29" i="5"/>
  <c r="G30" i="5"/>
  <c r="G31" i="5"/>
  <c r="G32" i="5"/>
  <c r="G33" i="5"/>
  <c r="G34" i="5"/>
  <c r="G35" i="5"/>
  <c r="G36" i="5"/>
  <c r="G37" i="5"/>
  <c r="G38" i="5"/>
  <c r="G39" i="5"/>
  <c r="G27" i="5"/>
  <c r="F28" i="5"/>
  <c r="F29" i="5"/>
  <c r="F30" i="5"/>
  <c r="F31" i="5"/>
  <c r="F32" i="5"/>
  <c r="F33" i="5"/>
  <c r="F34" i="5"/>
  <c r="F35" i="5"/>
  <c r="F36" i="5"/>
  <c r="F37" i="5"/>
  <c r="F38" i="5"/>
  <c r="F39" i="5"/>
  <c r="F27" i="5"/>
  <c r="E20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7" i="5"/>
  <c r="E59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7" i="4"/>
  <c r="E45" i="3"/>
  <c r="G40" i="3"/>
  <c r="G41" i="3"/>
  <c r="G42" i="3"/>
  <c r="G43" i="3"/>
  <c r="G44" i="3"/>
  <c r="G45" i="3"/>
  <c r="G39" i="3"/>
  <c r="F40" i="3"/>
  <c r="F41" i="3"/>
  <c r="F42" i="3"/>
  <c r="F43" i="3"/>
  <c r="F44" i="3"/>
  <c r="F45" i="3"/>
  <c r="F39" i="3"/>
  <c r="E33" i="3"/>
  <c r="G28" i="3"/>
  <c r="G29" i="3"/>
  <c r="G30" i="3"/>
  <c r="G31" i="3"/>
  <c r="G32" i="3"/>
  <c r="G33" i="3"/>
  <c r="G27" i="3"/>
  <c r="F28" i="3"/>
  <c r="F29" i="3"/>
  <c r="F30" i="3"/>
  <c r="F31" i="3"/>
  <c r="F32" i="3"/>
  <c r="F33" i="3"/>
  <c r="F27" i="3"/>
  <c r="E21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8" i="3"/>
</calcChain>
</file>

<file path=xl/sharedStrings.xml><?xml version="1.0" encoding="utf-8"?>
<sst xmlns="http://schemas.openxmlformats.org/spreadsheetml/2006/main" count="1808" uniqueCount="694">
  <si>
    <t>No</t>
  </si>
  <si>
    <t>Area Sales</t>
  </si>
  <si>
    <t xml:space="preserve">Status </t>
  </si>
  <si>
    <t>TARGET</t>
  </si>
  <si>
    <t>CA</t>
  </si>
  <si>
    <t>MINUS/PLUS</t>
  </si>
  <si>
    <t>%</t>
  </si>
  <si>
    <t>JAKARTA</t>
  </si>
  <si>
    <t>Active</t>
  </si>
  <si>
    <t xml:space="preserve">DEPOK </t>
  </si>
  <si>
    <t>CENGKARENG</t>
  </si>
  <si>
    <t>TANGGERANG SELATAN(CIPUTAT)</t>
  </si>
  <si>
    <t>KOTA TANGGERANG (PORIS)</t>
  </si>
  <si>
    <t>KAB TANGGERANG(LEGOK CIKASUNGKA)</t>
  </si>
  <si>
    <t>KLAPANUNGGAL</t>
  </si>
  <si>
    <t>CILEUNGSI</t>
  </si>
  <si>
    <t>CIANJUR</t>
  </si>
  <si>
    <t>PARUNG BOGOR</t>
  </si>
  <si>
    <t xml:space="preserve">TAMBUN </t>
  </si>
  <si>
    <t>SERANG</t>
  </si>
  <si>
    <t>KAB PANDEGLANG</t>
  </si>
  <si>
    <t>CILEGON</t>
  </si>
  <si>
    <t>CIREBON</t>
  </si>
  <si>
    <t>SUBANG</t>
  </si>
  <si>
    <t>KARAWANG</t>
  </si>
  <si>
    <t>PURWAKARTA</t>
  </si>
  <si>
    <t>CISOLOK</t>
  </si>
  <si>
    <t>TASIKMALAYA</t>
  </si>
  <si>
    <t>KAB. TASIK</t>
  </si>
  <si>
    <t>CIAMIS</t>
  </si>
  <si>
    <t>CIAWI</t>
  </si>
  <si>
    <t>BANDUNG</t>
  </si>
  <si>
    <t>GARUT</t>
  </si>
  <si>
    <t>BANJAR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</si>
  <si>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</si>
  <si>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</si>
  <si>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</si>
  <si>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</si>
  <si>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</si>
  <si>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</si>
  <si>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</si>
  <si>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</si>
  <si>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</si>
  <si>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</si>
  <si>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</si>
  <si>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</si>
  <si>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</si>
  <si>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</si>
  <si>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</si>
  <si>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</si>
  <si>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</si>
  <si>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</si>
  <si>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</si>
  <si>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</si>
  <si>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</si>
  <si>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TOTAL</t>
  </si>
  <si>
    <t>CIPUTAT</t>
  </si>
  <si>
    <t>TANGGERANG SELATAN ()</t>
  </si>
  <si>
    <t>NO.</t>
  </si>
  <si>
    <t>NAMA DS</t>
  </si>
  <si>
    <t>Grade</t>
  </si>
  <si>
    <t>Target</t>
  </si>
  <si>
    <t>Sales</t>
  </si>
  <si>
    <t>Minus/plus</t>
  </si>
  <si>
    <t>KAB TANGGERANG LEGOK CIKASUNGKA</t>
  </si>
  <si>
    <t>KOTA TANGGERANG PORIS</t>
  </si>
  <si>
    <t>PENCAPAIAN 21 JUL- 20 AGU</t>
  </si>
  <si>
    <t xml:space="preserve">ABDUL RACHIM </t>
  </si>
  <si>
    <t>SPV</t>
  </si>
  <si>
    <t>SRI LESTARI BUTAR BUTAR</t>
  </si>
  <si>
    <t>DS</t>
  </si>
  <si>
    <t>PURWANTO</t>
  </si>
  <si>
    <t>SUTRISNO</t>
  </si>
  <si>
    <t>NYOTO</t>
  </si>
  <si>
    <t>ROHMAN</t>
  </si>
  <si>
    <t>JAFAR SIDIK</t>
  </si>
  <si>
    <t>DAFFALDA KRISMONICA SEPTIA</t>
  </si>
  <si>
    <t>OSRA ADRIZAL</t>
  </si>
  <si>
    <t>DENITA HULU</t>
  </si>
  <si>
    <t>AHMAD YANI</t>
  </si>
  <si>
    <t>JALALUDIN</t>
  </si>
  <si>
    <t>ARIF PERMANA</t>
  </si>
  <si>
    <t>SHODIK BAGUS SETIAWAN</t>
  </si>
  <si>
    <t xml:space="preserve">DWI EGA PAMUNGKAS </t>
  </si>
  <si>
    <t>ALVIAR YOKA PRATAMA</t>
  </si>
  <si>
    <t>M FAZRIL DARUSSALAM</t>
  </si>
  <si>
    <t>NURMALASARI</t>
  </si>
  <si>
    <t>DIMAS ADIANTO</t>
  </si>
  <si>
    <t>DEDE IRWAN SETIAWIGUNA</t>
  </si>
  <si>
    <t>FAJAR MUBAROK</t>
  </si>
  <si>
    <t>ULFAH MEILANI</t>
  </si>
  <si>
    <t>BURHANUDIN</t>
  </si>
  <si>
    <t>PUTRI AGUSTINA</t>
  </si>
  <si>
    <t>NURDIN</t>
  </si>
  <si>
    <t>INDRA SETIAWAN</t>
  </si>
  <si>
    <t>Daima</t>
  </si>
  <si>
    <t>Arief prabowo</t>
  </si>
  <si>
    <t>Anisa salsa nabila meita</t>
  </si>
  <si>
    <t>Anityo kukuh wirastantyo</t>
  </si>
  <si>
    <t>Moch syafrany</t>
  </si>
  <si>
    <t>Sudibyo pujo wiyono</t>
  </si>
  <si>
    <t>Dedimy dwi saputra</t>
  </si>
  <si>
    <t>RUDI KUNCORO</t>
  </si>
  <si>
    <t>Achmad hasan arfie</t>
  </si>
  <si>
    <t>Aditia rahman</t>
  </si>
  <si>
    <t>Lina indriyani</t>
  </si>
  <si>
    <t>Rima kuti</t>
  </si>
  <si>
    <t>Teguh subekti</t>
  </si>
  <si>
    <t>Michael kevin agusta putra</t>
  </si>
  <si>
    <t>Andri afrizal</t>
  </si>
  <si>
    <t xml:space="preserve">AKHMAD HARUN </t>
  </si>
  <si>
    <t>Eri setiawan</t>
  </si>
  <si>
    <t>Dodo kristono</t>
  </si>
  <si>
    <t>Avian wijayanto</t>
  </si>
  <si>
    <t>Widarwanto</t>
  </si>
  <si>
    <t>Nur kholidin</t>
  </si>
  <si>
    <t>Wiwin Apit Yulianto</t>
  </si>
  <si>
    <t>NUR SALIM</t>
  </si>
  <si>
    <t>Ahmad Syaikhu</t>
  </si>
  <si>
    <t>Taufik Jorgi Kurniawan</t>
  </si>
  <si>
    <t xml:space="preserve">Pramunita Kristianti </t>
  </si>
  <si>
    <t>Rindi Adi Pratama</t>
  </si>
  <si>
    <t>HELMY AS'ARY</t>
  </si>
  <si>
    <t>Aries sulistiyanto</t>
  </si>
  <si>
    <t>Habib Akbar</t>
  </si>
  <si>
    <t>Rezki Irwandy</t>
  </si>
  <si>
    <t>Bayu Satria Putra</t>
  </si>
  <si>
    <t>Rifqi Mubarak</t>
  </si>
  <si>
    <t>Abdurrahman</t>
  </si>
  <si>
    <t>IDA BAGUS KAMAJAYA</t>
  </si>
  <si>
    <t>Aris Supriyadi</t>
  </si>
  <si>
    <t>M Abidin ardiyanto</t>
  </si>
  <si>
    <t>Putri puspitasari</t>
  </si>
  <si>
    <t>Nendra dewa kurniawan</t>
  </si>
  <si>
    <t>PRANA BRAHMANTYA</t>
  </si>
  <si>
    <t>Frengky Gilang Adi Pradana</t>
  </si>
  <si>
    <t>Antonia Widya</t>
  </si>
  <si>
    <t>Khofsah Noor</t>
  </si>
  <si>
    <t>Francois Febriyanto</t>
  </si>
  <si>
    <t xml:space="preserve">Ardianto Arif Pramono </t>
  </si>
  <si>
    <t>NUR HADI</t>
  </si>
  <si>
    <t>Yusuf Rani</t>
  </si>
  <si>
    <t>Siti Nurjanah</t>
  </si>
  <si>
    <t>Fitria Jayanti Mahmud</t>
  </si>
  <si>
    <t>Yosi Imelda</t>
  </si>
  <si>
    <t>Lilik Setiawan</t>
  </si>
  <si>
    <t xml:space="preserve">TOTAL </t>
  </si>
  <si>
    <t>MASHUDI</t>
  </si>
  <si>
    <t>Hendrik Prasetyo</t>
  </si>
  <si>
    <t>Rizky Akbarudin</t>
  </si>
  <si>
    <t>Sigit Fendian Oktavianto</t>
  </si>
  <si>
    <t>Firdaus Koban</t>
  </si>
  <si>
    <t>Fatahuya alim</t>
  </si>
  <si>
    <t>Catur setyawati</t>
  </si>
  <si>
    <t>Ainus safin</t>
  </si>
  <si>
    <t>ANUGRAH CAHYO WARDIYANTANTO</t>
  </si>
  <si>
    <t>Mega Kristiawan</t>
  </si>
  <si>
    <t>Ahmad Mustofa Habib</t>
  </si>
  <si>
    <t>Yonatan Nurwidiastoni</t>
  </si>
  <si>
    <t>Diah perdana yulianingrum</t>
  </si>
  <si>
    <t>AGUNG SUGIARTO</t>
  </si>
  <si>
    <t>Dika Catur Susilo</t>
  </si>
  <si>
    <t>Ahsanul Khuluk</t>
  </si>
  <si>
    <t>Anita Noviani</t>
  </si>
  <si>
    <t xml:space="preserve">Muhammad Afifuddin </t>
  </si>
  <si>
    <t xml:space="preserve">Septi prima Aretha </t>
  </si>
  <si>
    <t>Afifah Nilam Sari</t>
  </si>
  <si>
    <t>TRIAS PUSPITASARI</t>
  </si>
  <si>
    <t>Hendra</t>
  </si>
  <si>
    <t>Angga Erwanto</t>
  </si>
  <si>
    <t>Mohamad samsuri</t>
  </si>
  <si>
    <t>Nur Fattah Robi Damara</t>
  </si>
  <si>
    <t>Rio priambodo</t>
  </si>
  <si>
    <t>Achmad Sahlan Chafid</t>
  </si>
  <si>
    <t>Syahrul Ramadhan</t>
  </si>
  <si>
    <t>Rizky Rimayandi Oktiawan</t>
  </si>
  <si>
    <t>AGUS WIDODO CILACAP</t>
  </si>
  <si>
    <t>ANGGIA IKMA DEWI</t>
  </si>
  <si>
    <t>HENDRI LISTIONO</t>
  </si>
  <si>
    <t>SARWOTO</t>
  </si>
  <si>
    <t>SHERENITA TRIAS YULIANA</t>
  </si>
  <si>
    <t>DWI JAYANTI LESTARI</t>
  </si>
  <si>
    <t>BAYU PAMBUDI CILACAP</t>
  </si>
  <si>
    <t>LINDA PANGESTIKA</t>
  </si>
  <si>
    <t>AJI PRAYOGA</t>
  </si>
  <si>
    <t>RIZKI WINDU SANCOYO</t>
  </si>
  <si>
    <t>LUKIS RUCIRA ARUNDATI</t>
  </si>
  <si>
    <t>PUPUT FARIDA</t>
  </si>
  <si>
    <t>AWALIAH ZULFA TURROHMAH</t>
  </si>
  <si>
    <t>DWIKI DARMAYUDA</t>
  </si>
  <si>
    <t>DONNY DHARMAWAN</t>
  </si>
  <si>
    <t>ARIF PRIYANTORO KEBUMEN</t>
  </si>
  <si>
    <t>SLAMET ARIFIN</t>
  </si>
  <si>
    <t>TEGUH PRIHANTO</t>
  </si>
  <si>
    <t>SAEFUL AZIZ</t>
  </si>
  <si>
    <t>SOLIHAT SOBARI</t>
  </si>
  <si>
    <t>AMAD SAEFUDIN</t>
  </si>
  <si>
    <t>ACHMAD BUDIMAN</t>
  </si>
  <si>
    <t>AHMAD RUBIANTO</t>
  </si>
  <si>
    <t>PANDU DWI KUSUMA PURWOKERTO</t>
  </si>
  <si>
    <t>SIGIT PUJI ASTUTI</t>
  </si>
  <si>
    <t>ASNI ALIFATUN NIDA</t>
  </si>
  <si>
    <t>DIKA RIZKI ABADI</t>
  </si>
  <si>
    <t>EGA HUTARA PUTRA</t>
  </si>
  <si>
    <t>PRASTIKA WIGATINING PANGESTUTI</t>
  </si>
  <si>
    <t>HAMZAH FAHMI</t>
  </si>
  <si>
    <t>LATHIF MUTTAQIN</t>
  </si>
  <si>
    <t>HIJRAH SABILA</t>
  </si>
  <si>
    <t>KHADZIQUL HUMAM MUNFI</t>
  </si>
  <si>
    <t>FAUZAN MAULANA ADI</t>
  </si>
  <si>
    <t>MITA LESTARI</t>
  </si>
  <si>
    <t>Eko Krismanto</t>
  </si>
  <si>
    <t>MOHAMAD IMRON, AMDS</t>
  </si>
  <si>
    <t>MOHAMMAD KAMAL BUSTAMI</t>
  </si>
  <si>
    <t>BUDI SAMBODO</t>
  </si>
  <si>
    <t>MUHAMMAD SETIAWAN</t>
  </si>
  <si>
    <t>MUHAMMAD NOVAL RAMADHAN</t>
  </si>
  <si>
    <t>UKASAH</t>
  </si>
  <si>
    <t>WIDI WIDAYAT</t>
  </si>
  <si>
    <t xml:space="preserve">ERLAND ERLANGGA </t>
  </si>
  <si>
    <t>MUHAMAD RISKI</t>
  </si>
  <si>
    <t>MELINA</t>
  </si>
  <si>
    <t>MONALISA SIPAHUTAR</t>
  </si>
  <si>
    <t>SUDARMANTO</t>
  </si>
  <si>
    <t>SELLA RIZKIA</t>
  </si>
  <si>
    <t>APRINA SIAGIAN</t>
  </si>
  <si>
    <t>DIAN SRI ANDRYANI</t>
  </si>
  <si>
    <t>SELSA BELLA HUTABARAT</t>
  </si>
  <si>
    <t xml:space="preserve"> NEINAH DAMAISARI</t>
  </si>
  <si>
    <t>MIKA WANTI NAINGG0LAN</t>
  </si>
  <si>
    <t>SUHARDIANSYAH</t>
  </si>
  <si>
    <t>DEA MAULIDAH</t>
  </si>
  <si>
    <t>M AZRIEL HAZNAM S</t>
  </si>
  <si>
    <t xml:space="preserve">AYULIA KHAERUNNISA </t>
  </si>
  <si>
    <t>RAHMAWATI</t>
  </si>
  <si>
    <t>RIZAL FAUZI</t>
  </si>
  <si>
    <t>FIGH TRI OKTAVIANO</t>
  </si>
  <si>
    <t>SITI HARDIANTI</t>
  </si>
  <si>
    <t>INE LUTFIA NOVELLA</t>
  </si>
  <si>
    <t>DANIEL MATIUS KOLONDAM</t>
  </si>
  <si>
    <t>ARYA DILLA</t>
  </si>
  <si>
    <t>GALIH KURNIAWAN</t>
  </si>
  <si>
    <t>ZULHAM REINALLDO</t>
  </si>
  <si>
    <t>DITA CAHYANI</t>
  </si>
  <si>
    <t>INDAH NOVIYANTI</t>
  </si>
  <si>
    <t>BUKHORI</t>
  </si>
  <si>
    <t>M SOLEH</t>
  </si>
  <si>
    <t>SUGANDA MS</t>
  </si>
  <si>
    <t>IQBAL FADILAH</t>
  </si>
  <si>
    <t>ANSI PUTRI LORENZA</t>
  </si>
  <si>
    <t>RYAN PRAMASDA PUTRA</t>
  </si>
  <si>
    <t>BUDI KRISTIAWAN</t>
  </si>
  <si>
    <t>GUGUT JULI PRAYITNO</t>
  </si>
  <si>
    <t>SISWANTI</t>
  </si>
  <si>
    <t>RAHMA PRASETYAWATI</t>
  </si>
  <si>
    <t>MARIA AVIANTI</t>
  </si>
  <si>
    <t>JOKO BINTORO</t>
  </si>
  <si>
    <t>AWAN AFANOVA</t>
  </si>
  <si>
    <t>ANTIK SULISTYOWATI</t>
  </si>
  <si>
    <t>SUGIYONO</t>
  </si>
  <si>
    <t>TRI HARYANTO</t>
  </si>
  <si>
    <t>SUSILO</t>
  </si>
  <si>
    <t>IMAM MULADI</t>
  </si>
  <si>
    <t>YULIANTO</t>
  </si>
  <si>
    <t>MIFTA HASBI HARIRI</t>
  </si>
  <si>
    <t>HERPRATAMA INDRO SETYAJATI</t>
  </si>
  <si>
    <t>M SULTAN FAHMI FIRMANSYAH</t>
  </si>
  <si>
    <t>DANANG SETYAWAN</t>
  </si>
  <si>
    <t>DENY AJI WIBOWO</t>
  </si>
  <si>
    <t>ARIF NUGROHO</t>
  </si>
  <si>
    <t>MUHAMMAD DLUNUROEN</t>
  </si>
  <si>
    <t>RIZKI BETA KURNIAWAN</t>
  </si>
  <si>
    <t>EDWIN CHRISTIAN ISHUANTO</t>
  </si>
  <si>
    <t>SAPTOTO WAHYU NUGROHO</t>
  </si>
  <si>
    <t>DODY WAHYU PRANOTO, SE</t>
  </si>
  <si>
    <t>MUAMMAL IQBAL</t>
  </si>
  <si>
    <t>IMAM BAGUS FAISAL</t>
  </si>
  <si>
    <t>FENDI YULIYANTO</t>
  </si>
  <si>
    <t>HARIYANTO</t>
  </si>
  <si>
    <t>ARCELA</t>
  </si>
  <si>
    <t>ADITYA DANAR SAPUTRA</t>
  </si>
  <si>
    <t>SALSA NUR FITRIA</t>
  </si>
  <si>
    <t>BEASTRICE ARUM SEKARWANGI</t>
  </si>
  <si>
    <t>TOTOK YUNUS WEDIYANTO</t>
  </si>
  <si>
    <t>THERESIA OKTAVIA</t>
  </si>
  <si>
    <t>SAFII</t>
  </si>
  <si>
    <t>MUHAMAD IKSAN</t>
  </si>
  <si>
    <t>DINA LISTIANA</t>
  </si>
  <si>
    <t>ANDEG LALA</t>
  </si>
  <si>
    <t>MIRA SUKMA DEWI ISKANDAR PUTRI</t>
  </si>
  <si>
    <t>MUHAMMAD RIZKY EKA PUTRA</t>
  </si>
  <si>
    <t>RIMA TRILIA FIKA SARI</t>
  </si>
  <si>
    <t>DEMISA ZAI</t>
  </si>
  <si>
    <t>NUR HIDAYAT SULISTYA</t>
  </si>
  <si>
    <t>CHARISMA PRIYA PURNOMO</t>
  </si>
  <si>
    <t>ESTHI NUGROHO DEWI</t>
  </si>
  <si>
    <t>MARYADI</t>
  </si>
  <si>
    <t>DANIEL TUMANAN</t>
  </si>
  <si>
    <t>RIO MARTIN RUDIANTO</t>
  </si>
  <si>
    <t xml:space="preserve">SUMARYADI </t>
  </si>
  <si>
    <t>AHLISH HIDAYATULLOH</t>
  </si>
  <si>
    <t>YOGI PUTRO WASKITO</t>
  </si>
  <si>
    <t>ARIS KURNIANTORO</t>
  </si>
  <si>
    <t>RORI PUJI ASTUTI</t>
  </si>
  <si>
    <t>NOVI EFENDI</t>
  </si>
  <si>
    <t>MATIAS NOPRYANTO RAUNGKU</t>
  </si>
  <si>
    <t>R. SUHARJONO</t>
  </si>
  <si>
    <t>PENCAPAIAN</t>
  </si>
  <si>
    <t>SUSANTO HIDAYAT</t>
  </si>
  <si>
    <t>IMEY MELIAWATI</t>
  </si>
  <si>
    <t>S2</t>
  </si>
  <si>
    <t>ATMA HAYYU FTIRIANTI</t>
  </si>
  <si>
    <t>WIDYA RAHMA</t>
  </si>
  <si>
    <t xml:space="preserve">DHEA APRILIA </t>
  </si>
  <si>
    <t xml:space="preserve">VELY FRIYANTI DJOHAN </t>
  </si>
  <si>
    <t>LUBIS SUGARA</t>
  </si>
  <si>
    <t>HAPITZA ALBAR</t>
  </si>
  <si>
    <t xml:space="preserve">WILSON MANALU </t>
  </si>
  <si>
    <t>DEAREN HEAZEL REVIALY</t>
  </si>
  <si>
    <t>SUMIATI</t>
  </si>
  <si>
    <t>IRA ISMAYA</t>
  </si>
  <si>
    <t>RISKA TASYA MONTANIA GIRSANG</t>
  </si>
  <si>
    <t>YOGI AGUS RANDA</t>
  </si>
  <si>
    <t>PARUNG</t>
  </si>
  <si>
    <t>SUKMA ANJALI</t>
  </si>
  <si>
    <t>Muhamad dapa Al rasid</t>
  </si>
  <si>
    <t>Rafly Ilham ramadhan</t>
  </si>
  <si>
    <t>abyan aryan saputra</t>
  </si>
  <si>
    <t>Ratna Tusyadiyah</t>
  </si>
  <si>
    <t>Friska Olivia Sihaloho</t>
  </si>
  <si>
    <t xml:space="preserve">DEVI ANDRIANI </t>
  </si>
  <si>
    <t>TAMBUN</t>
  </si>
  <si>
    <t xml:space="preserve">Binsar Sudarmono Situmorang </t>
  </si>
  <si>
    <t>Mayang Putri Emaliana</t>
  </si>
  <si>
    <t xml:space="preserve">Exaudi Parulian Situmorang </t>
  </si>
  <si>
    <t xml:space="preserve">Marliana </t>
  </si>
  <si>
    <t>Boyke Suhendra</t>
  </si>
  <si>
    <t xml:space="preserve">Nahum Winardi putra Situmorang </t>
  </si>
  <si>
    <t>Nunung septiani</t>
  </si>
  <si>
    <t xml:space="preserve">Afifahtul Khusnul Khatimah </t>
  </si>
  <si>
    <t>Bangbang Himun H, S.Kom</t>
  </si>
  <si>
    <t>Hengki Permana</t>
  </si>
  <si>
    <t>Ahmad Syahriar Irawan</t>
  </si>
  <si>
    <t>Falhan Basya</t>
  </si>
  <si>
    <t>Hendra Irawan</t>
  </si>
  <si>
    <t>Dayu Gapura Irianto</t>
  </si>
  <si>
    <t>Raisa Siti Ainiyah</t>
  </si>
  <si>
    <t>Hendar Suhendar</t>
  </si>
  <si>
    <t>Davin Alim</t>
  </si>
  <si>
    <t>Agung Dwi Laksono</t>
  </si>
  <si>
    <t>Ari Hidayat</t>
  </si>
  <si>
    <t>Cucu Komarudin</t>
  </si>
  <si>
    <t>Berent Fariz</t>
  </si>
  <si>
    <t>Muhammad Fajar Siddiq</t>
  </si>
  <si>
    <t>Entis</t>
  </si>
  <si>
    <t>Dadang Dimyati</t>
  </si>
  <si>
    <t>Dicky Fauzi Nurhidayat</t>
  </si>
  <si>
    <t>Veri Septiana</t>
  </si>
  <si>
    <t>Piki Badarudin</t>
  </si>
  <si>
    <t>Acep Rizal</t>
  </si>
  <si>
    <t>Iman Firman</t>
  </si>
  <si>
    <t>Dian Hernanda</t>
  </si>
  <si>
    <t>Trisna Juliansyah</t>
  </si>
  <si>
    <t>Abdul Koharudin</t>
  </si>
  <si>
    <t>Dasep Abdul Gopur</t>
  </si>
  <si>
    <t>Rudiansyah Moch Azhar</t>
  </si>
  <si>
    <t>Gungun Gunawan</t>
  </si>
  <si>
    <t>Enur Husni Mubarok</t>
  </si>
  <si>
    <t>Teten Solehudin</t>
  </si>
  <si>
    <t>Musadad Alfaris</t>
  </si>
  <si>
    <t>Nuri Nuryanti</t>
  </si>
  <si>
    <t>Rifqi Sofwandi</t>
  </si>
  <si>
    <t>Fahmi</t>
  </si>
  <si>
    <t>Aditia Paturohman</t>
  </si>
  <si>
    <t>Trisna Dwinanda</t>
  </si>
  <si>
    <t>Yadi Budiman</t>
  </si>
  <si>
    <t>Rohmat Yusup</t>
  </si>
  <si>
    <t>Wandi Rizki Mauludin</t>
  </si>
  <si>
    <t>Aditya Yuda Pratama</t>
  </si>
  <si>
    <t>Yeyen Yudaningsih</t>
  </si>
  <si>
    <t>Mia Kurniawan</t>
  </si>
  <si>
    <t>Muhammad Al - Barra</t>
  </si>
  <si>
    <t>Nurul Nurbaeti</t>
  </si>
  <si>
    <t>Diki Somantri</t>
  </si>
  <si>
    <t>Boma Jaya Priatna</t>
  </si>
  <si>
    <t>Riki Suganda</t>
  </si>
  <si>
    <t>Rendra Dudia Sugara, S.T</t>
  </si>
  <si>
    <t>Lusy Krisbiyanti</t>
  </si>
  <si>
    <t>Yayan Sugiana</t>
  </si>
  <si>
    <t>Ujang Yanto Priyanto</t>
  </si>
  <si>
    <t>Yuyun Nugraha</t>
  </si>
  <si>
    <t>Kris Ardianto</t>
  </si>
  <si>
    <t>Dindin Solehudin</t>
  </si>
  <si>
    <t>Sachir Adam Nurba</t>
  </si>
  <si>
    <t>Ipan Sopyan</t>
  </si>
  <si>
    <t>Yulius Hilman</t>
  </si>
  <si>
    <t>Deny Irawan</t>
  </si>
  <si>
    <t>Adi Suryadi</t>
  </si>
  <si>
    <t>Herdin Budiawan</t>
  </si>
  <si>
    <t>Aditya Abdul Muhyi</t>
  </si>
  <si>
    <t>Nanang Supriatna</t>
  </si>
  <si>
    <t>Angga Merdiana</t>
  </si>
  <si>
    <t>Mahmud</t>
  </si>
  <si>
    <t>Ahmad Arif Satriono</t>
  </si>
  <si>
    <t>Deri Kusdiana</t>
  </si>
  <si>
    <t>Yeni Hardiyani</t>
  </si>
  <si>
    <t>Agnes Jatnika</t>
  </si>
  <si>
    <t>Ega Imam Syuhada</t>
  </si>
  <si>
    <t>Fuji Firmansyah Saputra</t>
  </si>
  <si>
    <t>Pizki Astrid Desianti</t>
  </si>
  <si>
    <t>Denny Tri Sutendi</t>
  </si>
  <si>
    <t>Iwan Setiawan</t>
  </si>
  <si>
    <t>Osa Usman Rusmana</t>
  </si>
  <si>
    <t>Sandi Rustandi</t>
  </si>
  <si>
    <t>Santi Mulyanti</t>
  </si>
  <si>
    <t>Insan Saeful Anwar</t>
  </si>
  <si>
    <t>Eka Kartika</t>
  </si>
  <si>
    <t>Mulyamin Aziz</t>
  </si>
  <si>
    <t>Heri Nurdin J</t>
  </si>
  <si>
    <t>Didi Junaedi</t>
  </si>
  <si>
    <t>Dede Duhan</t>
  </si>
  <si>
    <t>Deni Wilantara</t>
  </si>
  <si>
    <t>Yendi Herdian</t>
  </si>
  <si>
    <t>Jopi Safari</t>
  </si>
  <si>
    <t>Dimas Kurnia Asprilla</t>
  </si>
  <si>
    <t>Yulistia Cahya Kurnia</t>
  </si>
  <si>
    <t>Robyana</t>
  </si>
  <si>
    <t>Riyadi Wijaya</t>
  </si>
  <si>
    <t>Aep Yudi</t>
  </si>
  <si>
    <t>Roni Herlani</t>
  </si>
  <si>
    <t>Angga Saputra</t>
  </si>
  <si>
    <t>Irsyad Abidin</t>
  </si>
  <si>
    <t>Samsudin</t>
  </si>
  <si>
    <t>Dema Ahmad Yanuar</t>
  </si>
  <si>
    <t>Joni M. Fajar</t>
  </si>
  <si>
    <t>Hendra Darmawan</t>
  </si>
  <si>
    <t>Deni Kurniawan</t>
  </si>
  <si>
    <t>Yeni Sri Ismiati</t>
  </si>
  <si>
    <t>Iki Muhammad Rizky</t>
  </si>
  <si>
    <t>TEGUH JUNNARTO</t>
  </si>
  <si>
    <t>NUR BUDI FEBRIANTO</t>
  </si>
  <si>
    <t>DEWI YUNANIK</t>
  </si>
  <si>
    <t>IMA PUSPITASARI</t>
  </si>
  <si>
    <t>DIMAS RAMADHANA</t>
  </si>
  <si>
    <t>LUSI PURWANTI</t>
  </si>
  <si>
    <t>KHOIRUL SULTONI</t>
  </si>
  <si>
    <t>VIRDIAS FATKA PRATAMA</t>
  </si>
  <si>
    <t>DWI OKTAVIANUS LANGGENG SAPUTRO</t>
  </si>
  <si>
    <t>ARIEF SETYAJI</t>
  </si>
  <si>
    <t>IVON DENSI YOUS MARLINA</t>
  </si>
  <si>
    <t>RAMADHAN VICKO RAFSANJANI</t>
  </si>
  <si>
    <t>IMAM FATONI</t>
  </si>
  <si>
    <t>LUTFI HIDAYAT</t>
  </si>
  <si>
    <t>TRI LESTARI</t>
  </si>
  <si>
    <t>CAHYO WICAKSONO</t>
  </si>
  <si>
    <t>DAFIT PRASETIO</t>
  </si>
  <si>
    <t>Vincentius Fajar Pristiyowanto</t>
  </si>
  <si>
    <t>AYOK SETIYAWAN</t>
  </si>
  <si>
    <t>achmad bahak udin</t>
  </si>
  <si>
    <t>Moh Dendron Sekundratmo</t>
  </si>
  <si>
    <t>Novan Indarto</t>
  </si>
  <si>
    <t>Imanda Haryo Kusumo</t>
  </si>
  <si>
    <t>Gatot Tri Widodo</t>
  </si>
  <si>
    <t>YETTI FITASARI</t>
  </si>
  <si>
    <t>MAMAN FIRMANSYAH</t>
  </si>
  <si>
    <t>ARYO ADHITYAS SETYO</t>
  </si>
  <si>
    <t>SITI NURHAYATI</t>
  </si>
  <si>
    <t>I MADE JULIANTARA</t>
  </si>
  <si>
    <t>Ds</t>
  </si>
  <si>
    <t>NI MADE KARMI</t>
  </si>
  <si>
    <t>PUTU AGUS PRAMANA PUTRA</t>
  </si>
  <si>
    <t>SUGIYANTO</t>
  </si>
  <si>
    <t>DENY PANGDIG JAYA</t>
  </si>
  <si>
    <t>NI WAYAN MELLAS RISOMAGI</t>
  </si>
  <si>
    <t>I WAYAN PUTRA PRATAMA</t>
  </si>
  <si>
    <t>KADEK DEDI RIMAWAN</t>
  </si>
  <si>
    <t>I WAYAN PUTU SARJANA</t>
  </si>
  <si>
    <t>I NENGAH SEMARA PUTA</t>
  </si>
  <si>
    <t>I KOMANG JANUADI</t>
  </si>
  <si>
    <t>I PUTU AGUS RESKA.K.V</t>
  </si>
  <si>
    <t>NI KOMANG AYU.W</t>
  </si>
  <si>
    <t>BAYU SAPUTRA</t>
  </si>
  <si>
    <t xml:space="preserve">DHIENRY MARTIANDIKA S	</t>
  </si>
  <si>
    <t>I GUSTI NGURAH AGUNG RAI RAMANATHA</t>
  </si>
  <si>
    <t xml:space="preserve">TRIANA JIHAN </t>
  </si>
  <si>
    <t>NAWAL FAIQOTUL HIKMAH</t>
  </si>
  <si>
    <t>BARTHOLOMEUS M.J PAREIRA</t>
  </si>
  <si>
    <t>MARSELINUS SUPARDI</t>
  </si>
  <si>
    <t>Vernando Vargas Kahale</t>
  </si>
  <si>
    <t>ketut Artha Suardika</t>
  </si>
  <si>
    <t>Mohammad Fa'is</t>
  </si>
  <si>
    <t>Anditya Rizki Alfian Adha</t>
  </si>
  <si>
    <t>Moh Sadam Putra</t>
  </si>
  <si>
    <t>Jimmi Kurniawan</t>
  </si>
  <si>
    <t>Heri Susanto</t>
  </si>
  <si>
    <t>Erwin Hadi</t>
  </si>
  <si>
    <t>I Putu Nova Eka Swastika</t>
  </si>
  <si>
    <t>Mohamad Fauzi</t>
  </si>
  <si>
    <t>Wiji Astuti</t>
  </si>
  <si>
    <t>I Gede Candra Permana Putra Wibawa</t>
  </si>
  <si>
    <t>Zainus Salim</t>
  </si>
  <si>
    <t>Kristin Prihatini</t>
  </si>
  <si>
    <t>I Gusti Agung Komang Panji Wiryawan</t>
  </si>
  <si>
    <t>Sayu Putu Puspa Desi Astiti</t>
  </si>
  <si>
    <t>Ahmad Hasibin</t>
  </si>
  <si>
    <t>GEDE OKA CAHYADI PRATAMA</t>
  </si>
  <si>
    <t>NI LUH PUTU ADINDA SUCI LESTARI</t>
  </si>
  <si>
    <t>NI LUH PUTU ASTITI DEWI</t>
  </si>
  <si>
    <t>MALIANA</t>
  </si>
  <si>
    <t>I MADE CANDRA PRANATA</t>
  </si>
  <si>
    <t>I KADEK ALDI ARTANA</t>
  </si>
  <si>
    <t>I GUSTI NGURAH AGUNG MARTA WEDANA PUTRA</t>
  </si>
  <si>
    <t>IRVAN RYNALDI</t>
  </si>
  <si>
    <t>YUDA PRATAMA</t>
  </si>
  <si>
    <t>AGUS JUNIANTO</t>
  </si>
  <si>
    <t>MUHAMMAD CAHYO SAPUTRO</t>
  </si>
  <si>
    <t>PUTU AGUS DARMAWAN</t>
  </si>
  <si>
    <t>AHMAD REHAN DIKI PRAYOGA</t>
  </si>
  <si>
    <t>SAFRIZAL HUTAGALUNG</t>
  </si>
  <si>
    <t>EBEN HAZAER ZAI</t>
  </si>
  <si>
    <t>CERELINA TIO FANI</t>
  </si>
  <si>
    <t>BAYU FERNANDO</t>
  </si>
  <si>
    <t>JORDI UMBU LELE</t>
  </si>
  <si>
    <t>PANGGAH LESTYO ARDIAN</t>
  </si>
  <si>
    <t>Swardana Arie Ardiansyah</t>
  </si>
  <si>
    <t>Redy Deny Triharyanto</t>
  </si>
  <si>
    <t>Ricky Supriadi</t>
  </si>
  <si>
    <t>Sri Mawarni</t>
  </si>
  <si>
    <t>Roy Kusdinono</t>
  </si>
  <si>
    <t>Retno Dinafsyaratri</t>
  </si>
  <si>
    <t>RISKI ADE WIJAYA</t>
  </si>
  <si>
    <t>EGI PRASETYO</t>
  </si>
  <si>
    <t>AKHMAD FERDIAWAN RIANSAH</t>
  </si>
  <si>
    <t>RISKOMAR</t>
  </si>
  <si>
    <t>DJUNAS AGUNG PRIHARDA</t>
  </si>
  <si>
    <t>DEVI OKTAFIANTO</t>
  </si>
  <si>
    <t>DAHLIA</t>
  </si>
  <si>
    <t>SELVIANI UTAMI</t>
  </si>
  <si>
    <t>AMANDA DESIKA</t>
  </si>
  <si>
    <t>DWI EGI RAMDANI</t>
  </si>
  <si>
    <t>YUDI DAMANHURI</t>
  </si>
  <si>
    <t>NURYANI</t>
  </si>
  <si>
    <t>HERLINA MAULITA</t>
  </si>
  <si>
    <t>JOPITER</t>
  </si>
  <si>
    <t>SINTIA</t>
  </si>
  <si>
    <t>ACHMADUN</t>
  </si>
  <si>
    <t>MAILAN</t>
  </si>
  <si>
    <t>TRI WAHYONO</t>
  </si>
  <si>
    <t>HARYONO</t>
  </si>
  <si>
    <t>DESI KUSRIYANTI</t>
  </si>
  <si>
    <t>ABDUL RAJAB</t>
  </si>
  <si>
    <t>AJIS SAPTORI</t>
  </si>
  <si>
    <t>ASTRI RAHMAWATI</t>
  </si>
  <si>
    <t>TEGUH PRABOWO</t>
  </si>
  <si>
    <t>SUTAN ALI SOBANA</t>
  </si>
  <si>
    <t>HAFID SANGIDUN</t>
  </si>
  <si>
    <t>SUJA SUDIRJA</t>
  </si>
  <si>
    <t>RD UJANG OTAN HARTANTO</t>
  </si>
  <si>
    <t>UNTUNG WIBOWO</t>
  </si>
  <si>
    <t>CUT SALSABILAH SUCIANI</t>
  </si>
  <si>
    <t>MUHAMAD ALFANI</t>
  </si>
  <si>
    <t>DHANI RAMADON</t>
  </si>
  <si>
    <t>ZULMI RAMADHAN</t>
  </si>
  <si>
    <t>HERU SAPUTRA</t>
  </si>
  <si>
    <t>RAHMAT GUMILANG</t>
  </si>
  <si>
    <t>RIFFAN MUBAROK</t>
  </si>
  <si>
    <t>BAGAS PERMANA</t>
  </si>
  <si>
    <t>DWI HARI PURNAMA</t>
  </si>
  <si>
    <t>JENAR NURJANI</t>
  </si>
  <si>
    <t>ASEP RAHMAT</t>
  </si>
  <si>
    <t>LILI WARNALI</t>
  </si>
  <si>
    <t>RAHMAT HIDAYAT</t>
  </si>
  <si>
    <t>YOGI HERMAWAN</t>
  </si>
  <si>
    <t>AHMAD BUCHORI</t>
  </si>
  <si>
    <t>NAZAR YAHYA</t>
  </si>
  <si>
    <t>ARDEN ZUHDI</t>
  </si>
  <si>
    <t>MUHAMMAD JAKA NUGRAHA</t>
  </si>
  <si>
    <t>UCI SANUSI</t>
  </si>
  <si>
    <t>DENI WAHYUDIN</t>
  </si>
  <si>
    <t>MOCHAMAD ALEK LESMANA</t>
  </si>
  <si>
    <t>GINANJAR MAULANA YUSUF</t>
  </si>
  <si>
    <t>Edi Sunardi</t>
  </si>
  <si>
    <t>PANDI</t>
  </si>
  <si>
    <t>FERRY MAHALIO SUDADI</t>
  </si>
  <si>
    <t>RIDWAN MAULANA</t>
  </si>
  <si>
    <t>DADI</t>
  </si>
  <si>
    <t>JAMALUDIN</t>
  </si>
  <si>
    <t>GANI MAULANA</t>
  </si>
  <si>
    <t>RONI CAHYANI</t>
  </si>
  <si>
    <t>FERDINAND EKO DEWA</t>
  </si>
  <si>
    <t>AGUNG SURYANINGRAT</t>
  </si>
  <si>
    <t>JONATHAN RIRIHENA</t>
  </si>
  <si>
    <t>HERDIANSYAH FAUZAN</t>
  </si>
  <si>
    <t>DEFFAN KAHFI ADHIGUNA</t>
  </si>
  <si>
    <t>GITUS GISMANA</t>
  </si>
  <si>
    <t>MOHAMAD RAMLI</t>
  </si>
  <si>
    <t>YULI YULIANA</t>
  </si>
  <si>
    <t>YOGI</t>
  </si>
  <si>
    <t>AGAM MULIA</t>
  </si>
  <si>
    <t>IRWAN FAUZI HARAHAP</t>
  </si>
  <si>
    <t>JAMOT MANALU</t>
  </si>
  <si>
    <t>DIAN ADI PUTRA HASIBUAN</t>
  </si>
  <si>
    <t>YON SIDEK SAGALA</t>
  </si>
  <si>
    <t>FERI PRATAMA</t>
  </si>
  <si>
    <t>IVAL YOGA SARA</t>
  </si>
  <si>
    <t>DEDE ZULKARNAIN</t>
  </si>
  <si>
    <t>MUHAMMAD FASHA</t>
  </si>
  <si>
    <t>HOTMAULI SIMAREMARE</t>
  </si>
  <si>
    <t>RAYMOND H SITANGGANG</t>
  </si>
  <si>
    <t>MHD DANDI PRATAMA</t>
  </si>
  <si>
    <t>NANDA AKBAR</t>
  </si>
  <si>
    <t>NO</t>
  </si>
  <si>
    <t>NAMA SALES</t>
  </si>
  <si>
    <t>KOTA</t>
  </si>
  <si>
    <t>Semarang</t>
  </si>
  <si>
    <t>Kendal</t>
  </si>
  <si>
    <t>Ni Luh Putu Astiti Dewi</t>
  </si>
  <si>
    <t>Badung</t>
  </si>
  <si>
    <t>Santoso Nainggolan</t>
  </si>
  <si>
    <t>Daniel Parlindungan</t>
  </si>
  <si>
    <t>Santo Yahya Purba</t>
  </si>
  <si>
    <t>Ibbe Arfiah Ambarita</t>
  </si>
  <si>
    <t xml:space="preserve">Ninton Silitonga </t>
  </si>
  <si>
    <t>Irwan Panjaitan</t>
  </si>
  <si>
    <t>Ignatius Romy Setyawan</t>
  </si>
  <si>
    <t>Rokhyati BT Wain</t>
  </si>
  <si>
    <t>Hendrik Pandapotan</t>
  </si>
  <si>
    <t>Juwisri Mariati Simanjuntak</t>
  </si>
  <si>
    <t>Lely Meyana</t>
  </si>
  <si>
    <t>Daniel Toni Sagala</t>
  </si>
  <si>
    <t>Bastian Ronaldo Butar Butar</t>
  </si>
  <si>
    <t>Maryanti Manalu</t>
  </si>
  <si>
    <t>Fadli Syawalludin</t>
  </si>
  <si>
    <t>Dimposma Hutagalung</t>
  </si>
  <si>
    <t>Leo Hermansyah</t>
  </si>
  <si>
    <t>Alvin Jon Raya S</t>
  </si>
  <si>
    <t>Julietta Winar Pasha</t>
  </si>
  <si>
    <t>Hinando Praya Saragih</t>
  </si>
  <si>
    <t>Suriati T.Situmeang</t>
  </si>
  <si>
    <t>Rani Martina Samosir</t>
  </si>
  <si>
    <t>Bruno Mario</t>
  </si>
  <si>
    <t>Moh Marifan Delavena</t>
  </si>
  <si>
    <t xml:space="preserve"> Indrah Septian</t>
  </si>
  <si>
    <t>Irwanto</t>
  </si>
  <si>
    <t>Fanda Waty Sry Ayu  manalu</t>
  </si>
  <si>
    <t>Gresintia Samosir</t>
  </si>
  <si>
    <t>Sari Nopita Sipahutar</t>
  </si>
  <si>
    <t>Douglas sinaga</t>
  </si>
  <si>
    <t>Delima Sihotang</t>
  </si>
  <si>
    <t xml:space="preserve">Muhammad Hilmy </t>
  </si>
  <si>
    <t>Kautsar</t>
  </si>
  <si>
    <t>Raga Purnomo</t>
  </si>
  <si>
    <t>Melyana Samosir</t>
  </si>
  <si>
    <t>Nova Indriani</t>
  </si>
  <si>
    <t>Nanda Amalia Febriani</t>
  </si>
  <si>
    <t>Lewi Indriyani Panggabean</t>
  </si>
  <si>
    <t>Haryanti</t>
  </si>
  <si>
    <t>Lia Rahmawati</t>
  </si>
  <si>
    <t>Yandira Cahaya Putri</t>
  </si>
  <si>
    <t>Abdul zaki</t>
  </si>
  <si>
    <t>Indah Fitria</t>
  </si>
  <si>
    <t>Bayu Utomo</t>
  </si>
  <si>
    <t>Asya Amalia</t>
  </si>
  <si>
    <t>Rafika Khoirul</t>
  </si>
  <si>
    <t>Herdiansyah</t>
  </si>
  <si>
    <t>Muhammad Rifal</t>
  </si>
  <si>
    <t>Muhammad Nur Zaman Akbar</t>
  </si>
  <si>
    <t>M.DWIKI DHARMAWAN</t>
  </si>
  <si>
    <t>HIKMA HAQIQI</t>
  </si>
  <si>
    <t>BINTANG SURIADI SIBARANI</t>
  </si>
  <si>
    <t>Sub Regional = Barlian Purba</t>
  </si>
  <si>
    <t>Regional Head = Benni Novensus</t>
  </si>
  <si>
    <t>Sales Manager = Fredi Sinaga</t>
  </si>
  <si>
    <t>Sales Manager = Asri Lusiana Sagala</t>
  </si>
  <si>
    <t>Sales Manager = Belum ada SM</t>
  </si>
  <si>
    <t>Sales Manager = Sulaiman Perjuangan Hulu</t>
  </si>
  <si>
    <t>Regional Head = Susanto</t>
  </si>
  <si>
    <t>Sub Regional Head = Arya Adithya Kurnia</t>
  </si>
  <si>
    <t>Sales Manager = Ilham Tejo Wahono</t>
  </si>
  <si>
    <t>Sales Manager = Septian Dwi Nugraha</t>
  </si>
  <si>
    <t>Sales Manager = Dede Regdimas Pangemanan</t>
  </si>
  <si>
    <t>Sales Manager = Wahyu Dwi Ratna</t>
  </si>
  <si>
    <t>Sales Manager = Belum Ada SM</t>
  </si>
  <si>
    <t>Sub Regional Head = Hilman Rony</t>
  </si>
  <si>
    <t>Sales Manager = Syahrial</t>
  </si>
  <si>
    <t>Sales Manager = Ihsan Chairul Fahmi</t>
  </si>
  <si>
    <t>Regional Head = Anna Niken</t>
  </si>
  <si>
    <t>Sales Manager = Danuary Sihombing</t>
  </si>
  <si>
    <t>Sales Manager = Kadek Oka Sanjaya</t>
  </si>
  <si>
    <t>Sales Manager = I Wayan Mudita</t>
  </si>
  <si>
    <t>Regional Head = Jonatan Sitorus</t>
  </si>
  <si>
    <t>Sales Manager = Ega Gustiansyah</t>
  </si>
  <si>
    <t>Sales Manager = Irwa Fauzi Harahap</t>
  </si>
  <si>
    <t>Sales Manager = Muh Abrori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</si>
</sst>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F699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9CB9C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2">
    <xf numFmtId="0" fontId="0" fillId="0" borderId="0"/>
    <xf numFmtId="9" fontId="1" fillId="0" borderId="0" applyFont="0" applyFill="0" applyBorder="0" applyAlignment="0" applyProtection="0"/>
    <xf numFmtId="0" fontId="9" fillId="0" borderId="0">
      <alignment vertical="center"/>
    </xf>
    <xf numFmtId="0" fontId="11" fillId="0" borderId="0">
      <alignment vertical="center"/>
    </xf>
    <xf numFmtId="9" fontId="12" fillId="0" borderId="0">
      <protection locked="0"/>
    </xf>
    <xf numFmtId="0" fontId="1" fillId="0" borderId="0"/>
    <xf numFmtId="0" fontId="11" fillId="0" borderId="0">
      <alignment vertical="center"/>
    </xf>
    <xf numFmtId="0" fontId="13" fillId="0" borderId="0"/>
    <xf numFmtId="0" fontId="14" fillId="0" borderId="0"/>
    <xf numFmtId="0" fontId="11" fillId="0" borderId="0">
      <alignment vertical="center"/>
    </xf>
    <xf numFmtId="0" fontId="15" fillId="0" borderId="0">
      <alignment vertical="center"/>
    </xf>
    <xf numFmtId="0" fontId="16" fillId="0" borderId="0"/>
    <xf numFmtId="0" fontId="14" fillId="0" borderId="0"/>
    <xf numFmtId="9" fontId="13" fillId="0" borderId="0" applyFont="0" applyFill="0" applyBorder="0" applyAlignment="0" applyProtection="0"/>
    <xf numFmtId="0" fontId="17" fillId="0" borderId="0"/>
    <xf numFmtId="0" fontId="13" fillId="0" borderId="0"/>
    <xf numFmtId="0" fontId="20" fillId="0" borderId="0"/>
    <xf numFmtId="0" fontId="21" fillId="0" borderId="0"/>
    <xf numFmtId="0" fontId="14" fillId="0" borderId="0"/>
    <xf numFmtId="0" fontId="22" fillId="2" borderId="1" applyNumberFormat="0" applyAlignment="0" applyProtection="0"/>
    <xf numFmtId="9" fontId="14" fillId="0" borderId="0" applyFont="0" applyFill="0" applyBorder="0" applyAlignment="0" applyProtection="0"/>
    <xf numFmtId="0" fontId="23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0" fontId="1" fillId="0" borderId="0"/>
    <xf numFmtId="0" fontId="26" fillId="0" borderId="0">
      <alignment vertical="center"/>
    </xf>
    <xf numFmtId="9" fontId="27" fillId="0" borderId="0">
      <alignment vertical="top"/>
      <protection locked="0"/>
    </xf>
    <xf numFmtId="0" fontId="27" fillId="0" borderId="0">
      <protection locked="0"/>
    </xf>
    <xf numFmtId="0" fontId="26" fillId="0" borderId="0">
      <protection locked="0"/>
    </xf>
    <xf numFmtId="0" fontId="27" fillId="0" borderId="0">
      <protection locked="0"/>
    </xf>
  </cellStyleXfs>
  <cellXfs count="151">
    <xf numFmtId="0" fontId="0" fillId="0" borderId="0" xfId="0"/>
    <xf numFmtId="0" fontId="2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0" fillId="0" borderId="3" xfId="0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3" xfId="0" applyBorder="1"/>
    <xf numFmtId="0" fontId="4" fillId="0" borderId="3" xfId="0" applyFont="1" applyBorder="1" applyAlignment="1">
      <alignment vertical="center"/>
    </xf>
    <xf numFmtId="9" fontId="0" fillId="0" borderId="0" xfId="0" applyNumberFormat="1"/>
    <xf numFmtId="0" fontId="10" fillId="4" borderId="0" xfId="2" applyFont="1" applyFill="1" applyAlignment="1">
      <alignment horizontal="left"/>
    </xf>
    <xf numFmtId="0" fontId="0" fillId="4" borderId="3" xfId="0" applyFill="1" applyBorder="1"/>
    <xf numFmtId="0" fontId="2" fillId="0" borderId="3" xfId="0" applyFont="1" applyBorder="1"/>
    <xf numFmtId="9" fontId="0" fillId="0" borderId="3" xfId="0" applyNumberFormat="1" applyBorder="1"/>
    <xf numFmtId="9" fontId="0" fillId="4" borderId="3" xfId="0" applyNumberFormat="1" applyFill="1" applyBorder="1"/>
    <xf numFmtId="0" fontId="11" fillId="0" borderId="3" xfId="3" applyBorder="1">
      <alignment vertical="center"/>
    </xf>
    <xf numFmtId="0" fontId="7" fillId="0" borderId="3" xfId="0" applyFont="1" applyBorder="1"/>
    <xf numFmtId="0" fontId="11" fillId="0" borderId="3" xfId="6" applyBorder="1">
      <alignment vertical="center"/>
    </xf>
    <xf numFmtId="0" fontId="14" fillId="5" borderId="3" xfId="11" applyFont="1" applyFill="1" applyBorder="1" applyAlignment="1">
      <alignment horizontal="left" vertical="center"/>
    </xf>
    <xf numFmtId="0" fontId="14" fillId="4" borderId="3" xfId="11" applyFont="1" applyFill="1" applyBorder="1" applyAlignment="1">
      <alignment horizontal="center" vertical="center"/>
    </xf>
    <xf numFmtId="0" fontId="7" fillId="4" borderId="3" xfId="11" applyFont="1" applyFill="1" applyBorder="1" applyAlignment="1">
      <alignment horizontal="left" vertical="center"/>
    </xf>
    <xf numFmtId="0" fontId="7" fillId="4" borderId="3" xfId="11" applyFont="1" applyFill="1" applyBorder="1" applyAlignment="1">
      <alignment horizontal="center" vertical="center"/>
    </xf>
    <xf numFmtId="0" fontId="0" fillId="4" borderId="3" xfId="11" applyFont="1" applyFill="1" applyBorder="1"/>
    <xf numFmtId="0" fontId="11" fillId="4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0" fillId="4" borderId="3" xfId="0" applyFill="1" applyBorder="1" applyAlignment="1">
      <alignment horizontal="left"/>
    </xf>
    <xf numFmtId="0" fontId="14" fillId="5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7" applyFont="1" applyFill="1" applyBorder="1" applyAlignment="1">
      <alignment horizontal="left" vertical="center"/>
    </xf>
    <xf numFmtId="0" fontId="7" fillId="4" borderId="3" xfId="7" applyFont="1" applyFill="1" applyBorder="1" applyAlignment="1">
      <alignment horizontal="center" vertical="center"/>
    </xf>
    <xf numFmtId="0" fontId="7" fillId="4" borderId="3" xfId="7" applyFont="1" applyFill="1" applyBorder="1" applyAlignment="1">
      <alignment horizontal="left" vertical="center"/>
    </xf>
    <xf numFmtId="0" fontId="7" fillId="4" borderId="3" xfId="7" applyFont="1" applyFill="1" applyBorder="1" applyAlignment="1">
      <alignment horizontal="centerContinuous" vertical="center"/>
    </xf>
    <xf numFmtId="9" fontId="7" fillId="4" borderId="3" xfId="0" applyNumberFormat="1" applyFont="1" applyFill="1" applyBorder="1"/>
    <xf numFmtId="0" fontId="14" fillId="4" borderId="3" xfId="7" applyFont="1" applyFill="1" applyBorder="1" applyAlignment="1">
      <alignment horizontal="center" vertical="center"/>
    </xf>
    <xf numFmtId="0" fontId="14" fillId="5" borderId="3" xfId="7" applyFont="1" applyFill="1" applyBorder="1" applyAlignment="1">
      <alignment horizontal="left" vertical="center"/>
    </xf>
    <xf numFmtId="0" fontId="7" fillId="4" borderId="3" xfId="7" applyFont="1" applyFill="1" applyBorder="1" applyAlignment="1">
      <alignment vertical="center"/>
    </xf>
    <xf numFmtId="0" fontId="0" fillId="4" borderId="3" xfId="14" applyFont="1" applyFill="1" applyBorder="1" applyAlignment="1">
      <alignment horizontal="left"/>
    </xf>
    <xf numFmtId="0" fontId="0" fillId="6" borderId="3" xfId="14" applyFont="1" applyFill="1" applyBorder="1" applyAlignment="1">
      <alignment horizontal="left"/>
    </xf>
    <xf numFmtId="0" fontId="0" fillId="5" borderId="3" xfId="14" applyFont="1" applyFill="1" applyBorder="1" applyAlignment="1">
      <alignment horizontal="left"/>
    </xf>
    <xf numFmtId="9" fontId="0" fillId="4" borderId="3" xfId="0" applyNumberFormat="1" applyFill="1" applyBorder="1" applyAlignment="1">
      <alignment horizontal="left"/>
    </xf>
    <xf numFmtId="0" fontId="0" fillId="4" borderId="3" xfId="14" applyFont="1" applyFill="1" applyBorder="1"/>
    <xf numFmtId="0" fontId="0" fillId="4" borderId="3" xfId="14" applyFont="1" applyFill="1" applyBorder="1" applyAlignment="1">
      <alignment horizontal="center"/>
    </xf>
    <xf numFmtId="0" fontId="0" fillId="6" borderId="3" xfId="14" applyFont="1" applyFill="1" applyBorder="1" applyAlignment="1">
      <alignment horizontal="center"/>
    </xf>
    <xf numFmtId="0" fontId="7" fillId="4" borderId="3" xfId="7" applyFont="1" applyFill="1" applyBorder="1"/>
    <xf numFmtId="0" fontId="18" fillId="0" borderId="0" xfId="16" applyFont="1"/>
    <xf numFmtId="0" fontId="1" fillId="7" borderId="3" xfId="16" applyFont="1" applyFill="1" applyBorder="1" applyAlignment="1">
      <alignment horizontal="center"/>
    </xf>
    <xf numFmtId="0" fontId="1" fillId="5" borderId="3" xfId="16" applyFont="1" applyFill="1" applyBorder="1" applyAlignment="1">
      <alignment horizontal="center"/>
    </xf>
    <xf numFmtId="0" fontId="1" fillId="6" borderId="3" xfId="16" applyFont="1" applyFill="1" applyBorder="1" applyAlignment="1">
      <alignment horizontal="center"/>
    </xf>
    <xf numFmtId="0" fontId="1" fillId="4" borderId="3" xfId="0" applyFont="1" applyFill="1" applyBorder="1"/>
    <xf numFmtId="0" fontId="1" fillId="5" borderId="3" xfId="16" applyFont="1" applyFill="1" applyBorder="1" applyAlignment="1">
      <alignment horizontal="right"/>
    </xf>
    <xf numFmtId="0" fontId="1" fillId="4" borderId="3" xfId="16" applyFont="1" applyFill="1" applyBorder="1"/>
    <xf numFmtId="9" fontId="1" fillId="4" borderId="3" xfId="0" applyNumberFormat="1" applyFont="1" applyFill="1" applyBorder="1"/>
    <xf numFmtId="0" fontId="1" fillId="8" borderId="3" xfId="16" applyFont="1" applyFill="1" applyBorder="1"/>
    <xf numFmtId="0" fontId="1" fillId="5" borderId="3" xfId="16" applyFont="1" applyFill="1" applyBorder="1"/>
    <xf numFmtId="0" fontId="1" fillId="9" borderId="3" xfId="16" applyFont="1" applyFill="1" applyBorder="1"/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center" wrapText="1"/>
    </xf>
    <xf numFmtId="0" fontId="14" fillId="4" borderId="3" xfId="17" applyFont="1" applyFill="1" applyBorder="1" applyAlignment="1">
      <alignment horizontal="left" vertical="center"/>
    </xf>
    <xf numFmtId="0" fontId="14" fillId="7" borderId="3" xfId="17" applyFont="1" applyFill="1" applyBorder="1" applyAlignment="1">
      <alignment horizontal="center" vertical="center"/>
    </xf>
    <xf numFmtId="0" fontId="14" fillId="4" borderId="3" xfId="17" applyFont="1" applyFill="1" applyBorder="1" applyAlignment="1">
      <alignment horizontal="center" vertical="center"/>
    </xf>
    <xf numFmtId="0" fontId="7" fillId="4" borderId="3" xfId="17" applyFont="1" applyFill="1" applyBorder="1" applyAlignment="1">
      <alignment horizontal="left" vertical="center"/>
    </xf>
    <xf numFmtId="0" fontId="7" fillId="7" borderId="3" xfId="17" applyFont="1" applyFill="1" applyBorder="1" applyAlignment="1">
      <alignment horizontal="center" vertical="center"/>
    </xf>
    <xf numFmtId="0" fontId="11" fillId="0" borderId="3" xfId="6" applyBorder="1" applyAlignment="1">
      <alignment horizontal="center" vertical="center"/>
    </xf>
    <xf numFmtId="0" fontId="11" fillId="4" borderId="3" xfId="6" applyFill="1" applyBorder="1" applyAlignment="1">
      <alignment horizontal="center" vertical="center"/>
    </xf>
    <xf numFmtId="0" fontId="11" fillId="4" borderId="3" xfId="6" applyFill="1" applyBorder="1" applyAlignment="1">
      <alignment horizontal="left"/>
    </xf>
    <xf numFmtId="0" fontId="0" fillId="4" borderId="3" xfId="8" applyFont="1" applyFill="1" applyBorder="1"/>
    <xf numFmtId="0" fontId="0" fillId="4" borderId="3" xfId="8" applyFont="1" applyFill="1" applyBorder="1" applyAlignment="1">
      <alignment horizontal="center"/>
    </xf>
    <xf numFmtId="0" fontId="0" fillId="4" borderId="3" xfId="8" applyFont="1" applyFill="1" applyBorder="1" applyAlignment="1">
      <alignment horizontal="center" vertical="center"/>
    </xf>
    <xf numFmtId="0" fontId="14" fillId="4" borderId="3" xfId="8" applyFill="1" applyBorder="1" applyAlignment="1">
      <alignment wrapText="1" readingOrder="1"/>
    </xf>
    <xf numFmtId="0" fontId="7" fillId="4" borderId="3" xfId="8" applyFont="1" applyFill="1" applyBorder="1"/>
    <xf numFmtId="0" fontId="3" fillId="4" borderId="3" xfId="8" applyFont="1" applyFill="1" applyBorder="1" applyAlignment="1">
      <alignment horizontal="center" vertical="center"/>
    </xf>
    <xf numFmtId="1" fontId="14" fillId="4" borderId="3" xfId="0" applyNumberFormat="1" applyFont="1" applyFill="1" applyBorder="1" applyAlignment="1">
      <alignment horizontal="center" vertical="center" wrapText="1"/>
    </xf>
    <xf numFmtId="9" fontId="14" fillId="4" borderId="3" xfId="1" applyFont="1" applyFill="1" applyBorder="1" applyAlignment="1">
      <alignment horizontal="center" vertical="center" wrapText="1"/>
    </xf>
    <xf numFmtId="0" fontId="1" fillId="4" borderId="3" xfId="8" applyFont="1" applyFill="1" applyBorder="1" applyAlignment="1">
      <alignment horizontal="center" vertical="center"/>
    </xf>
    <xf numFmtId="1" fontId="1" fillId="4" borderId="3" xfId="8" applyNumberFormat="1" applyFont="1" applyFill="1" applyBorder="1" applyAlignment="1">
      <alignment horizontal="center" vertical="center"/>
    </xf>
    <xf numFmtId="0" fontId="0" fillId="4" borderId="0" xfId="8" applyFont="1" applyFill="1" applyAlignment="1">
      <alignment horizontal="center"/>
    </xf>
    <xf numFmtId="1" fontId="14" fillId="4" borderId="3" xfId="0" applyNumberFormat="1" applyFont="1" applyFill="1" applyBorder="1" applyAlignment="1">
      <alignment horizontal="left" vertical="center"/>
    </xf>
    <xf numFmtId="0" fontId="7" fillId="4" borderId="3" xfId="21" applyFont="1" applyFill="1" applyBorder="1" applyAlignment="1">
      <alignment horizontal="center"/>
    </xf>
    <xf numFmtId="0" fontId="7" fillId="10" borderId="3" xfId="21" applyFont="1" applyFill="1" applyBorder="1" applyAlignment="1">
      <alignment horizontal="center"/>
    </xf>
    <xf numFmtId="0" fontId="7" fillId="11" borderId="3" xfId="21" applyFont="1" applyFill="1" applyBorder="1" applyAlignment="1">
      <alignment horizontal="center"/>
    </xf>
    <xf numFmtId="0" fontId="7" fillId="4" borderId="3" xfId="21" applyFont="1" applyFill="1" applyBorder="1"/>
    <xf numFmtId="0" fontId="7" fillId="11" borderId="3" xfId="21" applyFont="1" applyFill="1" applyBorder="1"/>
    <xf numFmtId="0" fontId="7" fillId="11" borderId="3" xfId="21" applyFont="1" applyFill="1" applyBorder="1" applyAlignment="1">
      <alignment horizontal="left"/>
    </xf>
    <xf numFmtId="0" fontId="7" fillId="10" borderId="3" xfId="21" applyFont="1" applyFill="1" applyBorder="1"/>
    <xf numFmtId="0" fontId="14" fillId="5" borderId="3" xfId="22" applyFont="1" applyFill="1" applyBorder="1" applyAlignment="1">
      <alignment horizontal="left" vertical="center"/>
    </xf>
    <xf numFmtId="0" fontId="7" fillId="4" borderId="3" xfId="22" applyFont="1" applyFill="1" applyBorder="1" applyAlignment="1">
      <alignment horizontal="center" vertical="center"/>
    </xf>
    <xf numFmtId="0" fontId="14" fillId="4" borderId="3" xfId="22" applyFont="1" applyFill="1" applyBorder="1" applyAlignment="1">
      <alignment horizontal="center" vertical="center"/>
    </xf>
    <xf numFmtId="0" fontId="7" fillId="4" borderId="3" xfId="22" applyFont="1" applyFill="1" applyBorder="1" applyAlignment="1">
      <alignment horizontal="left" vertical="center"/>
    </xf>
    <xf numFmtId="0" fontId="0" fillId="4" borderId="3" xfId="22" applyFont="1" applyFill="1" applyBorder="1"/>
    <xf numFmtId="0" fontId="0" fillId="4" borderId="3" xfId="7" applyFont="1" applyFill="1" applyBorder="1" applyAlignment="1">
      <alignment horizontal="center" vertical="center"/>
    </xf>
    <xf numFmtId="0" fontId="0" fillId="8" borderId="3" xfId="0" applyFill="1" applyBorder="1"/>
    <xf numFmtId="0" fontId="0" fillId="6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9" fontId="0" fillId="4" borderId="3" xfId="0" applyNumberFormat="1" applyFill="1" applyBorder="1" applyAlignment="1">
      <alignment horizontal="center"/>
    </xf>
    <xf numFmtId="0" fontId="24" fillId="0" borderId="3" xfId="2" applyFont="1" applyBorder="1" applyAlignment="1">
      <alignment horizontal="left"/>
    </xf>
    <xf numFmtId="0" fontId="7" fillId="0" borderId="3" xfId="2" applyFont="1" applyBorder="1" applyAlignment="1">
      <alignment horizontal="center"/>
    </xf>
    <xf numFmtId="0" fontId="24" fillId="0" borderId="3" xfId="2" applyFont="1" applyBorder="1" applyAlignment="1">
      <alignment horizontal="center"/>
    </xf>
    <xf numFmtId="0" fontId="24" fillId="4" borderId="3" xfId="2" applyFont="1" applyFill="1" applyBorder="1" applyAlignment="1">
      <alignment horizontal="center"/>
    </xf>
    <xf numFmtId="0" fontId="24" fillId="4" borderId="3" xfId="2" applyFont="1" applyFill="1" applyBorder="1" applyAlignment="1">
      <alignment horizontal="left"/>
    </xf>
    <xf numFmtId="0" fontId="7" fillId="4" borderId="3" xfId="2" applyFont="1" applyFill="1" applyBorder="1" applyAlignment="1">
      <alignment horizontal="center"/>
    </xf>
    <xf numFmtId="0" fontId="25" fillId="0" borderId="3" xfId="2" applyFont="1" applyBorder="1" applyAlignment="1">
      <alignment horizontal="left"/>
    </xf>
    <xf numFmtId="0" fontId="11" fillId="0" borderId="3" xfId="2" applyFont="1" applyBorder="1" applyAlignment="1">
      <alignment horizontal="center"/>
    </xf>
    <xf numFmtId="0" fontId="25" fillId="0" borderId="3" xfId="2" applyFont="1" applyBorder="1" applyAlignment="1">
      <alignment horizontal="center"/>
    </xf>
    <xf numFmtId="0" fontId="25" fillId="4" borderId="3" xfId="2" applyFont="1" applyFill="1" applyBorder="1" applyAlignment="1">
      <alignment horizontal="center"/>
    </xf>
    <xf numFmtId="0" fontId="1" fillId="0" borderId="3" xfId="0" applyFont="1" applyBorder="1"/>
    <xf numFmtId="9" fontId="1" fillId="0" borderId="3" xfId="0" applyNumberFormat="1" applyFont="1" applyBorder="1"/>
    <xf numFmtId="0" fontId="25" fillId="4" borderId="3" xfId="2" applyFont="1" applyFill="1" applyBorder="1" applyAlignment="1">
      <alignment horizontal="left"/>
    </xf>
    <xf numFmtId="0" fontId="11" fillId="4" borderId="3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7" fillId="0" borderId="3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left" wrapText="1"/>
    </xf>
    <xf numFmtId="9" fontId="2" fillId="0" borderId="3" xfId="0" applyNumberFormat="1" applyFont="1" applyBorder="1"/>
    <xf numFmtId="0" fontId="7" fillId="4" borderId="3" xfId="27" applyFont="1" applyFill="1" applyBorder="1" applyAlignment="1"/>
    <xf numFmtId="0" fontId="7" fillId="4" borderId="3" xfId="27" applyFont="1" applyFill="1" applyBorder="1" applyAlignment="1">
      <alignment horizontal="center" vertical="center"/>
    </xf>
    <xf numFmtId="0" fontId="14" fillId="4" borderId="3" xfId="27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9" fontId="1" fillId="4" borderId="3" xfId="0" applyNumberFormat="1" applyFont="1" applyFill="1" applyBorder="1" applyAlignment="1">
      <alignment horizontal="center"/>
    </xf>
    <xf numFmtId="0" fontId="14" fillId="4" borderId="3" xfId="16" applyFont="1" applyFill="1" applyBorder="1"/>
    <xf numFmtId="0" fontId="14" fillId="4" borderId="3" xfId="16" applyFont="1" applyFill="1" applyBorder="1" applyAlignment="1">
      <alignment horizontal="center"/>
    </xf>
    <xf numFmtId="0" fontId="14" fillId="10" borderId="3" xfId="16" applyFont="1" applyFill="1" applyBorder="1" applyAlignment="1">
      <alignment horizontal="left"/>
    </xf>
    <xf numFmtId="0" fontId="1" fillId="10" borderId="3" xfId="16" applyFont="1" applyFill="1" applyBorder="1" applyAlignment="1">
      <alignment horizontal="center"/>
    </xf>
    <xf numFmtId="0" fontId="14" fillId="10" borderId="3" xfId="16" applyFont="1" applyFill="1" applyBorder="1" applyAlignment="1">
      <alignment horizontal="center"/>
    </xf>
    <xf numFmtId="0" fontId="14" fillId="12" borderId="3" xfId="16" applyFont="1" applyFill="1" applyBorder="1"/>
    <xf numFmtId="0" fontId="1" fillId="12" borderId="3" xfId="16" applyFont="1" applyFill="1" applyBorder="1" applyAlignment="1">
      <alignment horizontal="center"/>
    </xf>
    <xf numFmtId="0" fontId="14" fillId="12" borderId="3" xfId="16" applyFont="1" applyFill="1" applyBorder="1" applyAlignment="1">
      <alignment horizontal="center"/>
    </xf>
    <xf numFmtId="9" fontId="5" fillId="3" borderId="3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9" fontId="5" fillId="3" borderId="7" xfId="1" applyFont="1" applyFill="1" applyBorder="1" applyAlignment="1">
      <alignment horizontal="center" vertical="center" wrapText="1"/>
    </xf>
    <xf numFmtId="9" fontId="5" fillId="3" borderId="8" xfId="1" applyFont="1" applyFill="1" applyBorder="1" applyAlignment="1">
      <alignment horizontal="center" vertical="center" wrapText="1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" fontId="5" fillId="3" borderId="9" xfId="0" applyNumberFormat="1" applyFont="1" applyFill="1" applyBorder="1" applyAlignment="1">
      <alignment horizontal="center" vertical="center" wrapText="1"/>
    </xf>
    <xf numFmtId="9" fontId="5" fillId="3" borderId="10" xfId="1" applyFont="1" applyFill="1" applyBorder="1" applyAlignment="1">
      <alignment horizontal="center" vertical="center" wrapText="1"/>
    </xf>
    <xf numFmtId="0" fontId="2" fillId="13" borderId="0" xfId="0" applyFont="1" applyFill="1"/>
    <xf numFmtId="1" fontId="19" fillId="4" borderId="3" xfId="0" applyNumberFormat="1" applyFont="1" applyFill="1" applyBorder="1" applyAlignment="1">
      <alignment horizontal="center" wrapText="1"/>
    </xf>
  </cellXfs>
  <cellStyles count="32">
    <cellStyle name="Comma 2" xfId="23" xr:uid="{E8F1835C-68F6-41AE-9DF3-68DEBD9B531B}"/>
    <cellStyle name="Normal" xfId="0" builtinId="0"/>
    <cellStyle name="Normal 10" xfId="14" xr:uid="{97B6957E-D01C-47FC-8C49-4AB6C5F85359}"/>
    <cellStyle name="Normal 11" xfId="16" xr:uid="{559E809D-BED9-4B8A-BC00-5B56B860ADDC}"/>
    <cellStyle name="Normal 12" xfId="17" xr:uid="{A8E60222-FE85-475B-AA92-C57C5C6E71B3}"/>
    <cellStyle name="Normal 13" xfId="21" xr:uid="{DA93ECF7-87C8-4BF5-B4CA-3DCBFCB3FEDD}"/>
    <cellStyle name="Normal 14" xfId="22" xr:uid="{ADCB5349-D6EE-4D05-8046-677E3FF4B5C3}"/>
    <cellStyle name="Normal 15" xfId="27" xr:uid="{F36371CC-FC51-4F35-BD67-906024290261}"/>
    <cellStyle name="Normal 2" xfId="2" xr:uid="{ED849538-25EA-45AE-8B38-8253CB323321}"/>
    <cellStyle name="Normal 2 2" xfId="6" xr:uid="{5170FE15-70F7-4644-B7C8-AA0637F96900}"/>
    <cellStyle name="Normal 2 3" xfId="26" xr:uid="{FFDA1350-2B37-4E60-9C64-7CF687DA17EE}"/>
    <cellStyle name="Normal 3" xfId="7" xr:uid="{0B588658-213A-447E-A8A8-B2F74F8EAA1D}"/>
    <cellStyle name="Normal 3 2" xfId="15" xr:uid="{DC82CCAA-7A75-46D7-993C-27D57F0D0B77}"/>
    <cellStyle name="Normal 4" xfId="8" xr:uid="{9CEB8688-C86B-4EEC-8A55-7D2A07FC30F2}"/>
    <cellStyle name="Normal 4 2" xfId="29" xr:uid="{ACBA26CB-0C59-4FF6-963E-8C0377268252}"/>
    <cellStyle name="Normal 5" xfId="9" xr:uid="{E9F21C9D-1328-4BB2-B0DB-758326B82943}"/>
    <cellStyle name="Normal 5 2" xfId="18" xr:uid="{EF9014D2-E1AA-40DC-A031-60004D07D7BD}"/>
    <cellStyle name="Normal 5 3" xfId="30" xr:uid="{C76E7101-726E-4C73-9365-BF1CF50D6921}"/>
    <cellStyle name="Normal 6" xfId="10" xr:uid="{2DAE881B-367C-4BA7-A87A-BCAAE4A95D30}"/>
    <cellStyle name="Normal 7" xfId="5" xr:uid="{A2321E15-94CC-4D7F-B2A3-8521D5FB7E6D}"/>
    <cellStyle name="Normal 7 2" xfId="12" xr:uid="{5E256CEB-2E76-40B2-BFD1-BEE684D6110C}"/>
    <cellStyle name="Normal 7 3" xfId="31" xr:uid="{24CD16A6-0BD1-4923-984E-E98B2EE3834B}"/>
    <cellStyle name="Normal 8" xfId="3" xr:uid="{9CFFA0CE-B292-42BD-B0AA-AE15C715C1DB}"/>
    <cellStyle name="Normal 9" xfId="11" xr:uid="{8CCC74E7-810A-4E5C-90C9-C675DA58FCC3}"/>
    <cellStyle name="Output 2" xfId="19" xr:uid="{DA9C6E83-699E-44E5-AC87-14FB02105EAE}"/>
    <cellStyle name="Percent" xfId="1" builtinId="5"/>
    <cellStyle name="Percent 2" xfId="4" xr:uid="{2017A163-1CCA-4CB6-A6B8-9860256A88B5}"/>
    <cellStyle name="Percent 2 2" xfId="25" xr:uid="{815BED34-2F87-47B2-B0A9-9EE325DD159B}"/>
    <cellStyle name="Percent 3" xfId="13" xr:uid="{2C9B3241-00A5-4F1D-94CC-87F7C47179DC}"/>
    <cellStyle name="Percent 4" xfId="20" xr:uid="{9AFF15D5-D6D4-4FB2-A462-8A7DA05D6286}"/>
    <cellStyle name="Percent 5" xfId="24" xr:uid="{2B10EA83-6668-4AEA-96EE-6B2C5C32B05D}"/>
    <cellStyle name="Percent 6" xfId="28" xr:uid="{D4CBBBC6-BF8D-4B86-A7B3-FA67565C42EC}"/>
  </cellStyles>
  <dxfs count="2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Medium2" defaultPivotStyle="PivotStyleLight16">
    <tableStyle name="TableStylePreset3_Accent1" pivot="0" count="7" xr9:uid="{FBD4BA1A-D596-4EF4-A32B-6E386158E3AB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49C9839E-CFAB-43AC-8F65-489F66DBB9A3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Data-style" pivot="0" count="2" xr9:uid="{2FD37224-63B8-44EB-B58A-152228D06EB2}">
      <tableStyleElement type="firstRowStripe" dxfId="4"/>
      <tableStyleElement type="secondRowStripe" dxfId="3"/>
    </tableStyle>
    <tableStyle name="TASIKMALAYA-style" pivot="0" count="3" xr9:uid="{BE6CF2EF-D32A-4FAB-853E-56729BD89F9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AD5A-7196-41DD-A95E-B4461ED9E467}">
  <dimension ref="C4:I53"/>
  <sheetViews>
    <sheetView topLeftCell="A4" workbookViewId="0">
      <selection activeCell="D6" sqref="D6"/>
    </sheetView>
  </sheetViews>
  <sheetFormatPr defaultRowHeight="14.5" x14ac:dyDescent="0.35"/>
  <cols>
    <col min="4" max="4" width="23.81640625" customWidth="1"/>
    <col min="6" max="6" width="7.90625" customWidth="1"/>
    <col min="8" max="8" width="12.81640625" customWidth="1"/>
    <col min="9" max="9" width="8.7265625" style="10"/>
  </cols>
  <sheetData>
    <row r="4" spans="3:9" x14ac:dyDescent="0.35">
      <c r="C4" s="133" t="s">
        <v>0</v>
      </c>
      <c r="D4" s="133" t="s">
        <v>1</v>
      </c>
      <c r="E4" s="133" t="s">
        <v>2</v>
      </c>
      <c r="F4" s="135" t="s">
        <v>3</v>
      </c>
      <c r="G4" s="135" t="s">
        <v>4</v>
      </c>
      <c r="H4" s="135" t="s">
        <v>5</v>
      </c>
      <c r="I4" s="132" t="s">
        <v>6</v>
      </c>
    </row>
    <row r="5" spans="3:9" x14ac:dyDescent="0.35">
      <c r="C5" s="134"/>
      <c r="D5" s="134"/>
      <c r="E5" s="134"/>
      <c r="F5" s="136"/>
      <c r="G5" s="136"/>
      <c r="H5" s="136"/>
      <c r="I5" s="132"/>
    </row>
    <row r="6" spans="3:9" x14ac:dyDescent="0.35">
      <c r="C6" s="1">
        <v>1</v>
      </c>
      <c r="D6" s="2" t="s">
        <v>7</v>
      </c>
      <c r="E6" s="3" t="s">
        <v>8</v>
      </c>
      <c r="F6" s="8">
        <v>640</v>
      </c>
      <c r="G6" s="8">
        <v>370</v>
      </c>
      <c r="H6" s="8">
        <f>G6-F6</f>
        <v>-270</v>
      </c>
      <c r="I6" s="14">
        <f>G6/F6*100%</f>
        <v>0.578125</v>
      </c>
    </row>
    <row r="7" spans="3:9" x14ac:dyDescent="0.35">
      <c r="C7" s="1">
        <v>2</v>
      </c>
      <c r="D7" s="2" t="s">
        <v>9</v>
      </c>
      <c r="E7" s="3" t="s">
        <v>8</v>
      </c>
      <c r="F7" s="8">
        <v>570</v>
      </c>
      <c r="G7" s="8">
        <v>315</v>
      </c>
      <c r="H7" s="8">
        <f t="shared" ref="H7:H53" si="0">G7-F7</f>
        <v>-255</v>
      </c>
      <c r="I7" s="14">
        <f t="shared" ref="I7:I52" si="1">G7/F7*100%</f>
        <v>0.55263157894736847</v>
      </c>
    </row>
    <row r="8" spans="3:9" x14ac:dyDescent="0.35">
      <c r="C8" s="1">
        <v>3</v>
      </c>
      <c r="D8" s="2" t="s">
        <v>10</v>
      </c>
      <c r="E8" s="3" t="s">
        <v>8</v>
      </c>
      <c r="F8" s="8">
        <v>25</v>
      </c>
      <c r="G8" s="8">
        <v>0</v>
      </c>
      <c r="H8" s="8">
        <f t="shared" si="0"/>
        <v>-25</v>
      </c>
      <c r="I8" s="14">
        <f t="shared" si="1"/>
        <v>0</v>
      </c>
    </row>
    <row r="9" spans="3:9" x14ac:dyDescent="0.35">
      <c r="C9" s="1">
        <v>4</v>
      </c>
      <c r="D9" s="2" t="s">
        <v>11</v>
      </c>
      <c r="E9" s="3" t="s">
        <v>8</v>
      </c>
      <c r="F9" s="8">
        <v>380</v>
      </c>
      <c r="G9" s="8">
        <v>247</v>
      </c>
      <c r="H9" s="8">
        <f t="shared" si="0"/>
        <v>-133</v>
      </c>
      <c r="I9" s="14">
        <f t="shared" si="1"/>
        <v>0.65</v>
      </c>
    </row>
    <row r="10" spans="3:9" x14ac:dyDescent="0.35">
      <c r="C10" s="1">
        <v>5</v>
      </c>
      <c r="D10" s="2" t="s">
        <v>12</v>
      </c>
      <c r="E10" s="3" t="s">
        <v>8</v>
      </c>
      <c r="F10" s="8">
        <v>230</v>
      </c>
      <c r="G10" s="8">
        <v>102</v>
      </c>
      <c r="H10" s="8">
        <f t="shared" si="0"/>
        <v>-128</v>
      </c>
      <c r="I10" s="14">
        <f t="shared" si="1"/>
        <v>0.44347826086956521</v>
      </c>
    </row>
    <row r="11" spans="3:9" x14ac:dyDescent="0.35">
      <c r="C11" s="1">
        <v>6</v>
      </c>
      <c r="D11" s="2" t="s">
        <v>13</v>
      </c>
      <c r="E11" s="3" t="s">
        <v>8</v>
      </c>
      <c r="F11" s="8">
        <v>230</v>
      </c>
      <c r="G11" s="8">
        <v>100</v>
      </c>
      <c r="H11" s="8">
        <f t="shared" si="0"/>
        <v>-130</v>
      </c>
      <c r="I11" s="14">
        <f t="shared" si="1"/>
        <v>0.43478260869565216</v>
      </c>
    </row>
    <row r="12" spans="3:9" x14ac:dyDescent="0.35">
      <c r="C12" s="1">
        <v>7</v>
      </c>
      <c r="D12" s="4" t="s">
        <v>14</v>
      </c>
      <c r="E12" s="5" t="s">
        <v>8</v>
      </c>
      <c r="F12" s="8">
        <v>190</v>
      </c>
      <c r="G12" s="8">
        <v>143</v>
      </c>
      <c r="H12" s="8">
        <f t="shared" si="0"/>
        <v>-47</v>
      </c>
      <c r="I12" s="14">
        <f t="shared" si="1"/>
        <v>0.75263157894736843</v>
      </c>
    </row>
    <row r="13" spans="3:9" x14ac:dyDescent="0.35">
      <c r="C13" s="1">
        <v>8</v>
      </c>
      <c r="D13" s="4" t="s">
        <v>15</v>
      </c>
      <c r="E13" s="5" t="s">
        <v>8</v>
      </c>
      <c r="F13" s="8">
        <v>150</v>
      </c>
      <c r="G13" s="8">
        <v>152</v>
      </c>
      <c r="H13" s="8">
        <f t="shared" si="0"/>
        <v>2</v>
      </c>
      <c r="I13" s="14">
        <f t="shared" si="1"/>
        <v>1.0133333333333334</v>
      </c>
    </row>
    <row r="14" spans="3:9" x14ac:dyDescent="0.35">
      <c r="C14" s="1">
        <v>9</v>
      </c>
      <c r="D14" s="4" t="s">
        <v>16</v>
      </c>
      <c r="E14" s="5" t="s">
        <v>8</v>
      </c>
      <c r="F14" s="8">
        <v>150</v>
      </c>
      <c r="G14" s="8">
        <v>78</v>
      </c>
      <c r="H14" s="8">
        <f t="shared" si="0"/>
        <v>-72</v>
      </c>
      <c r="I14" s="14">
        <f t="shared" si="1"/>
        <v>0.52</v>
      </c>
    </row>
    <row r="15" spans="3:9" x14ac:dyDescent="0.35">
      <c r="C15" s="1">
        <v>10</v>
      </c>
      <c r="D15" s="4" t="s">
        <v>17</v>
      </c>
      <c r="E15" s="5" t="s">
        <v>8</v>
      </c>
      <c r="F15" s="8">
        <v>190</v>
      </c>
      <c r="G15" s="8">
        <v>21</v>
      </c>
      <c r="H15" s="8">
        <f t="shared" si="0"/>
        <v>-169</v>
      </c>
      <c r="I15" s="14">
        <f t="shared" si="1"/>
        <v>0.11052631578947368</v>
      </c>
    </row>
    <row r="16" spans="3:9" x14ac:dyDescent="0.35">
      <c r="C16" s="1">
        <v>11</v>
      </c>
      <c r="D16" s="4" t="s">
        <v>18</v>
      </c>
      <c r="E16" s="5" t="s">
        <v>8</v>
      </c>
      <c r="F16" s="8">
        <v>190</v>
      </c>
      <c r="G16" s="8">
        <v>156</v>
      </c>
      <c r="H16" s="8">
        <f t="shared" si="0"/>
        <v>-34</v>
      </c>
      <c r="I16" s="14">
        <f t="shared" si="1"/>
        <v>0.82105263157894737</v>
      </c>
    </row>
    <row r="17" spans="3:9" x14ac:dyDescent="0.35">
      <c r="C17" s="1">
        <v>12</v>
      </c>
      <c r="D17" s="4" t="s">
        <v>19</v>
      </c>
      <c r="E17" s="5" t="s">
        <v>8</v>
      </c>
      <c r="F17" s="8">
        <v>340</v>
      </c>
      <c r="G17" s="8">
        <v>201</v>
      </c>
      <c r="H17" s="8">
        <f t="shared" si="0"/>
        <v>-139</v>
      </c>
      <c r="I17" s="14">
        <f t="shared" si="1"/>
        <v>0.5911764705882353</v>
      </c>
    </row>
    <row r="18" spans="3:9" x14ac:dyDescent="0.35">
      <c r="C18" s="1">
        <v>13</v>
      </c>
      <c r="D18" s="4" t="s">
        <v>20</v>
      </c>
      <c r="E18" s="5" t="s">
        <v>8</v>
      </c>
      <c r="F18" s="8">
        <v>150</v>
      </c>
      <c r="G18" s="8">
        <v>100</v>
      </c>
      <c r="H18" s="8">
        <f t="shared" si="0"/>
        <v>-50</v>
      </c>
      <c r="I18" s="14">
        <f t="shared" si="1"/>
        <v>0.66666666666666663</v>
      </c>
    </row>
    <row r="19" spans="3:9" x14ac:dyDescent="0.35">
      <c r="C19" s="1">
        <v>14</v>
      </c>
      <c r="D19" s="6" t="s">
        <v>21</v>
      </c>
      <c r="E19" s="3" t="s">
        <v>8</v>
      </c>
      <c r="F19" s="8">
        <v>150</v>
      </c>
      <c r="G19" s="8">
        <v>103</v>
      </c>
      <c r="H19" s="8">
        <f t="shared" si="0"/>
        <v>-47</v>
      </c>
      <c r="I19" s="14">
        <f t="shared" si="1"/>
        <v>0.68666666666666665</v>
      </c>
    </row>
    <row r="20" spans="3:9" x14ac:dyDescent="0.35">
      <c r="C20" s="1">
        <v>15</v>
      </c>
      <c r="D20" s="6" t="s">
        <v>22</v>
      </c>
      <c r="E20" s="3" t="s">
        <v>8</v>
      </c>
      <c r="F20" s="8">
        <v>530</v>
      </c>
      <c r="G20" s="8">
        <v>454</v>
      </c>
      <c r="H20" s="8">
        <f t="shared" si="0"/>
        <v>-76</v>
      </c>
      <c r="I20" s="14">
        <f t="shared" si="1"/>
        <v>0.85660377358490569</v>
      </c>
    </row>
    <row r="21" spans="3:9" x14ac:dyDescent="0.35">
      <c r="C21" s="1">
        <v>16</v>
      </c>
      <c r="D21" s="6" t="s">
        <v>23</v>
      </c>
      <c r="E21" s="3" t="s">
        <v>8</v>
      </c>
      <c r="F21" s="8">
        <v>380</v>
      </c>
      <c r="G21" s="8">
        <v>231</v>
      </c>
      <c r="H21" s="8">
        <f t="shared" si="0"/>
        <v>-149</v>
      </c>
      <c r="I21" s="14">
        <f t="shared" si="1"/>
        <v>0.60789473684210527</v>
      </c>
    </row>
    <row r="22" spans="3:9" x14ac:dyDescent="0.35">
      <c r="C22" s="1">
        <v>17</v>
      </c>
      <c r="D22" s="6" t="s">
        <v>24</v>
      </c>
      <c r="E22" s="3" t="s">
        <v>8</v>
      </c>
      <c r="F22" s="8">
        <v>150</v>
      </c>
      <c r="G22" s="8">
        <v>82</v>
      </c>
      <c r="H22" s="8">
        <f t="shared" si="0"/>
        <v>-68</v>
      </c>
      <c r="I22" s="14">
        <f t="shared" si="1"/>
        <v>0.54666666666666663</v>
      </c>
    </row>
    <row r="23" spans="3:9" x14ac:dyDescent="0.35">
      <c r="C23" s="1">
        <v>18</v>
      </c>
      <c r="D23" s="6" t="s">
        <v>25</v>
      </c>
      <c r="E23" s="3" t="s">
        <v>8</v>
      </c>
      <c r="F23" s="8">
        <v>150</v>
      </c>
      <c r="G23" s="8">
        <v>26</v>
      </c>
      <c r="H23" s="8">
        <f t="shared" si="0"/>
        <v>-124</v>
      </c>
      <c r="I23" s="14">
        <f t="shared" si="1"/>
        <v>0.17333333333333334</v>
      </c>
    </row>
    <row r="24" spans="3:9" x14ac:dyDescent="0.35">
      <c r="C24" s="1">
        <v>19</v>
      </c>
      <c r="D24" s="6" t="s">
        <v>26</v>
      </c>
      <c r="E24" s="3" t="s">
        <v>8</v>
      </c>
      <c r="F24" s="8">
        <v>150</v>
      </c>
      <c r="G24" s="8">
        <v>56</v>
      </c>
      <c r="H24" s="8">
        <f t="shared" si="0"/>
        <v>-94</v>
      </c>
      <c r="I24" s="14">
        <f t="shared" si="1"/>
        <v>0.37333333333333335</v>
      </c>
    </row>
    <row r="25" spans="3:9" x14ac:dyDescent="0.35">
      <c r="C25" s="1">
        <v>20</v>
      </c>
      <c r="D25" s="6" t="s">
        <v>27</v>
      </c>
      <c r="E25" s="3" t="s">
        <v>8</v>
      </c>
      <c r="F25" s="8">
        <v>490</v>
      </c>
      <c r="G25" s="8">
        <v>471</v>
      </c>
      <c r="H25" s="8">
        <f t="shared" si="0"/>
        <v>-19</v>
      </c>
      <c r="I25" s="14">
        <f t="shared" si="1"/>
        <v>0.96122448979591835</v>
      </c>
    </row>
    <row r="26" spans="3:9" x14ac:dyDescent="0.35">
      <c r="C26" s="1">
        <v>21</v>
      </c>
      <c r="D26" s="6" t="s">
        <v>28</v>
      </c>
      <c r="E26" s="3" t="s">
        <v>8</v>
      </c>
      <c r="F26" s="8">
        <v>150</v>
      </c>
      <c r="G26" s="8">
        <v>126</v>
      </c>
      <c r="H26" s="8">
        <f t="shared" si="0"/>
        <v>-24</v>
      </c>
      <c r="I26" s="14">
        <f t="shared" si="1"/>
        <v>0.84</v>
      </c>
    </row>
    <row r="27" spans="3:9" x14ac:dyDescent="0.35">
      <c r="C27" s="1">
        <v>22</v>
      </c>
      <c r="D27" s="6" t="s">
        <v>29</v>
      </c>
      <c r="E27" s="3" t="s">
        <v>8</v>
      </c>
      <c r="F27" s="8">
        <v>300</v>
      </c>
      <c r="G27" s="8">
        <v>250</v>
      </c>
      <c r="H27" s="8">
        <f t="shared" si="0"/>
        <v>-50</v>
      </c>
      <c r="I27" s="14">
        <f t="shared" si="1"/>
        <v>0.83333333333333337</v>
      </c>
    </row>
    <row r="28" spans="3:9" x14ac:dyDescent="0.35">
      <c r="C28" s="1">
        <v>23</v>
      </c>
      <c r="D28" s="6" t="s">
        <v>30</v>
      </c>
      <c r="E28" s="3" t="s">
        <v>8</v>
      </c>
      <c r="F28" s="8">
        <v>190</v>
      </c>
      <c r="G28" s="8">
        <v>160</v>
      </c>
      <c r="H28" s="8">
        <f t="shared" si="0"/>
        <v>-30</v>
      </c>
      <c r="I28" s="14">
        <f t="shared" si="1"/>
        <v>0.84210526315789469</v>
      </c>
    </row>
    <row r="29" spans="3:9" x14ac:dyDescent="0.35">
      <c r="C29" s="1">
        <v>24</v>
      </c>
      <c r="D29" s="6" t="s">
        <v>31</v>
      </c>
      <c r="E29" s="3" t="s">
        <v>8</v>
      </c>
      <c r="F29" s="8">
        <v>190</v>
      </c>
      <c r="G29" s="8">
        <v>237</v>
      </c>
      <c r="H29" s="8">
        <f t="shared" si="0"/>
        <v>47</v>
      </c>
      <c r="I29" s="14">
        <f t="shared" si="1"/>
        <v>1.2473684210526317</v>
      </c>
    </row>
    <row r="30" spans="3:9" x14ac:dyDescent="0.35">
      <c r="C30" s="1">
        <v>25</v>
      </c>
      <c r="D30" s="6" t="s">
        <v>32</v>
      </c>
      <c r="E30" s="3" t="s">
        <v>8</v>
      </c>
      <c r="F30" s="8">
        <v>490</v>
      </c>
      <c r="G30" s="8">
        <v>434</v>
      </c>
      <c r="H30" s="8">
        <f t="shared" si="0"/>
        <v>-56</v>
      </c>
      <c r="I30" s="14">
        <f t="shared" si="1"/>
        <v>0.88571428571428568</v>
      </c>
    </row>
    <row r="31" spans="3:9" x14ac:dyDescent="0.35">
      <c r="C31" s="1">
        <v>26</v>
      </c>
      <c r="D31" s="6" t="s">
        <v>33</v>
      </c>
      <c r="E31" s="3" t="s">
        <v>8</v>
      </c>
      <c r="F31" s="8">
        <v>490</v>
      </c>
      <c r="G31" s="8">
        <v>371</v>
      </c>
      <c r="H31" s="8">
        <f t="shared" si="0"/>
        <v>-119</v>
      </c>
      <c r="I31" s="14">
        <f t="shared" si="1"/>
        <v>0.75714285714285712</v>
      </c>
    </row>
    <row r="32" spans="3:9" x14ac:dyDescent="0.35">
      <c r="C32" s="1">
        <v>27</v>
      </c>
      <c r="D32" s="6" t="s">
        <v>34</v>
      </c>
      <c r="E32" s="3" t="s">
        <v>8</v>
      </c>
      <c r="F32" s="8">
        <v>1360</v>
      </c>
      <c r="G32" s="8">
        <v>1346</v>
      </c>
      <c r="H32" s="8">
        <f t="shared" si="0"/>
        <v>-14</v>
      </c>
      <c r="I32" s="14">
        <f t="shared" si="1"/>
        <v>0.98970588235294121</v>
      </c>
    </row>
    <row r="33" spans="3:9" x14ac:dyDescent="0.35">
      <c r="C33" s="1">
        <v>28</v>
      </c>
      <c r="D33" s="6" t="s">
        <v>35</v>
      </c>
      <c r="E33" s="3" t="s">
        <v>8</v>
      </c>
      <c r="F33" s="8">
        <v>100</v>
      </c>
      <c r="G33" s="8">
        <v>50</v>
      </c>
      <c r="H33" s="8">
        <f t="shared" si="0"/>
        <v>-50</v>
      </c>
      <c r="I33" s="14">
        <f t="shared" si="1"/>
        <v>0.5</v>
      </c>
    </row>
    <row r="34" spans="3:9" x14ac:dyDescent="0.35">
      <c r="C34" s="1">
        <v>29</v>
      </c>
      <c r="D34" s="6" t="s">
        <v>36</v>
      </c>
      <c r="E34" s="3" t="s">
        <v>8</v>
      </c>
      <c r="F34" s="8">
        <v>340</v>
      </c>
      <c r="G34" s="8">
        <v>312</v>
      </c>
      <c r="H34" s="8">
        <f t="shared" si="0"/>
        <v>-28</v>
      </c>
      <c r="I34" s="14">
        <f t="shared" si="1"/>
        <v>0.91764705882352937</v>
      </c>
    </row>
    <row r="35" spans="3:9" x14ac:dyDescent="0.35">
      <c r="C35" s="1">
        <v>30</v>
      </c>
      <c r="D35" s="6" t="s">
        <v>37</v>
      </c>
      <c r="E35" s="3" t="s">
        <v>8</v>
      </c>
      <c r="F35" s="8">
        <v>300</v>
      </c>
      <c r="G35" s="8">
        <v>175</v>
      </c>
      <c r="H35" s="8">
        <f t="shared" si="0"/>
        <v>-125</v>
      </c>
      <c r="I35" s="14">
        <f t="shared" si="1"/>
        <v>0.58333333333333337</v>
      </c>
    </row>
    <row r="36" spans="3:9" x14ac:dyDescent="0.35">
      <c r="C36" s="1">
        <v>31</v>
      </c>
      <c r="D36" s="6" t="s">
        <v>38</v>
      </c>
      <c r="E36" s="3" t="s">
        <v>8</v>
      </c>
      <c r="F36" s="8">
        <v>640</v>
      </c>
      <c r="G36" s="8">
        <v>283</v>
      </c>
      <c r="H36" s="8">
        <f t="shared" si="0"/>
        <v>-357</v>
      </c>
      <c r="I36" s="14">
        <f t="shared" si="1"/>
        <v>0.44218750000000001</v>
      </c>
    </row>
    <row r="37" spans="3:9" x14ac:dyDescent="0.35">
      <c r="C37" s="1">
        <v>32</v>
      </c>
      <c r="D37" s="6" t="s">
        <v>39</v>
      </c>
      <c r="E37" s="3" t="s">
        <v>8</v>
      </c>
      <c r="F37" s="8">
        <v>150</v>
      </c>
      <c r="G37" s="8">
        <v>58</v>
      </c>
      <c r="H37" s="8">
        <f t="shared" si="0"/>
        <v>-92</v>
      </c>
      <c r="I37" s="14">
        <f t="shared" si="1"/>
        <v>0.38666666666666666</v>
      </c>
    </row>
    <row r="38" spans="3:9" x14ac:dyDescent="0.35">
      <c r="C38" s="1">
        <v>33</v>
      </c>
      <c r="D38" s="6" t="s">
        <v>40</v>
      </c>
      <c r="E38" s="3" t="s">
        <v>8</v>
      </c>
      <c r="F38" s="8">
        <v>570</v>
      </c>
      <c r="G38" s="8">
        <v>269</v>
      </c>
      <c r="H38" s="8">
        <f t="shared" si="0"/>
        <v>-301</v>
      </c>
      <c r="I38" s="14">
        <f t="shared" si="1"/>
        <v>0.47192982456140353</v>
      </c>
    </row>
    <row r="39" spans="3:9" x14ac:dyDescent="0.35">
      <c r="C39" s="1">
        <v>34</v>
      </c>
      <c r="D39" s="6" t="s">
        <v>41</v>
      </c>
      <c r="E39" s="3" t="s">
        <v>8</v>
      </c>
      <c r="F39" s="8">
        <v>230</v>
      </c>
      <c r="G39" s="8">
        <v>80</v>
      </c>
      <c r="H39" s="8">
        <f t="shared" si="0"/>
        <v>-150</v>
      </c>
      <c r="I39" s="14">
        <f t="shared" si="1"/>
        <v>0.34782608695652173</v>
      </c>
    </row>
    <row r="40" spans="3:9" x14ac:dyDescent="0.35">
      <c r="C40" s="1">
        <v>35</v>
      </c>
      <c r="D40" s="6" t="s">
        <v>42</v>
      </c>
      <c r="E40" s="3" t="s">
        <v>8</v>
      </c>
      <c r="F40" s="8">
        <v>225</v>
      </c>
      <c r="G40" s="8">
        <v>87</v>
      </c>
      <c r="H40" s="8">
        <f t="shared" si="0"/>
        <v>-138</v>
      </c>
      <c r="I40" s="14">
        <f t="shared" si="1"/>
        <v>0.38666666666666666</v>
      </c>
    </row>
    <row r="41" spans="3:9" x14ac:dyDescent="0.35">
      <c r="C41" s="1">
        <v>36</v>
      </c>
      <c r="D41" s="6" t="s">
        <v>43</v>
      </c>
      <c r="E41" s="3" t="s">
        <v>8</v>
      </c>
      <c r="F41" s="8">
        <v>340</v>
      </c>
      <c r="G41" s="8">
        <v>241</v>
      </c>
      <c r="H41" s="8">
        <f t="shared" si="0"/>
        <v>-99</v>
      </c>
      <c r="I41" s="14">
        <f t="shared" si="1"/>
        <v>0.70882352941176474</v>
      </c>
    </row>
    <row r="42" spans="3:9" x14ac:dyDescent="0.35">
      <c r="C42" s="1">
        <v>37</v>
      </c>
      <c r="D42" s="6" t="s">
        <v>44</v>
      </c>
      <c r="E42" s="3" t="s">
        <v>8</v>
      </c>
      <c r="F42" s="8">
        <v>240</v>
      </c>
      <c r="G42" s="8">
        <v>206</v>
      </c>
      <c r="H42" s="8">
        <f t="shared" si="0"/>
        <v>-34</v>
      </c>
      <c r="I42" s="14">
        <f t="shared" si="1"/>
        <v>0.85833333333333328</v>
      </c>
    </row>
    <row r="43" spans="3:9" x14ac:dyDescent="0.35">
      <c r="C43" s="1">
        <v>38</v>
      </c>
      <c r="D43" s="6" t="s">
        <v>45</v>
      </c>
      <c r="E43" s="3" t="s">
        <v>8</v>
      </c>
      <c r="F43" s="8">
        <v>420</v>
      </c>
      <c r="G43" s="8">
        <v>147</v>
      </c>
      <c r="H43" s="8">
        <f t="shared" si="0"/>
        <v>-273</v>
      </c>
      <c r="I43" s="14">
        <f t="shared" si="1"/>
        <v>0.35</v>
      </c>
    </row>
    <row r="44" spans="3:9" x14ac:dyDescent="0.35">
      <c r="C44" s="1">
        <v>39</v>
      </c>
      <c r="D44" s="6" t="s">
        <v>46</v>
      </c>
      <c r="E44" s="3" t="s">
        <v>8</v>
      </c>
      <c r="F44" s="8">
        <v>150</v>
      </c>
      <c r="G44" s="8">
        <v>16</v>
      </c>
      <c r="H44" s="8">
        <f t="shared" si="0"/>
        <v>-134</v>
      </c>
      <c r="I44" s="14">
        <f t="shared" si="1"/>
        <v>0.10666666666666667</v>
      </c>
    </row>
    <row r="45" spans="3:9" x14ac:dyDescent="0.35">
      <c r="C45" s="1">
        <v>40</v>
      </c>
      <c r="D45" s="6" t="s">
        <v>47</v>
      </c>
      <c r="E45" s="3" t="s">
        <v>8</v>
      </c>
      <c r="F45" s="8">
        <v>150</v>
      </c>
      <c r="G45" s="8">
        <v>16</v>
      </c>
      <c r="H45" s="8">
        <f t="shared" si="0"/>
        <v>-134</v>
      </c>
      <c r="I45" s="14">
        <f t="shared" si="1"/>
        <v>0.10666666666666667</v>
      </c>
    </row>
    <row r="46" spans="3:9" x14ac:dyDescent="0.35">
      <c r="C46" s="1">
        <v>41</v>
      </c>
      <c r="D46" s="6" t="s">
        <v>48</v>
      </c>
      <c r="E46" s="3" t="s">
        <v>8</v>
      </c>
      <c r="F46" s="8">
        <v>640</v>
      </c>
      <c r="G46" s="8">
        <v>426</v>
      </c>
      <c r="H46" s="8">
        <f t="shared" si="0"/>
        <v>-214</v>
      </c>
      <c r="I46" s="14">
        <f t="shared" si="1"/>
        <v>0.66562500000000002</v>
      </c>
    </row>
    <row r="47" spans="3:9" x14ac:dyDescent="0.35">
      <c r="C47" s="1">
        <v>42</v>
      </c>
      <c r="D47" s="7" t="s">
        <v>49</v>
      </c>
      <c r="E47" s="3" t="s">
        <v>8</v>
      </c>
      <c r="F47" s="8">
        <v>150</v>
      </c>
      <c r="G47" s="8">
        <v>42</v>
      </c>
      <c r="H47" s="8">
        <f t="shared" si="0"/>
        <v>-108</v>
      </c>
      <c r="I47" s="14">
        <f t="shared" si="1"/>
        <v>0.28000000000000003</v>
      </c>
    </row>
    <row r="48" spans="3:9" x14ac:dyDescent="0.35">
      <c r="C48" s="1">
        <v>43</v>
      </c>
      <c r="D48" s="7" t="s">
        <v>50</v>
      </c>
      <c r="E48" s="3" t="s">
        <v>8</v>
      </c>
      <c r="F48" s="8">
        <v>530</v>
      </c>
      <c r="G48" s="8">
        <v>230</v>
      </c>
      <c r="H48" s="8">
        <f t="shared" si="0"/>
        <v>-300</v>
      </c>
      <c r="I48" s="14">
        <f t="shared" si="1"/>
        <v>0.43396226415094341</v>
      </c>
    </row>
    <row r="49" spans="3:9" x14ac:dyDescent="0.35">
      <c r="C49" s="1">
        <v>44</v>
      </c>
      <c r="D49" s="7" t="s">
        <v>51</v>
      </c>
      <c r="E49" s="3" t="s">
        <v>8</v>
      </c>
      <c r="F49" s="8">
        <v>300</v>
      </c>
      <c r="G49" s="8">
        <v>157</v>
      </c>
      <c r="H49" s="8">
        <f t="shared" si="0"/>
        <v>-143</v>
      </c>
      <c r="I49" s="14">
        <f t="shared" si="1"/>
        <v>0.52333333333333332</v>
      </c>
    </row>
    <row r="50" spans="3:9" x14ac:dyDescent="0.35">
      <c r="C50" s="1">
        <v>45</v>
      </c>
      <c r="D50" s="7" t="s">
        <v>52</v>
      </c>
      <c r="E50" s="3" t="s">
        <v>8</v>
      </c>
      <c r="F50" s="8">
        <v>450</v>
      </c>
      <c r="G50" s="8">
        <v>218</v>
      </c>
      <c r="H50" s="8">
        <f t="shared" si="0"/>
        <v>-232</v>
      </c>
      <c r="I50" s="14">
        <f t="shared" si="1"/>
        <v>0.48444444444444446</v>
      </c>
    </row>
    <row r="51" spans="3:9" x14ac:dyDescent="0.35">
      <c r="C51" s="1">
        <v>46</v>
      </c>
      <c r="D51" s="7" t="s">
        <v>53</v>
      </c>
      <c r="E51" s="3" t="s">
        <v>8</v>
      </c>
      <c r="F51" s="8">
        <v>300</v>
      </c>
      <c r="G51" s="8">
        <v>282</v>
      </c>
      <c r="H51" s="8">
        <f t="shared" si="0"/>
        <v>-18</v>
      </c>
      <c r="I51" s="14">
        <f t="shared" si="1"/>
        <v>0.94</v>
      </c>
    </row>
    <row r="52" spans="3:9" x14ac:dyDescent="0.35">
      <c r="C52" s="1">
        <v>47</v>
      </c>
      <c r="D52" s="7" t="s">
        <v>54</v>
      </c>
      <c r="E52" s="3" t="s">
        <v>8</v>
      </c>
      <c r="F52" s="8">
        <v>190</v>
      </c>
      <c r="G52" s="8">
        <v>20</v>
      </c>
      <c r="H52" s="8">
        <f t="shared" si="0"/>
        <v>-170</v>
      </c>
      <c r="I52" s="14">
        <f t="shared" si="1"/>
        <v>0.10526315789473684</v>
      </c>
    </row>
    <row r="53" spans="3:9" ht="15.5" x14ac:dyDescent="0.35">
      <c r="C53" s="8"/>
      <c r="D53" s="9" t="s">
        <v>55</v>
      </c>
      <c r="E53" s="9"/>
      <c r="F53" s="13">
        <f>SUM(F6:F52)</f>
        <v>15020</v>
      </c>
      <c r="G53" s="13">
        <f>SUM(G6:G52)</f>
        <v>9647</v>
      </c>
      <c r="H53" s="13">
        <f t="shared" si="0"/>
        <v>-5373</v>
      </c>
      <c r="I53" s="118">
        <f>G53/F53*100%</f>
        <v>0.64227696404793611</v>
      </c>
    </row>
  </sheetData>
  <mergeCells count="7">
    <mergeCell ref="I4:I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9765-30B5-4D75-AB6D-537389BBDEE2}">
  <dimension ref="A1:D4"/>
  <sheetViews>
    <sheetView workbookViewId="0">
      <selection activeCell="G4" sqref="G4"/>
    </sheetView>
  </sheetViews>
  <sheetFormatPr defaultRowHeight="14.5" x14ac:dyDescent="0.35"/>
  <cols>
    <col min="1" max="1" width="4.36328125" customWidth="1"/>
    <col min="2" max="2" width="30.08984375" customWidth="1"/>
    <col min="3" max="3" width="13.7265625" customWidth="1"/>
    <col min="4" max="4" width="18.7265625" customWidth="1"/>
  </cols>
  <sheetData>
    <row r="1" spans="1:4" x14ac:dyDescent="0.35">
      <c r="A1" s="116" t="s">
        <v>611</v>
      </c>
      <c r="B1" s="116" t="s">
        <v>612</v>
      </c>
      <c r="C1" s="116" t="s">
        <v>307</v>
      </c>
      <c r="D1" s="116" t="s">
        <v>613</v>
      </c>
    </row>
    <row r="2" spans="1:4" x14ac:dyDescent="0.35">
      <c r="A2" s="1">
        <v>1</v>
      </c>
      <c r="B2" s="13" t="s">
        <v>150</v>
      </c>
      <c r="C2" s="1">
        <v>92</v>
      </c>
      <c r="D2" s="1" t="s">
        <v>615</v>
      </c>
    </row>
    <row r="3" spans="1:4" x14ac:dyDescent="0.35">
      <c r="A3" s="1">
        <v>2</v>
      </c>
      <c r="B3" s="13" t="s">
        <v>114</v>
      </c>
      <c r="C3" s="1">
        <v>91</v>
      </c>
      <c r="D3" s="1" t="s">
        <v>614</v>
      </c>
    </row>
    <row r="4" spans="1:4" x14ac:dyDescent="0.35">
      <c r="A4" s="1">
        <v>3</v>
      </c>
      <c r="B4" s="13" t="s">
        <v>616</v>
      </c>
      <c r="C4" s="1">
        <v>84</v>
      </c>
      <c r="D4" s="1" t="s">
        <v>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37E2-418F-4CDA-813B-AAF5322EEA69}">
  <dimension ref="A1:G67"/>
  <sheetViews>
    <sheetView workbookViewId="0">
      <selection activeCell="D2" sqref="D2"/>
    </sheetView>
  </sheetViews>
  <sheetFormatPr defaultRowHeight="14.5" x14ac:dyDescent="0.35"/>
  <cols>
    <col min="1" max="1" width="4.54296875" customWidth="1"/>
    <col min="2" max="2" width="29.089843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672</v>
      </c>
    </row>
    <row r="4" spans="1:7" x14ac:dyDescent="0.35">
      <c r="A4" t="s">
        <v>56</v>
      </c>
      <c r="B4" t="s">
        <v>57</v>
      </c>
    </row>
    <row r="5" spans="1:7" x14ac:dyDescent="0.35">
      <c r="A5" s="137" t="s">
        <v>58</v>
      </c>
      <c r="B5" s="138" t="s">
        <v>59</v>
      </c>
      <c r="C5" s="139" t="s">
        <v>66</v>
      </c>
      <c r="D5" s="140"/>
      <c r="E5" s="140"/>
      <c r="F5" s="140"/>
      <c r="G5" s="140"/>
    </row>
    <row r="6" spans="1:7" x14ac:dyDescent="0.35">
      <c r="A6" s="137"/>
      <c r="B6" s="138"/>
      <c r="C6" s="141" t="s">
        <v>60</v>
      </c>
      <c r="D6" s="141" t="s">
        <v>61</v>
      </c>
      <c r="E6" s="141" t="s">
        <v>62</v>
      </c>
      <c r="F6" s="141" t="s">
        <v>63</v>
      </c>
      <c r="G6" s="143" t="s">
        <v>6</v>
      </c>
    </row>
    <row r="7" spans="1:7" x14ac:dyDescent="0.35">
      <c r="A7" s="137"/>
      <c r="B7" s="138"/>
      <c r="C7" s="142"/>
      <c r="D7" s="142"/>
      <c r="E7" s="142"/>
      <c r="F7" s="142"/>
      <c r="G7" s="144"/>
    </row>
    <row r="8" spans="1:7" x14ac:dyDescent="0.35">
      <c r="A8" s="29">
        <v>1</v>
      </c>
      <c r="B8" s="42" t="s">
        <v>214</v>
      </c>
      <c r="C8" s="42" t="s">
        <v>68</v>
      </c>
      <c r="D8" s="42">
        <v>35</v>
      </c>
      <c r="E8" s="43">
        <v>10</v>
      </c>
      <c r="F8" s="29">
        <f>E8-D8</f>
        <v>-25</v>
      </c>
      <c r="G8" s="45">
        <f>E8/D8*100%</f>
        <v>0.2857142857142857</v>
      </c>
    </row>
    <row r="9" spans="1:7" x14ac:dyDescent="0.35">
      <c r="A9" s="29">
        <v>2</v>
      </c>
      <c r="B9" s="42" t="s">
        <v>215</v>
      </c>
      <c r="C9" s="42" t="s">
        <v>70</v>
      </c>
      <c r="D9" s="42">
        <v>25</v>
      </c>
      <c r="E9" s="43">
        <v>20</v>
      </c>
      <c r="F9" s="29">
        <f t="shared" ref="F9:F24" si="0">E9-D9</f>
        <v>-5</v>
      </c>
      <c r="G9" s="45">
        <f t="shared" ref="G9:G24" si="1">E9/D9*100%</f>
        <v>0.8</v>
      </c>
    </row>
    <row r="10" spans="1:7" x14ac:dyDescent="0.35">
      <c r="A10" s="29">
        <v>3</v>
      </c>
      <c r="B10" s="42" t="s">
        <v>216</v>
      </c>
      <c r="C10" s="42" t="s">
        <v>70</v>
      </c>
      <c r="D10" s="42">
        <v>25</v>
      </c>
      <c r="E10" s="43">
        <v>21</v>
      </c>
      <c r="F10" s="29">
        <f t="shared" si="0"/>
        <v>-4</v>
      </c>
      <c r="G10" s="45">
        <f t="shared" si="1"/>
        <v>0.84</v>
      </c>
    </row>
    <row r="11" spans="1:7" x14ac:dyDescent="0.35">
      <c r="A11" s="29">
        <v>4</v>
      </c>
      <c r="B11" s="42" t="s">
        <v>217</v>
      </c>
      <c r="C11" s="42" t="s">
        <v>70</v>
      </c>
      <c r="D11" s="42">
        <v>25</v>
      </c>
      <c r="E11" s="43">
        <v>14</v>
      </c>
      <c r="F11" s="29">
        <f t="shared" si="0"/>
        <v>-11</v>
      </c>
      <c r="G11" s="45">
        <f t="shared" si="1"/>
        <v>0.56000000000000005</v>
      </c>
    </row>
    <row r="12" spans="1:7" x14ac:dyDescent="0.35">
      <c r="A12" s="29">
        <v>5</v>
      </c>
      <c r="B12" s="42" t="s">
        <v>218</v>
      </c>
      <c r="C12" s="42" t="s">
        <v>70</v>
      </c>
      <c r="D12" s="42">
        <v>25</v>
      </c>
      <c r="E12" s="43">
        <v>23</v>
      </c>
      <c r="F12" s="29">
        <f t="shared" si="0"/>
        <v>-2</v>
      </c>
      <c r="G12" s="45">
        <f t="shared" si="1"/>
        <v>0.92</v>
      </c>
    </row>
    <row r="13" spans="1:7" x14ac:dyDescent="0.35">
      <c r="A13" s="29">
        <v>6</v>
      </c>
      <c r="B13" s="42" t="s">
        <v>219</v>
      </c>
      <c r="C13" s="42" t="s">
        <v>70</v>
      </c>
      <c r="D13" s="42">
        <v>25</v>
      </c>
      <c r="E13" s="43">
        <v>10</v>
      </c>
      <c r="F13" s="29">
        <f t="shared" si="0"/>
        <v>-15</v>
      </c>
      <c r="G13" s="45">
        <f t="shared" si="1"/>
        <v>0.4</v>
      </c>
    </row>
    <row r="14" spans="1:7" x14ac:dyDescent="0.35">
      <c r="A14" s="29">
        <v>7</v>
      </c>
      <c r="B14" s="44" t="s">
        <v>220</v>
      </c>
      <c r="C14" s="42" t="s">
        <v>70</v>
      </c>
      <c r="D14" s="42">
        <v>25</v>
      </c>
      <c r="E14" s="43">
        <v>12</v>
      </c>
      <c r="F14" s="29">
        <f t="shared" si="0"/>
        <v>-13</v>
      </c>
      <c r="G14" s="45">
        <f t="shared" si="1"/>
        <v>0.48</v>
      </c>
    </row>
    <row r="15" spans="1:7" x14ac:dyDescent="0.35">
      <c r="A15" s="29">
        <v>8</v>
      </c>
      <c r="B15" s="44" t="s">
        <v>221</v>
      </c>
      <c r="C15" s="42" t="s">
        <v>70</v>
      </c>
      <c r="D15" s="42">
        <v>25</v>
      </c>
      <c r="E15" s="43">
        <v>3</v>
      </c>
      <c r="F15" s="29">
        <f t="shared" si="0"/>
        <v>-22</v>
      </c>
      <c r="G15" s="45">
        <f t="shared" si="1"/>
        <v>0.12</v>
      </c>
    </row>
    <row r="16" spans="1:7" x14ac:dyDescent="0.35">
      <c r="A16" s="29">
        <v>9</v>
      </c>
      <c r="B16" s="42" t="s">
        <v>222</v>
      </c>
      <c r="C16" s="42" t="s">
        <v>68</v>
      </c>
      <c r="D16" s="42">
        <v>35</v>
      </c>
      <c r="E16" s="43">
        <v>2</v>
      </c>
      <c r="F16" s="29">
        <f t="shared" si="0"/>
        <v>-33</v>
      </c>
      <c r="G16" s="45">
        <f t="shared" si="1"/>
        <v>5.7142857142857141E-2</v>
      </c>
    </row>
    <row r="17" spans="1:7" x14ac:dyDescent="0.35">
      <c r="A17" s="29">
        <v>10</v>
      </c>
      <c r="B17" s="42" t="s">
        <v>223</v>
      </c>
      <c r="C17" s="42" t="s">
        <v>70</v>
      </c>
      <c r="D17" s="42">
        <v>25</v>
      </c>
      <c r="E17" s="43">
        <v>23</v>
      </c>
      <c r="F17" s="29">
        <f t="shared" si="0"/>
        <v>-2</v>
      </c>
      <c r="G17" s="45">
        <f t="shared" si="1"/>
        <v>0.92</v>
      </c>
    </row>
    <row r="18" spans="1:7" x14ac:dyDescent="0.35">
      <c r="A18" s="29">
        <v>11</v>
      </c>
      <c r="B18" s="42" t="s">
        <v>224</v>
      </c>
      <c r="C18" s="42" t="s">
        <v>70</v>
      </c>
      <c r="D18" s="42">
        <v>25</v>
      </c>
      <c r="E18" s="43">
        <v>22</v>
      </c>
      <c r="F18" s="29">
        <f t="shared" si="0"/>
        <v>-3</v>
      </c>
      <c r="G18" s="45">
        <f t="shared" si="1"/>
        <v>0.88</v>
      </c>
    </row>
    <row r="19" spans="1:7" x14ac:dyDescent="0.35">
      <c r="A19" s="29">
        <v>12</v>
      </c>
      <c r="B19" s="42" t="s">
        <v>225</v>
      </c>
      <c r="C19" s="42" t="s">
        <v>70</v>
      </c>
      <c r="D19" s="42">
        <v>25</v>
      </c>
      <c r="E19" s="43">
        <v>20</v>
      </c>
      <c r="F19" s="29">
        <f t="shared" si="0"/>
        <v>-5</v>
      </c>
      <c r="G19" s="45">
        <f t="shared" si="1"/>
        <v>0.8</v>
      </c>
    </row>
    <row r="20" spans="1:7" x14ac:dyDescent="0.35">
      <c r="A20" s="29">
        <v>13</v>
      </c>
      <c r="B20" s="42" t="s">
        <v>226</v>
      </c>
      <c r="C20" s="42" t="s">
        <v>70</v>
      </c>
      <c r="D20" s="42">
        <v>25</v>
      </c>
      <c r="E20" s="43">
        <v>32</v>
      </c>
      <c r="F20" s="29">
        <f t="shared" si="0"/>
        <v>7</v>
      </c>
      <c r="G20" s="45">
        <f t="shared" si="1"/>
        <v>1.28</v>
      </c>
    </row>
    <row r="21" spans="1:7" x14ac:dyDescent="0.35">
      <c r="A21" s="29">
        <v>14</v>
      </c>
      <c r="B21" s="42" t="s">
        <v>227</v>
      </c>
      <c r="C21" s="42" t="s">
        <v>70</v>
      </c>
      <c r="D21" s="42">
        <v>25</v>
      </c>
      <c r="E21" s="43">
        <v>24</v>
      </c>
      <c r="F21" s="29">
        <f t="shared" si="0"/>
        <v>-1</v>
      </c>
      <c r="G21" s="45">
        <f t="shared" si="1"/>
        <v>0.96</v>
      </c>
    </row>
    <row r="22" spans="1:7" x14ac:dyDescent="0.35">
      <c r="A22" s="29">
        <v>15</v>
      </c>
      <c r="B22" s="42" t="s">
        <v>228</v>
      </c>
      <c r="C22" s="42" t="s">
        <v>70</v>
      </c>
      <c r="D22" s="42">
        <v>25</v>
      </c>
      <c r="E22" s="43">
        <v>6</v>
      </c>
      <c r="F22" s="29">
        <f t="shared" si="0"/>
        <v>-19</v>
      </c>
      <c r="G22" s="45">
        <f t="shared" si="1"/>
        <v>0.24</v>
      </c>
    </row>
    <row r="23" spans="1:7" x14ac:dyDescent="0.35">
      <c r="A23" s="29">
        <v>16</v>
      </c>
      <c r="B23" s="42" t="s">
        <v>229</v>
      </c>
      <c r="C23" s="42" t="s">
        <v>70</v>
      </c>
      <c r="D23" s="42">
        <v>25</v>
      </c>
      <c r="E23" s="43">
        <v>5</v>
      </c>
      <c r="F23" s="29">
        <f t="shared" si="0"/>
        <v>-20</v>
      </c>
      <c r="G23" s="45">
        <f t="shared" si="1"/>
        <v>0.2</v>
      </c>
    </row>
    <row r="24" spans="1:7" x14ac:dyDescent="0.35">
      <c r="A24" s="29"/>
      <c r="B24" s="29" t="s">
        <v>55</v>
      </c>
      <c r="C24" s="29"/>
      <c r="D24" s="42">
        <v>380</v>
      </c>
      <c r="E24" s="29">
        <f>SUM(E8:E23)</f>
        <v>247</v>
      </c>
      <c r="F24" s="29">
        <f t="shared" si="0"/>
        <v>-133</v>
      </c>
      <c r="G24" s="45">
        <f t="shared" si="1"/>
        <v>0.65</v>
      </c>
    </row>
    <row r="36" spans="1:7" x14ac:dyDescent="0.35">
      <c r="B36" t="s">
        <v>64</v>
      </c>
    </row>
    <row r="37" spans="1:7" x14ac:dyDescent="0.35">
      <c r="A37" s="137" t="s">
        <v>58</v>
      </c>
      <c r="B37" s="138" t="s">
        <v>59</v>
      </c>
      <c r="C37" s="139" t="s">
        <v>66</v>
      </c>
      <c r="D37" s="140"/>
      <c r="E37" s="140"/>
      <c r="F37" s="140"/>
      <c r="G37" s="140"/>
    </row>
    <row r="38" spans="1:7" x14ac:dyDescent="0.35">
      <c r="A38" s="137"/>
      <c r="B38" s="138"/>
      <c r="C38" s="141" t="s">
        <v>60</v>
      </c>
      <c r="D38" s="141" t="s">
        <v>61</v>
      </c>
      <c r="E38" s="141" t="s">
        <v>62</v>
      </c>
      <c r="F38" s="141" t="s">
        <v>63</v>
      </c>
      <c r="G38" s="143" t="s">
        <v>6</v>
      </c>
    </row>
    <row r="39" spans="1:7" x14ac:dyDescent="0.35">
      <c r="A39" s="137"/>
      <c r="B39" s="138"/>
      <c r="C39" s="142"/>
      <c r="D39" s="142"/>
      <c r="E39" s="142"/>
      <c r="F39" s="142"/>
      <c r="G39" s="144"/>
    </row>
    <row r="40" spans="1:7" x14ac:dyDescent="0.35">
      <c r="A40" s="12">
        <v>1</v>
      </c>
      <c r="B40" s="46" t="s">
        <v>230</v>
      </c>
      <c r="C40" s="47" t="s">
        <v>68</v>
      </c>
      <c r="D40" s="47">
        <v>35</v>
      </c>
      <c r="E40" s="48">
        <v>0</v>
      </c>
      <c r="F40" s="12">
        <f>E40-D40</f>
        <v>-35</v>
      </c>
      <c r="G40" s="15">
        <f>E40/D40*100%</f>
        <v>0</v>
      </c>
    </row>
    <row r="41" spans="1:7" x14ac:dyDescent="0.35">
      <c r="A41" s="12">
        <v>2</v>
      </c>
      <c r="B41" s="46" t="s">
        <v>231</v>
      </c>
      <c r="C41" s="47" t="s">
        <v>70</v>
      </c>
      <c r="D41" s="47">
        <v>25</v>
      </c>
      <c r="E41" s="48">
        <v>26</v>
      </c>
      <c r="F41" s="12">
        <f t="shared" ref="F41:F49" si="2">E41-D41</f>
        <v>1</v>
      </c>
      <c r="G41" s="15">
        <f t="shared" ref="G41:G49" si="3">E41/D41*100%</f>
        <v>1.04</v>
      </c>
    </row>
    <row r="42" spans="1:7" x14ac:dyDescent="0.35">
      <c r="A42" s="12">
        <v>3</v>
      </c>
      <c r="B42" s="46" t="s">
        <v>232</v>
      </c>
      <c r="C42" s="47" t="s">
        <v>70</v>
      </c>
      <c r="D42" s="47">
        <v>25</v>
      </c>
      <c r="E42" s="48">
        <v>32</v>
      </c>
      <c r="F42" s="12">
        <f t="shared" si="2"/>
        <v>7</v>
      </c>
      <c r="G42" s="15">
        <f t="shared" si="3"/>
        <v>1.28</v>
      </c>
    </row>
    <row r="43" spans="1:7" x14ac:dyDescent="0.35">
      <c r="A43" s="12">
        <v>4</v>
      </c>
      <c r="B43" s="46" t="s">
        <v>233</v>
      </c>
      <c r="C43" s="47" t="s">
        <v>70</v>
      </c>
      <c r="D43" s="47">
        <v>25</v>
      </c>
      <c r="E43" s="48">
        <v>28</v>
      </c>
      <c r="F43" s="12">
        <f t="shared" si="2"/>
        <v>3</v>
      </c>
      <c r="G43" s="15">
        <f t="shared" si="3"/>
        <v>1.1200000000000001</v>
      </c>
    </row>
    <row r="44" spans="1:7" x14ac:dyDescent="0.35">
      <c r="A44" s="12">
        <v>5</v>
      </c>
      <c r="B44" s="46" t="s">
        <v>234</v>
      </c>
      <c r="C44" s="47" t="s">
        <v>70</v>
      </c>
      <c r="D44" s="47">
        <v>25</v>
      </c>
      <c r="E44" s="48">
        <v>5</v>
      </c>
      <c r="F44" s="12">
        <f t="shared" si="2"/>
        <v>-20</v>
      </c>
      <c r="G44" s="15">
        <f t="shared" si="3"/>
        <v>0.2</v>
      </c>
    </row>
    <row r="45" spans="1:7" x14ac:dyDescent="0.35">
      <c r="A45" s="12">
        <v>6</v>
      </c>
      <c r="B45" s="46" t="s">
        <v>235</v>
      </c>
      <c r="C45" s="47" t="s">
        <v>70</v>
      </c>
      <c r="D45" s="47">
        <v>25</v>
      </c>
      <c r="E45" s="48">
        <v>2</v>
      </c>
      <c r="F45" s="12">
        <f t="shared" si="2"/>
        <v>-23</v>
      </c>
      <c r="G45" s="15">
        <f t="shared" si="3"/>
        <v>0.08</v>
      </c>
    </row>
    <row r="46" spans="1:7" x14ac:dyDescent="0.35">
      <c r="A46" s="12">
        <v>7</v>
      </c>
      <c r="B46" s="46" t="s">
        <v>236</v>
      </c>
      <c r="C46" s="47" t="s">
        <v>70</v>
      </c>
      <c r="D46" s="47">
        <v>25</v>
      </c>
      <c r="E46" s="48">
        <v>0</v>
      </c>
      <c r="F46" s="12">
        <f t="shared" si="2"/>
        <v>-25</v>
      </c>
      <c r="G46" s="15">
        <f t="shared" si="3"/>
        <v>0</v>
      </c>
    </row>
    <row r="47" spans="1:7" x14ac:dyDescent="0.35">
      <c r="A47" s="12">
        <v>8</v>
      </c>
      <c r="B47" s="46" t="s">
        <v>237</v>
      </c>
      <c r="C47" s="47" t="s">
        <v>70</v>
      </c>
      <c r="D47" s="47">
        <v>25</v>
      </c>
      <c r="E47" s="48">
        <v>5</v>
      </c>
      <c r="F47" s="12">
        <f t="shared" si="2"/>
        <v>-20</v>
      </c>
      <c r="G47" s="15">
        <f t="shared" si="3"/>
        <v>0.2</v>
      </c>
    </row>
    <row r="48" spans="1:7" x14ac:dyDescent="0.35">
      <c r="A48" s="12">
        <v>9</v>
      </c>
      <c r="B48" s="46" t="s">
        <v>238</v>
      </c>
      <c r="C48" s="47" t="s">
        <v>70</v>
      </c>
      <c r="D48" s="47">
        <v>25</v>
      </c>
      <c r="E48" s="48">
        <v>2</v>
      </c>
      <c r="F48" s="12">
        <f t="shared" si="2"/>
        <v>-23</v>
      </c>
      <c r="G48" s="15">
        <f t="shared" si="3"/>
        <v>0.08</v>
      </c>
    </row>
    <row r="49" spans="1:7" x14ac:dyDescent="0.35">
      <c r="A49" s="12"/>
      <c r="B49" s="12" t="s">
        <v>55</v>
      </c>
      <c r="C49" s="12"/>
      <c r="D49" s="12">
        <v>230</v>
      </c>
      <c r="E49" s="12">
        <f>SUM(E40:E48)</f>
        <v>100</v>
      </c>
      <c r="F49" s="12">
        <f t="shared" si="2"/>
        <v>-130</v>
      </c>
      <c r="G49" s="15">
        <f t="shared" si="3"/>
        <v>0.43478260869565216</v>
      </c>
    </row>
    <row r="53" spans="1:7" x14ac:dyDescent="0.35">
      <c r="B53" t="s">
        <v>65</v>
      </c>
    </row>
    <row r="54" spans="1:7" x14ac:dyDescent="0.35">
      <c r="A54" s="137" t="s">
        <v>58</v>
      </c>
      <c r="B54" s="138" t="s">
        <v>59</v>
      </c>
      <c r="C54" s="139" t="s">
        <v>66</v>
      </c>
      <c r="D54" s="140"/>
      <c r="E54" s="140"/>
      <c r="F54" s="140"/>
      <c r="G54" s="140"/>
    </row>
    <row r="55" spans="1:7" x14ac:dyDescent="0.35">
      <c r="A55" s="137"/>
      <c r="B55" s="138"/>
      <c r="C55" s="141" t="s">
        <v>60</v>
      </c>
      <c r="D55" s="141" t="s">
        <v>61</v>
      </c>
      <c r="E55" s="141" t="s">
        <v>62</v>
      </c>
      <c r="F55" s="141" t="s">
        <v>63</v>
      </c>
      <c r="G55" s="143" t="s">
        <v>6</v>
      </c>
    </row>
    <row r="56" spans="1:7" x14ac:dyDescent="0.35">
      <c r="A56" s="137"/>
      <c r="B56" s="138"/>
      <c r="C56" s="142"/>
      <c r="D56" s="142"/>
      <c r="E56" s="142"/>
      <c r="F56" s="142"/>
      <c r="G56" s="144"/>
    </row>
    <row r="57" spans="1:7" x14ac:dyDescent="0.35">
      <c r="A57" s="29">
        <v>1</v>
      </c>
      <c r="B57" s="42" t="s">
        <v>239</v>
      </c>
      <c r="C57" s="42" t="s">
        <v>68</v>
      </c>
      <c r="D57" s="42">
        <v>35</v>
      </c>
      <c r="E57" s="43">
        <v>0</v>
      </c>
      <c r="F57" s="29">
        <f>E57-D57</f>
        <v>-35</v>
      </c>
      <c r="G57" s="45">
        <f>E57/D57*100%</f>
        <v>0</v>
      </c>
    </row>
    <row r="58" spans="1:7" x14ac:dyDescent="0.35">
      <c r="A58" s="29">
        <v>2</v>
      </c>
      <c r="B58" s="42" t="s">
        <v>240</v>
      </c>
      <c r="C58" s="42" t="s">
        <v>70</v>
      </c>
      <c r="D58" s="42">
        <v>25</v>
      </c>
      <c r="E58" s="43">
        <v>50</v>
      </c>
      <c r="F58" s="29">
        <f t="shared" ref="F58:F67" si="4">E58-D58</f>
        <v>25</v>
      </c>
      <c r="G58" s="45">
        <f t="shared" ref="G58:G67" si="5">E58/D58*100%</f>
        <v>2</v>
      </c>
    </row>
    <row r="59" spans="1:7" x14ac:dyDescent="0.35">
      <c r="A59" s="29">
        <v>3</v>
      </c>
      <c r="B59" s="42" t="s">
        <v>241</v>
      </c>
      <c r="C59" s="42" t="s">
        <v>70</v>
      </c>
      <c r="D59" s="42">
        <v>25</v>
      </c>
      <c r="E59" s="43">
        <v>19</v>
      </c>
      <c r="F59" s="29">
        <f t="shared" si="4"/>
        <v>-6</v>
      </c>
      <c r="G59" s="45">
        <f t="shared" si="5"/>
        <v>0.76</v>
      </c>
    </row>
    <row r="60" spans="1:7" x14ac:dyDescent="0.35">
      <c r="A60" s="29">
        <v>4</v>
      </c>
      <c r="B60" s="42" t="s">
        <v>242</v>
      </c>
      <c r="C60" s="42" t="s">
        <v>70</v>
      </c>
      <c r="D60" s="42">
        <v>25</v>
      </c>
      <c r="E60" s="43">
        <v>7</v>
      </c>
      <c r="F60" s="29">
        <f t="shared" si="4"/>
        <v>-18</v>
      </c>
      <c r="G60" s="45">
        <f t="shared" si="5"/>
        <v>0.28000000000000003</v>
      </c>
    </row>
    <row r="61" spans="1:7" x14ac:dyDescent="0.35">
      <c r="A61" s="29">
        <v>5</v>
      </c>
      <c r="B61" s="42" t="s">
        <v>243</v>
      </c>
      <c r="C61" s="42" t="s">
        <v>70</v>
      </c>
      <c r="D61" s="42">
        <v>25</v>
      </c>
      <c r="E61" s="43">
        <v>2</v>
      </c>
      <c r="F61" s="29">
        <f t="shared" si="4"/>
        <v>-23</v>
      </c>
      <c r="G61" s="45">
        <f t="shared" si="5"/>
        <v>0.08</v>
      </c>
    </row>
    <row r="62" spans="1:7" x14ac:dyDescent="0.35">
      <c r="A62" s="29">
        <v>6</v>
      </c>
      <c r="B62" s="42" t="s">
        <v>244</v>
      </c>
      <c r="C62" s="42" t="s">
        <v>70</v>
      </c>
      <c r="D62" s="42">
        <v>25</v>
      </c>
      <c r="E62" s="43">
        <v>2</v>
      </c>
      <c r="F62" s="29">
        <f t="shared" si="4"/>
        <v>-23</v>
      </c>
      <c r="G62" s="45">
        <f t="shared" si="5"/>
        <v>0.08</v>
      </c>
    </row>
    <row r="63" spans="1:7" x14ac:dyDescent="0.35">
      <c r="A63" s="29">
        <v>7</v>
      </c>
      <c r="B63" s="42" t="s">
        <v>245</v>
      </c>
      <c r="C63" s="42" t="s">
        <v>70</v>
      </c>
      <c r="D63" s="42">
        <v>25</v>
      </c>
      <c r="E63" s="43">
        <v>2</v>
      </c>
      <c r="F63" s="29">
        <f t="shared" si="4"/>
        <v>-23</v>
      </c>
      <c r="G63" s="45">
        <f t="shared" si="5"/>
        <v>0.08</v>
      </c>
    </row>
    <row r="64" spans="1:7" x14ac:dyDescent="0.35">
      <c r="A64" s="29">
        <v>8</v>
      </c>
      <c r="B64" s="42" t="s">
        <v>246</v>
      </c>
      <c r="C64" s="42" t="s">
        <v>70</v>
      </c>
      <c r="D64" s="42">
        <v>25</v>
      </c>
      <c r="E64" s="43">
        <v>17</v>
      </c>
      <c r="F64" s="29">
        <f t="shared" si="4"/>
        <v>-8</v>
      </c>
      <c r="G64" s="45">
        <f t="shared" si="5"/>
        <v>0.68</v>
      </c>
    </row>
    <row r="65" spans="1:7" x14ac:dyDescent="0.35">
      <c r="A65" s="29">
        <v>9</v>
      </c>
      <c r="B65" s="42" t="s">
        <v>247</v>
      </c>
      <c r="C65" s="42" t="s">
        <v>70</v>
      </c>
      <c r="D65" s="42">
        <v>25</v>
      </c>
      <c r="E65" s="43">
        <v>2</v>
      </c>
      <c r="F65" s="29">
        <f t="shared" si="4"/>
        <v>-23</v>
      </c>
      <c r="G65" s="45">
        <f t="shared" si="5"/>
        <v>0.08</v>
      </c>
    </row>
    <row r="66" spans="1:7" x14ac:dyDescent="0.35">
      <c r="A66" s="29">
        <v>10</v>
      </c>
      <c r="B66" s="42" t="s">
        <v>248</v>
      </c>
      <c r="C66" s="42" t="s">
        <v>70</v>
      </c>
      <c r="D66" s="42">
        <v>25</v>
      </c>
      <c r="E66" s="43">
        <v>1</v>
      </c>
      <c r="F66" s="29">
        <f t="shared" si="4"/>
        <v>-24</v>
      </c>
      <c r="G66" s="45">
        <f t="shared" si="5"/>
        <v>0.04</v>
      </c>
    </row>
    <row r="67" spans="1:7" x14ac:dyDescent="0.35">
      <c r="A67" s="29"/>
      <c r="B67" s="29" t="s">
        <v>55</v>
      </c>
      <c r="C67" s="29"/>
      <c r="D67" s="42">
        <v>230</v>
      </c>
      <c r="E67" s="29">
        <f>SUM(E57:E66)</f>
        <v>102</v>
      </c>
      <c r="F67" s="29">
        <f t="shared" si="4"/>
        <v>-128</v>
      </c>
      <c r="G67" s="45">
        <f t="shared" si="5"/>
        <v>0.44347826086956521</v>
      </c>
    </row>
  </sheetData>
  <mergeCells count="24">
    <mergeCell ref="A54:A56"/>
    <mergeCell ref="B54:B56"/>
    <mergeCell ref="C54:G54"/>
    <mergeCell ref="C55:C56"/>
    <mergeCell ref="D55:D56"/>
    <mergeCell ref="E55:E56"/>
    <mergeCell ref="F55:F56"/>
    <mergeCell ref="G55:G56"/>
    <mergeCell ref="A37:A39"/>
    <mergeCell ref="B37:B39"/>
    <mergeCell ref="C37:G37"/>
    <mergeCell ref="C38:C39"/>
    <mergeCell ref="D38:D39"/>
    <mergeCell ref="E38:E39"/>
    <mergeCell ref="F38:F39"/>
    <mergeCell ref="G38:G39"/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7F23-6081-4DE1-B257-CBBA7BCDD83D}">
  <dimension ref="A1:G33"/>
  <sheetViews>
    <sheetView workbookViewId="0">
      <selection activeCell="B3" sqref="B3"/>
    </sheetView>
  </sheetViews>
  <sheetFormatPr defaultRowHeight="14.5" x14ac:dyDescent="0.35"/>
  <cols>
    <col min="1" max="1" width="6.1796875" customWidth="1"/>
    <col min="2" max="2" width="34.17968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673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618</v>
      </c>
      <c r="C7" s="31" t="s">
        <v>68</v>
      </c>
      <c r="D7" s="31">
        <v>35</v>
      </c>
      <c r="E7" s="31">
        <v>7</v>
      </c>
      <c r="F7" s="98">
        <f>E7-D7</f>
        <v>-28</v>
      </c>
      <c r="G7" s="99">
        <f>E7/D7*100%</f>
        <v>0.2</v>
      </c>
    </row>
    <row r="8" spans="1:7" x14ac:dyDescent="0.35">
      <c r="A8" s="12">
        <v>2</v>
      </c>
      <c r="B8" s="61" t="s">
        <v>619</v>
      </c>
      <c r="C8" s="33" t="s">
        <v>310</v>
      </c>
      <c r="D8" s="31">
        <v>25</v>
      </c>
      <c r="E8" s="31">
        <v>24</v>
      </c>
      <c r="F8" s="98">
        <f t="shared" ref="F8:F33" si="0">E8-D8</f>
        <v>-1</v>
      </c>
      <c r="G8" s="99">
        <f t="shared" ref="G8:G33" si="1">E8/D8*100%</f>
        <v>0.96</v>
      </c>
    </row>
    <row r="9" spans="1:7" x14ac:dyDescent="0.35">
      <c r="A9" s="12">
        <v>3</v>
      </c>
      <c r="B9" s="61" t="s">
        <v>620</v>
      </c>
      <c r="C9" s="33" t="s">
        <v>310</v>
      </c>
      <c r="D9" s="33">
        <v>25</v>
      </c>
      <c r="E9" s="31">
        <v>24</v>
      </c>
      <c r="F9" s="98">
        <f t="shared" si="0"/>
        <v>-1</v>
      </c>
      <c r="G9" s="99">
        <f t="shared" si="1"/>
        <v>0.96</v>
      </c>
    </row>
    <row r="10" spans="1:7" x14ac:dyDescent="0.35">
      <c r="A10" s="12">
        <v>4</v>
      </c>
      <c r="B10" s="61" t="s">
        <v>621</v>
      </c>
      <c r="C10" s="33" t="s">
        <v>310</v>
      </c>
      <c r="D10" s="31">
        <v>25</v>
      </c>
      <c r="E10" s="31">
        <v>17</v>
      </c>
      <c r="F10" s="98">
        <f t="shared" si="0"/>
        <v>-8</v>
      </c>
      <c r="G10" s="99">
        <f t="shared" si="1"/>
        <v>0.68</v>
      </c>
    </row>
    <row r="11" spans="1:7" x14ac:dyDescent="0.35">
      <c r="A11" s="12">
        <v>5</v>
      </c>
      <c r="B11" s="12" t="s">
        <v>622</v>
      </c>
      <c r="C11" s="33" t="s">
        <v>310</v>
      </c>
      <c r="D11" s="33">
        <v>25</v>
      </c>
      <c r="E11" s="31">
        <v>7</v>
      </c>
      <c r="F11" s="98">
        <f t="shared" si="0"/>
        <v>-18</v>
      </c>
      <c r="G11" s="99">
        <f t="shared" si="1"/>
        <v>0.28000000000000003</v>
      </c>
    </row>
    <row r="12" spans="1:7" x14ac:dyDescent="0.35">
      <c r="A12" s="12">
        <v>6</v>
      </c>
      <c r="B12" s="61" t="s">
        <v>623</v>
      </c>
      <c r="C12" s="33" t="s">
        <v>310</v>
      </c>
      <c r="D12" s="33">
        <v>25</v>
      </c>
      <c r="E12" s="31">
        <v>26</v>
      </c>
      <c r="F12" s="98">
        <f t="shared" si="0"/>
        <v>1</v>
      </c>
      <c r="G12" s="99">
        <f t="shared" si="1"/>
        <v>1.04</v>
      </c>
    </row>
    <row r="13" spans="1:7" x14ac:dyDescent="0.35">
      <c r="A13" s="12">
        <v>7</v>
      </c>
      <c r="B13" s="61" t="s">
        <v>624</v>
      </c>
      <c r="C13" s="33" t="s">
        <v>310</v>
      </c>
      <c r="D13" s="33">
        <v>25</v>
      </c>
      <c r="E13" s="31">
        <v>18</v>
      </c>
      <c r="F13" s="98">
        <f t="shared" si="0"/>
        <v>-7</v>
      </c>
      <c r="G13" s="99">
        <f t="shared" si="1"/>
        <v>0.72</v>
      </c>
    </row>
    <row r="14" spans="1:7" x14ac:dyDescent="0.35">
      <c r="A14" s="12">
        <v>8</v>
      </c>
      <c r="B14" s="12" t="s">
        <v>625</v>
      </c>
      <c r="C14" s="33" t="s">
        <v>310</v>
      </c>
      <c r="D14" s="33">
        <v>25</v>
      </c>
      <c r="E14" s="31">
        <v>0</v>
      </c>
      <c r="F14" s="98">
        <f t="shared" si="0"/>
        <v>-25</v>
      </c>
      <c r="G14" s="99">
        <f t="shared" si="1"/>
        <v>0</v>
      </c>
    </row>
    <row r="15" spans="1:7" x14ac:dyDescent="0.35">
      <c r="A15" s="12">
        <v>9</v>
      </c>
      <c r="B15" s="117" t="s">
        <v>626</v>
      </c>
      <c r="C15" s="31" t="s">
        <v>68</v>
      </c>
      <c r="D15" s="31">
        <v>35</v>
      </c>
      <c r="E15" s="31">
        <v>14</v>
      </c>
      <c r="F15" s="98">
        <f t="shared" si="0"/>
        <v>-21</v>
      </c>
      <c r="G15" s="99">
        <f t="shared" si="1"/>
        <v>0.4</v>
      </c>
    </row>
    <row r="16" spans="1:7" x14ac:dyDescent="0.35">
      <c r="A16" s="12">
        <v>10</v>
      </c>
      <c r="B16" s="117" t="s">
        <v>627</v>
      </c>
      <c r="C16" s="33" t="s">
        <v>310</v>
      </c>
      <c r="D16" s="31">
        <v>25</v>
      </c>
      <c r="E16" s="31">
        <v>30</v>
      </c>
      <c r="F16" s="98">
        <f t="shared" si="0"/>
        <v>5</v>
      </c>
      <c r="G16" s="99">
        <f t="shared" si="1"/>
        <v>1.2</v>
      </c>
    </row>
    <row r="17" spans="1:7" x14ac:dyDescent="0.35">
      <c r="A17" s="12">
        <v>11</v>
      </c>
      <c r="B17" s="117" t="s">
        <v>628</v>
      </c>
      <c r="C17" s="33" t="s">
        <v>310</v>
      </c>
      <c r="D17" s="33">
        <v>25</v>
      </c>
      <c r="E17" s="31">
        <v>25</v>
      </c>
      <c r="F17" s="98">
        <f t="shared" si="0"/>
        <v>0</v>
      </c>
      <c r="G17" s="99">
        <f t="shared" si="1"/>
        <v>1</v>
      </c>
    </row>
    <row r="18" spans="1:7" x14ac:dyDescent="0.35">
      <c r="A18" s="12">
        <v>12</v>
      </c>
      <c r="B18" s="117" t="s">
        <v>629</v>
      </c>
      <c r="C18" s="33" t="s">
        <v>310</v>
      </c>
      <c r="D18" s="31">
        <v>25</v>
      </c>
      <c r="E18" s="31">
        <v>21</v>
      </c>
      <c r="F18" s="98">
        <f t="shared" si="0"/>
        <v>-4</v>
      </c>
      <c r="G18" s="99">
        <f t="shared" si="1"/>
        <v>0.84</v>
      </c>
    </row>
    <row r="19" spans="1:7" x14ac:dyDescent="0.35">
      <c r="A19" s="12">
        <v>13</v>
      </c>
      <c r="B19" s="117" t="s">
        <v>630</v>
      </c>
      <c r="C19" s="33" t="s">
        <v>310</v>
      </c>
      <c r="D19" s="33">
        <v>25</v>
      </c>
      <c r="E19" s="31">
        <v>17</v>
      </c>
      <c r="F19" s="98">
        <f t="shared" si="0"/>
        <v>-8</v>
      </c>
      <c r="G19" s="99">
        <f t="shared" si="1"/>
        <v>0.68</v>
      </c>
    </row>
    <row r="20" spans="1:7" x14ac:dyDescent="0.35">
      <c r="A20" s="12">
        <v>14</v>
      </c>
      <c r="B20" s="117" t="s">
        <v>631</v>
      </c>
      <c r="C20" s="33" t="s">
        <v>310</v>
      </c>
      <c r="D20" s="31">
        <v>25</v>
      </c>
      <c r="E20" s="31">
        <v>15</v>
      </c>
      <c r="F20" s="98">
        <f t="shared" si="0"/>
        <v>-10</v>
      </c>
      <c r="G20" s="99">
        <f t="shared" si="1"/>
        <v>0.6</v>
      </c>
    </row>
    <row r="21" spans="1:7" x14ac:dyDescent="0.35">
      <c r="A21" s="12">
        <v>15</v>
      </c>
      <c r="B21" s="117" t="s">
        <v>632</v>
      </c>
      <c r="C21" s="33" t="s">
        <v>310</v>
      </c>
      <c r="D21" s="33">
        <v>25</v>
      </c>
      <c r="E21" s="31">
        <v>10</v>
      </c>
      <c r="F21" s="98">
        <f t="shared" si="0"/>
        <v>-15</v>
      </c>
      <c r="G21" s="99">
        <f t="shared" si="1"/>
        <v>0.4</v>
      </c>
    </row>
    <row r="22" spans="1:7" x14ac:dyDescent="0.35">
      <c r="A22" s="12">
        <v>16</v>
      </c>
      <c r="B22" s="61" t="s">
        <v>633</v>
      </c>
      <c r="C22" s="31" t="s">
        <v>68</v>
      </c>
      <c r="D22" s="31">
        <v>35</v>
      </c>
      <c r="E22" s="31">
        <v>3</v>
      </c>
      <c r="F22" s="98">
        <f t="shared" si="0"/>
        <v>-32</v>
      </c>
      <c r="G22" s="99">
        <f t="shared" si="1"/>
        <v>8.5714285714285715E-2</v>
      </c>
    </row>
    <row r="23" spans="1:7" x14ac:dyDescent="0.35">
      <c r="A23" s="12">
        <v>17</v>
      </c>
      <c r="B23" s="61" t="s">
        <v>634</v>
      </c>
      <c r="C23" s="33" t="s">
        <v>310</v>
      </c>
      <c r="D23" s="31">
        <v>25</v>
      </c>
      <c r="E23" s="31">
        <v>17</v>
      </c>
      <c r="F23" s="98">
        <f t="shared" si="0"/>
        <v>-8</v>
      </c>
      <c r="G23" s="99">
        <f t="shared" si="1"/>
        <v>0.68</v>
      </c>
    </row>
    <row r="24" spans="1:7" x14ac:dyDescent="0.35">
      <c r="A24" s="12">
        <v>18</v>
      </c>
      <c r="B24" s="61" t="s">
        <v>635</v>
      </c>
      <c r="C24" s="33" t="s">
        <v>310</v>
      </c>
      <c r="D24" s="33">
        <v>25</v>
      </c>
      <c r="E24" s="31">
        <v>24</v>
      </c>
      <c r="F24" s="98">
        <f t="shared" si="0"/>
        <v>-1</v>
      </c>
      <c r="G24" s="99">
        <f t="shared" si="1"/>
        <v>0.96</v>
      </c>
    </row>
    <row r="25" spans="1:7" x14ac:dyDescent="0.35">
      <c r="A25" s="12">
        <v>19</v>
      </c>
      <c r="B25" s="61" t="s">
        <v>636</v>
      </c>
      <c r="C25" s="33" t="s">
        <v>310</v>
      </c>
      <c r="D25" s="31">
        <v>25</v>
      </c>
      <c r="E25" s="31">
        <v>13</v>
      </c>
      <c r="F25" s="98">
        <f t="shared" si="0"/>
        <v>-12</v>
      </c>
      <c r="G25" s="99">
        <f t="shared" si="1"/>
        <v>0.52</v>
      </c>
    </row>
    <row r="26" spans="1:7" x14ac:dyDescent="0.35">
      <c r="A26" s="12">
        <v>20</v>
      </c>
      <c r="B26" s="61" t="s">
        <v>637</v>
      </c>
      <c r="C26" s="33" t="s">
        <v>310</v>
      </c>
      <c r="D26" s="33">
        <v>25</v>
      </c>
      <c r="E26" s="31">
        <v>22</v>
      </c>
      <c r="F26" s="98">
        <f t="shared" si="0"/>
        <v>-3</v>
      </c>
      <c r="G26" s="99">
        <f t="shared" si="1"/>
        <v>0.88</v>
      </c>
    </row>
    <row r="27" spans="1:7" x14ac:dyDescent="0.35">
      <c r="A27" s="12">
        <v>21</v>
      </c>
      <c r="B27" s="61" t="s">
        <v>638</v>
      </c>
      <c r="C27" s="33" t="s">
        <v>310</v>
      </c>
      <c r="D27" s="33">
        <v>25</v>
      </c>
      <c r="E27" s="31">
        <v>16</v>
      </c>
      <c r="F27" s="98">
        <f t="shared" si="0"/>
        <v>-9</v>
      </c>
      <c r="G27" s="99">
        <f t="shared" si="1"/>
        <v>0.64</v>
      </c>
    </row>
    <row r="28" spans="1:7" x14ac:dyDescent="0.35">
      <c r="A28" s="12">
        <v>22</v>
      </c>
      <c r="B28" s="61" t="s">
        <v>639</v>
      </c>
      <c r="C28" s="33" t="s">
        <v>310</v>
      </c>
      <c r="D28" s="31">
        <v>25</v>
      </c>
      <c r="E28" s="31">
        <v>15</v>
      </c>
      <c r="F28" s="98">
        <f t="shared" si="0"/>
        <v>-10</v>
      </c>
      <c r="G28" s="99">
        <f t="shared" si="1"/>
        <v>0.6</v>
      </c>
    </row>
    <row r="29" spans="1:7" x14ac:dyDescent="0.35">
      <c r="A29" s="12">
        <v>23</v>
      </c>
      <c r="B29" s="117" t="s">
        <v>640</v>
      </c>
      <c r="C29" s="31" t="s">
        <v>68</v>
      </c>
      <c r="D29" s="31">
        <v>35</v>
      </c>
      <c r="E29" s="31">
        <v>1</v>
      </c>
      <c r="F29" s="98">
        <f t="shared" si="0"/>
        <v>-34</v>
      </c>
      <c r="G29" s="99">
        <f t="shared" si="1"/>
        <v>2.8571428571428571E-2</v>
      </c>
    </row>
    <row r="30" spans="1:7" x14ac:dyDescent="0.35">
      <c r="A30" s="12">
        <v>24</v>
      </c>
      <c r="B30" s="29" t="s">
        <v>641</v>
      </c>
      <c r="C30" s="33" t="s">
        <v>310</v>
      </c>
      <c r="D30" s="31">
        <v>25</v>
      </c>
      <c r="E30" s="31">
        <v>1</v>
      </c>
      <c r="F30" s="98">
        <f t="shared" si="0"/>
        <v>-24</v>
      </c>
      <c r="G30" s="99">
        <f t="shared" si="1"/>
        <v>0.04</v>
      </c>
    </row>
    <row r="31" spans="1:7" x14ac:dyDescent="0.35">
      <c r="A31" s="12">
        <v>25</v>
      </c>
      <c r="B31" s="117" t="s">
        <v>642</v>
      </c>
      <c r="C31" s="33" t="s">
        <v>310</v>
      </c>
      <c r="D31" s="33">
        <v>25</v>
      </c>
      <c r="E31" s="31">
        <v>1</v>
      </c>
      <c r="F31" s="98">
        <f t="shared" si="0"/>
        <v>-24</v>
      </c>
      <c r="G31" s="99">
        <f t="shared" si="1"/>
        <v>0.04</v>
      </c>
    </row>
    <row r="32" spans="1:7" x14ac:dyDescent="0.35">
      <c r="A32" s="12">
        <v>26</v>
      </c>
      <c r="B32" s="117" t="s">
        <v>643</v>
      </c>
      <c r="C32" s="33" t="s">
        <v>310</v>
      </c>
      <c r="D32" s="31">
        <v>25</v>
      </c>
      <c r="E32" s="31">
        <v>2</v>
      </c>
      <c r="F32" s="98">
        <f t="shared" si="0"/>
        <v>-23</v>
      </c>
      <c r="G32" s="99">
        <f t="shared" si="1"/>
        <v>0.08</v>
      </c>
    </row>
    <row r="33" spans="1:7" x14ac:dyDescent="0.35">
      <c r="A33" s="12"/>
      <c r="B33" s="12" t="s">
        <v>55</v>
      </c>
      <c r="C33" s="98"/>
      <c r="D33" s="31">
        <v>640</v>
      </c>
      <c r="E33" s="98">
        <f>SUM(E7:E32)</f>
        <v>370</v>
      </c>
      <c r="F33" s="98">
        <f t="shared" si="0"/>
        <v>-270</v>
      </c>
      <c r="G33" s="99">
        <f t="shared" si="1"/>
        <v>0.578125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AFC0-C830-4EBE-A016-FFA096FC95DA}">
  <dimension ref="A1:G29"/>
  <sheetViews>
    <sheetView workbookViewId="0">
      <selection activeCell="B3" sqref="B3"/>
    </sheetView>
  </sheetViews>
  <sheetFormatPr defaultRowHeight="14.5" x14ac:dyDescent="0.35"/>
  <cols>
    <col min="1" max="1" width="5.36328125" customWidth="1"/>
    <col min="2" max="2" width="31.089843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673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117" t="s">
        <v>644</v>
      </c>
      <c r="C7" s="31" t="s">
        <v>68</v>
      </c>
      <c r="D7" s="31">
        <v>35</v>
      </c>
      <c r="E7" s="31">
        <v>16</v>
      </c>
      <c r="F7" s="12">
        <f>E7-D7</f>
        <v>-19</v>
      </c>
      <c r="G7" s="15">
        <f>E7/D7*100%</f>
        <v>0.45714285714285713</v>
      </c>
    </row>
    <row r="8" spans="1:7" x14ac:dyDescent="0.35">
      <c r="A8" s="12">
        <v>2</v>
      </c>
      <c r="B8" s="12" t="s">
        <v>645</v>
      </c>
      <c r="C8" s="33" t="s">
        <v>310</v>
      </c>
      <c r="D8" s="31">
        <v>25</v>
      </c>
      <c r="E8" s="31">
        <v>12</v>
      </c>
      <c r="F8" s="12">
        <f t="shared" ref="F8:F29" si="0">E8-D8</f>
        <v>-13</v>
      </c>
      <c r="G8" s="15">
        <f t="shared" ref="G8:G29" si="1">E8/D8*100%</f>
        <v>0.48</v>
      </c>
    </row>
    <row r="9" spans="1:7" x14ac:dyDescent="0.35">
      <c r="A9" s="12">
        <v>3</v>
      </c>
      <c r="B9" s="117" t="s">
        <v>646</v>
      </c>
      <c r="C9" s="33" t="s">
        <v>310</v>
      </c>
      <c r="D9" s="33">
        <v>25</v>
      </c>
      <c r="E9" s="31">
        <v>33</v>
      </c>
      <c r="F9" s="12">
        <f t="shared" si="0"/>
        <v>8</v>
      </c>
      <c r="G9" s="15">
        <f t="shared" si="1"/>
        <v>1.32</v>
      </c>
    </row>
    <row r="10" spans="1:7" x14ac:dyDescent="0.35">
      <c r="A10" s="12">
        <v>4</v>
      </c>
      <c r="B10" s="117" t="s">
        <v>647</v>
      </c>
      <c r="C10" s="33" t="s">
        <v>310</v>
      </c>
      <c r="D10" s="31">
        <v>25</v>
      </c>
      <c r="E10" s="31">
        <v>11</v>
      </c>
      <c r="F10" s="12">
        <f t="shared" si="0"/>
        <v>-14</v>
      </c>
      <c r="G10" s="15">
        <f t="shared" si="1"/>
        <v>0.44</v>
      </c>
    </row>
    <row r="11" spans="1:7" x14ac:dyDescent="0.35">
      <c r="A11" s="12">
        <v>5</v>
      </c>
      <c r="B11" s="117" t="s">
        <v>648</v>
      </c>
      <c r="C11" s="33" t="s">
        <v>310</v>
      </c>
      <c r="D11" s="33">
        <v>25</v>
      </c>
      <c r="E11" s="31">
        <v>26</v>
      </c>
      <c r="F11" s="12">
        <f t="shared" si="0"/>
        <v>1</v>
      </c>
      <c r="G11" s="15">
        <f t="shared" si="1"/>
        <v>1.04</v>
      </c>
    </row>
    <row r="12" spans="1:7" x14ac:dyDescent="0.35">
      <c r="A12" s="12">
        <v>6</v>
      </c>
      <c r="B12" s="12" t="s">
        <v>649</v>
      </c>
      <c r="C12" s="33" t="s">
        <v>310</v>
      </c>
      <c r="D12" s="31">
        <v>25</v>
      </c>
      <c r="E12" s="31">
        <v>1</v>
      </c>
      <c r="F12" s="12">
        <f t="shared" si="0"/>
        <v>-24</v>
      </c>
      <c r="G12" s="15">
        <f t="shared" si="1"/>
        <v>0.04</v>
      </c>
    </row>
    <row r="13" spans="1:7" x14ac:dyDescent="0.35">
      <c r="A13" s="12">
        <v>7</v>
      </c>
      <c r="B13" s="117" t="s">
        <v>650</v>
      </c>
      <c r="C13" s="33" t="s">
        <v>310</v>
      </c>
      <c r="D13" s="33">
        <v>25</v>
      </c>
      <c r="E13" s="31">
        <v>0</v>
      </c>
      <c r="F13" s="12">
        <f t="shared" si="0"/>
        <v>-25</v>
      </c>
      <c r="G13" s="15">
        <f t="shared" si="1"/>
        <v>0</v>
      </c>
    </row>
    <row r="14" spans="1:7" x14ac:dyDescent="0.35">
      <c r="A14" s="12">
        <v>8</v>
      </c>
      <c r="B14" s="117" t="s">
        <v>651</v>
      </c>
      <c r="C14" s="33" t="s">
        <v>310</v>
      </c>
      <c r="D14" s="31">
        <v>25</v>
      </c>
      <c r="E14" s="31">
        <v>0</v>
      </c>
      <c r="F14" s="12">
        <f t="shared" si="0"/>
        <v>-25</v>
      </c>
      <c r="G14" s="15">
        <f t="shared" si="1"/>
        <v>0</v>
      </c>
    </row>
    <row r="15" spans="1:7" x14ac:dyDescent="0.35">
      <c r="A15" s="12">
        <v>9</v>
      </c>
      <c r="B15" s="117" t="s">
        <v>652</v>
      </c>
      <c r="C15" s="31" t="s">
        <v>68</v>
      </c>
      <c r="D15" s="31">
        <v>35</v>
      </c>
      <c r="E15" s="31">
        <v>24</v>
      </c>
      <c r="F15" s="12">
        <f t="shared" si="0"/>
        <v>-11</v>
      </c>
      <c r="G15" s="15">
        <f t="shared" si="1"/>
        <v>0.68571428571428572</v>
      </c>
    </row>
    <row r="16" spans="1:7" x14ac:dyDescent="0.35">
      <c r="A16" s="12">
        <v>10</v>
      </c>
      <c r="B16" s="117" t="s">
        <v>653</v>
      </c>
      <c r="C16" s="33" t="s">
        <v>310</v>
      </c>
      <c r="D16" s="31">
        <v>25</v>
      </c>
      <c r="E16" s="31">
        <v>16</v>
      </c>
      <c r="F16" s="12">
        <f t="shared" si="0"/>
        <v>-9</v>
      </c>
      <c r="G16" s="15">
        <f t="shared" si="1"/>
        <v>0.64</v>
      </c>
    </row>
    <row r="17" spans="1:7" x14ac:dyDescent="0.35">
      <c r="A17" s="12">
        <v>11</v>
      </c>
      <c r="B17" s="117" t="s">
        <v>654</v>
      </c>
      <c r="C17" s="33" t="s">
        <v>310</v>
      </c>
      <c r="D17" s="33">
        <v>25</v>
      </c>
      <c r="E17" s="31">
        <v>28</v>
      </c>
      <c r="F17" s="12">
        <f t="shared" si="0"/>
        <v>3</v>
      </c>
      <c r="G17" s="15">
        <f t="shared" si="1"/>
        <v>1.1200000000000001</v>
      </c>
    </row>
    <row r="18" spans="1:7" x14ac:dyDescent="0.35">
      <c r="A18" s="12">
        <v>12</v>
      </c>
      <c r="B18" s="117" t="s">
        <v>655</v>
      </c>
      <c r="C18" s="33" t="s">
        <v>310</v>
      </c>
      <c r="D18" s="31">
        <v>25</v>
      </c>
      <c r="E18" s="31">
        <v>19</v>
      </c>
      <c r="F18" s="12">
        <f t="shared" si="0"/>
        <v>-6</v>
      </c>
      <c r="G18" s="15">
        <f t="shared" si="1"/>
        <v>0.76</v>
      </c>
    </row>
    <row r="19" spans="1:7" x14ac:dyDescent="0.35">
      <c r="A19" s="12">
        <v>13</v>
      </c>
      <c r="B19" s="117" t="s">
        <v>656</v>
      </c>
      <c r="C19" s="33" t="s">
        <v>310</v>
      </c>
      <c r="D19" s="33">
        <v>25</v>
      </c>
      <c r="E19" s="31">
        <v>21</v>
      </c>
      <c r="F19" s="12">
        <f t="shared" si="0"/>
        <v>-4</v>
      </c>
      <c r="G19" s="15">
        <f t="shared" si="1"/>
        <v>0.84</v>
      </c>
    </row>
    <row r="20" spans="1:7" x14ac:dyDescent="0.35">
      <c r="A20" s="12">
        <v>14</v>
      </c>
      <c r="B20" s="117" t="s">
        <v>657</v>
      </c>
      <c r="C20" s="33" t="s">
        <v>310</v>
      </c>
      <c r="D20" s="31">
        <v>25</v>
      </c>
      <c r="E20" s="31">
        <v>18</v>
      </c>
      <c r="F20" s="12">
        <f t="shared" si="0"/>
        <v>-7</v>
      </c>
      <c r="G20" s="15">
        <f t="shared" si="1"/>
        <v>0.72</v>
      </c>
    </row>
    <row r="21" spans="1:7" x14ac:dyDescent="0.35">
      <c r="A21" s="12">
        <v>15</v>
      </c>
      <c r="B21" s="117" t="s">
        <v>658</v>
      </c>
      <c r="C21" s="33" t="s">
        <v>310</v>
      </c>
      <c r="D21" s="33">
        <v>25</v>
      </c>
      <c r="E21" s="31">
        <v>17</v>
      </c>
      <c r="F21" s="12">
        <f t="shared" si="0"/>
        <v>-8</v>
      </c>
      <c r="G21" s="15">
        <f t="shared" si="1"/>
        <v>0.68</v>
      </c>
    </row>
    <row r="22" spans="1:7" x14ac:dyDescent="0.35">
      <c r="A22" s="12">
        <v>16</v>
      </c>
      <c r="B22" s="117" t="s">
        <v>659</v>
      </c>
      <c r="C22" s="31" t="s">
        <v>68</v>
      </c>
      <c r="D22" s="31">
        <v>35</v>
      </c>
      <c r="E22" s="31">
        <v>25</v>
      </c>
      <c r="F22" s="12">
        <f t="shared" si="0"/>
        <v>-10</v>
      </c>
      <c r="G22" s="15">
        <f t="shared" si="1"/>
        <v>0.7142857142857143</v>
      </c>
    </row>
    <row r="23" spans="1:7" x14ac:dyDescent="0.35">
      <c r="A23" s="12">
        <v>17</v>
      </c>
      <c r="B23" s="117" t="s">
        <v>660</v>
      </c>
      <c r="C23" s="33" t="s">
        <v>310</v>
      </c>
      <c r="D23" s="31">
        <v>25</v>
      </c>
      <c r="E23" s="31">
        <v>12</v>
      </c>
      <c r="F23" s="12">
        <f t="shared" si="0"/>
        <v>-13</v>
      </c>
      <c r="G23" s="15">
        <f t="shared" si="1"/>
        <v>0.48</v>
      </c>
    </row>
    <row r="24" spans="1:7" x14ac:dyDescent="0.35">
      <c r="A24" s="12">
        <v>18</v>
      </c>
      <c r="B24" s="117" t="s">
        <v>661</v>
      </c>
      <c r="C24" s="33" t="s">
        <v>310</v>
      </c>
      <c r="D24" s="33">
        <v>25</v>
      </c>
      <c r="E24" s="31">
        <v>5</v>
      </c>
      <c r="F24" s="12">
        <f t="shared" si="0"/>
        <v>-20</v>
      </c>
      <c r="G24" s="15">
        <f t="shared" si="1"/>
        <v>0.2</v>
      </c>
    </row>
    <row r="25" spans="1:7" x14ac:dyDescent="0.35">
      <c r="A25" s="12">
        <v>19</v>
      </c>
      <c r="B25" s="117" t="s">
        <v>662</v>
      </c>
      <c r="C25" s="33" t="s">
        <v>310</v>
      </c>
      <c r="D25" s="31">
        <v>25</v>
      </c>
      <c r="E25" s="31">
        <v>9</v>
      </c>
      <c r="F25" s="12">
        <f t="shared" si="0"/>
        <v>-16</v>
      </c>
      <c r="G25" s="15">
        <f t="shared" si="1"/>
        <v>0.36</v>
      </c>
    </row>
    <row r="26" spans="1:7" x14ac:dyDescent="0.35">
      <c r="A26" s="12">
        <v>20</v>
      </c>
      <c r="B26" s="117" t="s">
        <v>663</v>
      </c>
      <c r="C26" s="33" t="s">
        <v>310</v>
      </c>
      <c r="D26" s="33">
        <v>25</v>
      </c>
      <c r="E26" s="31">
        <v>12</v>
      </c>
      <c r="F26" s="12">
        <f t="shared" si="0"/>
        <v>-13</v>
      </c>
      <c r="G26" s="15">
        <f t="shared" si="1"/>
        <v>0.48</v>
      </c>
    </row>
    <row r="27" spans="1:7" x14ac:dyDescent="0.35">
      <c r="A27" s="12">
        <v>21</v>
      </c>
      <c r="B27" s="117" t="s">
        <v>664</v>
      </c>
      <c r="C27" s="33" t="s">
        <v>310</v>
      </c>
      <c r="D27" s="33">
        <v>25</v>
      </c>
      <c r="E27" s="31">
        <v>4</v>
      </c>
      <c r="F27" s="12">
        <f t="shared" si="0"/>
        <v>-21</v>
      </c>
      <c r="G27" s="15">
        <f t="shared" si="1"/>
        <v>0.16</v>
      </c>
    </row>
    <row r="28" spans="1:7" x14ac:dyDescent="0.35">
      <c r="A28" s="12">
        <v>22</v>
      </c>
      <c r="B28" s="117" t="s">
        <v>665</v>
      </c>
      <c r="C28" s="33" t="s">
        <v>310</v>
      </c>
      <c r="D28" s="31">
        <v>25</v>
      </c>
      <c r="E28" s="31">
        <v>6</v>
      </c>
      <c r="F28" s="12">
        <f t="shared" si="0"/>
        <v>-19</v>
      </c>
      <c r="G28" s="15">
        <f t="shared" si="1"/>
        <v>0.24</v>
      </c>
    </row>
    <row r="29" spans="1:7" x14ac:dyDescent="0.35">
      <c r="A29" s="12"/>
      <c r="B29" s="12" t="s">
        <v>55</v>
      </c>
      <c r="C29" s="12"/>
      <c r="D29" s="33">
        <v>570</v>
      </c>
      <c r="E29" s="12">
        <f>SUM(E7:E28)</f>
        <v>315</v>
      </c>
      <c r="F29" s="12">
        <f t="shared" si="0"/>
        <v>-255</v>
      </c>
      <c r="G29" s="15">
        <f t="shared" si="1"/>
        <v>0.55263157894736847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E386-BD73-4728-A577-8AA1E90A3B25}">
  <dimension ref="A1:G7"/>
  <sheetViews>
    <sheetView workbookViewId="0">
      <selection activeCell="B3" sqref="B3"/>
    </sheetView>
  </sheetViews>
  <sheetFormatPr defaultRowHeight="14.5" x14ac:dyDescent="0.35"/>
  <cols>
    <col min="1" max="1" width="6.90625" customWidth="1"/>
    <col min="2" max="2" width="28.36328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673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666</v>
      </c>
      <c r="C7" s="31" t="s">
        <v>310</v>
      </c>
      <c r="D7" s="31">
        <v>25</v>
      </c>
      <c r="E7" s="31">
        <v>0</v>
      </c>
      <c r="F7" s="98">
        <f>E7-D7</f>
        <v>-25</v>
      </c>
      <c r="G7" s="15">
        <f>E7/D7*100%</f>
        <v>0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69F0-E21D-43DB-8D2A-FB3BEC62ED8F}">
  <dimension ref="A1:G55"/>
  <sheetViews>
    <sheetView workbookViewId="0">
      <selection activeCell="D3" sqref="D3"/>
    </sheetView>
  </sheetViews>
  <sheetFormatPr defaultRowHeight="14.5" x14ac:dyDescent="0.35"/>
  <cols>
    <col min="1" max="1" width="4.6328125" customWidth="1"/>
    <col min="2" max="2" width="27.816406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674</v>
      </c>
    </row>
    <row r="4" spans="1:7" x14ac:dyDescent="0.35">
      <c r="B4" t="s">
        <v>14</v>
      </c>
    </row>
    <row r="5" spans="1:7" x14ac:dyDescent="0.35">
      <c r="A5" s="137" t="s">
        <v>58</v>
      </c>
      <c r="B5" s="138" t="s">
        <v>59</v>
      </c>
      <c r="C5" s="139" t="s">
        <v>66</v>
      </c>
      <c r="D5" s="140"/>
      <c r="E5" s="140"/>
      <c r="F5" s="140"/>
      <c r="G5" s="140"/>
    </row>
    <row r="6" spans="1:7" x14ac:dyDescent="0.35">
      <c r="A6" s="137"/>
      <c r="B6" s="138"/>
      <c r="C6" s="141" t="s">
        <v>60</v>
      </c>
      <c r="D6" s="141" t="s">
        <v>61</v>
      </c>
      <c r="E6" s="141" t="s">
        <v>62</v>
      </c>
      <c r="F6" s="141" t="s">
        <v>63</v>
      </c>
      <c r="G6" s="143" t="s">
        <v>6</v>
      </c>
    </row>
    <row r="7" spans="1:7" x14ac:dyDescent="0.35">
      <c r="A7" s="137"/>
      <c r="B7" s="138"/>
      <c r="C7" s="142"/>
      <c r="D7" s="142"/>
      <c r="E7" s="142"/>
      <c r="F7" s="142"/>
      <c r="G7" s="144"/>
    </row>
    <row r="8" spans="1:7" x14ac:dyDescent="0.35">
      <c r="A8" s="55">
        <v>1</v>
      </c>
      <c r="B8" s="56" t="s">
        <v>308</v>
      </c>
      <c r="C8" s="51" t="s">
        <v>68</v>
      </c>
      <c r="D8" s="52">
        <v>35</v>
      </c>
      <c r="E8" s="53">
        <v>0</v>
      </c>
      <c r="F8" s="54">
        <f>E8-D8</f>
        <v>-35</v>
      </c>
      <c r="G8" s="57">
        <f>E8/D8*100%</f>
        <v>0</v>
      </c>
    </row>
    <row r="9" spans="1:7" x14ac:dyDescent="0.35">
      <c r="A9" s="55">
        <v>2</v>
      </c>
      <c r="B9" s="56" t="s">
        <v>309</v>
      </c>
      <c r="C9" s="51" t="s">
        <v>310</v>
      </c>
      <c r="D9" s="52">
        <v>25</v>
      </c>
      <c r="E9" s="53">
        <v>32</v>
      </c>
      <c r="F9" s="54">
        <f t="shared" ref="F9:F16" si="0">E9-D9</f>
        <v>7</v>
      </c>
      <c r="G9" s="57">
        <f t="shared" ref="G9:G16" si="1">E9/D9*100%</f>
        <v>1.28</v>
      </c>
    </row>
    <row r="10" spans="1:7" x14ac:dyDescent="0.35">
      <c r="A10" s="55">
        <v>3</v>
      </c>
      <c r="B10" s="56" t="s">
        <v>311</v>
      </c>
      <c r="C10" s="51" t="s">
        <v>310</v>
      </c>
      <c r="D10" s="52">
        <v>25</v>
      </c>
      <c r="E10" s="53">
        <v>28</v>
      </c>
      <c r="F10" s="54">
        <f t="shared" si="0"/>
        <v>3</v>
      </c>
      <c r="G10" s="57">
        <f t="shared" si="1"/>
        <v>1.1200000000000001</v>
      </c>
    </row>
    <row r="11" spans="1:7" x14ac:dyDescent="0.35">
      <c r="A11" s="55">
        <v>4</v>
      </c>
      <c r="B11" s="56" t="s">
        <v>312</v>
      </c>
      <c r="C11" s="51" t="s">
        <v>310</v>
      </c>
      <c r="D11" s="52">
        <v>25</v>
      </c>
      <c r="E11" s="53">
        <v>36</v>
      </c>
      <c r="F11" s="54">
        <f t="shared" si="0"/>
        <v>11</v>
      </c>
      <c r="G11" s="57">
        <f t="shared" si="1"/>
        <v>1.44</v>
      </c>
    </row>
    <row r="12" spans="1:7" x14ac:dyDescent="0.35">
      <c r="A12" s="55">
        <v>5</v>
      </c>
      <c r="B12" s="56" t="s">
        <v>313</v>
      </c>
      <c r="C12" s="51" t="s">
        <v>310</v>
      </c>
      <c r="D12" s="52">
        <v>25</v>
      </c>
      <c r="E12" s="53">
        <v>19</v>
      </c>
      <c r="F12" s="54">
        <f t="shared" si="0"/>
        <v>-6</v>
      </c>
      <c r="G12" s="57">
        <f t="shared" si="1"/>
        <v>0.76</v>
      </c>
    </row>
    <row r="13" spans="1:7" x14ac:dyDescent="0.35">
      <c r="A13" s="55">
        <v>6</v>
      </c>
      <c r="B13" s="56" t="s">
        <v>314</v>
      </c>
      <c r="C13" s="51" t="s">
        <v>310</v>
      </c>
      <c r="D13" s="52">
        <v>25</v>
      </c>
      <c r="E13" s="53">
        <v>15</v>
      </c>
      <c r="F13" s="54">
        <f t="shared" si="0"/>
        <v>-10</v>
      </c>
      <c r="G13" s="57">
        <f t="shared" si="1"/>
        <v>0.6</v>
      </c>
    </row>
    <row r="14" spans="1:7" x14ac:dyDescent="0.35">
      <c r="A14" s="55">
        <v>7</v>
      </c>
      <c r="B14" s="56" t="s">
        <v>315</v>
      </c>
      <c r="C14" s="51" t="s">
        <v>310</v>
      </c>
      <c r="D14" s="52">
        <v>25</v>
      </c>
      <c r="E14" s="53">
        <v>5</v>
      </c>
      <c r="F14" s="54">
        <f t="shared" si="0"/>
        <v>-20</v>
      </c>
      <c r="G14" s="57">
        <f t="shared" si="1"/>
        <v>0.2</v>
      </c>
    </row>
    <row r="15" spans="1:7" x14ac:dyDescent="0.35">
      <c r="A15" s="55">
        <v>8</v>
      </c>
      <c r="B15" s="56" t="s">
        <v>316</v>
      </c>
      <c r="C15" s="51" t="s">
        <v>310</v>
      </c>
      <c r="D15" s="52">
        <v>25</v>
      </c>
      <c r="E15" s="53">
        <v>8</v>
      </c>
      <c r="F15" s="54">
        <f t="shared" si="0"/>
        <v>-17</v>
      </c>
      <c r="G15" s="57">
        <f t="shared" si="1"/>
        <v>0.32</v>
      </c>
    </row>
    <row r="16" spans="1:7" x14ac:dyDescent="0.35">
      <c r="A16" s="54"/>
      <c r="B16" s="54" t="s">
        <v>55</v>
      </c>
      <c r="C16" s="54"/>
      <c r="D16" s="54">
        <v>190</v>
      </c>
      <c r="E16" s="54">
        <f>SUM(E8:E15)</f>
        <v>143</v>
      </c>
      <c r="F16" s="54">
        <f t="shared" si="0"/>
        <v>-47</v>
      </c>
      <c r="G16" s="57">
        <f t="shared" si="1"/>
        <v>0.75263157894736843</v>
      </c>
    </row>
    <row r="18" spans="1:7" x14ac:dyDescent="0.35">
      <c r="B18" s="50" t="s">
        <v>15</v>
      </c>
    </row>
    <row r="19" spans="1:7" x14ac:dyDescent="0.35">
      <c r="A19" s="137" t="s">
        <v>58</v>
      </c>
      <c r="B19" s="138" t="s">
        <v>59</v>
      </c>
      <c r="C19" s="139" t="s">
        <v>66</v>
      </c>
      <c r="D19" s="140"/>
      <c r="E19" s="140"/>
      <c r="F19" s="140"/>
      <c r="G19" s="140"/>
    </row>
    <row r="20" spans="1:7" x14ac:dyDescent="0.35">
      <c r="A20" s="137"/>
      <c r="B20" s="138"/>
      <c r="C20" s="141" t="s">
        <v>60</v>
      </c>
      <c r="D20" s="141" t="s">
        <v>61</v>
      </c>
      <c r="E20" s="141" t="s">
        <v>62</v>
      </c>
      <c r="F20" s="141" t="s">
        <v>63</v>
      </c>
      <c r="G20" s="143" t="s">
        <v>6</v>
      </c>
    </row>
    <row r="21" spans="1:7" x14ac:dyDescent="0.35">
      <c r="A21" s="137"/>
      <c r="B21" s="138"/>
      <c r="C21" s="142"/>
      <c r="D21" s="142"/>
      <c r="E21" s="142"/>
      <c r="F21" s="142"/>
      <c r="G21" s="144"/>
    </row>
    <row r="22" spans="1:7" x14ac:dyDescent="0.35">
      <c r="A22" s="55">
        <v>1</v>
      </c>
      <c r="B22" s="56" t="s">
        <v>317</v>
      </c>
      <c r="C22" s="51" t="s">
        <v>68</v>
      </c>
      <c r="D22" s="52">
        <v>35</v>
      </c>
      <c r="E22" s="53">
        <v>0</v>
      </c>
      <c r="F22" s="54">
        <f>E22-D22</f>
        <v>-35</v>
      </c>
      <c r="G22" s="57">
        <f>E22/D22*100%</f>
        <v>0</v>
      </c>
    </row>
    <row r="23" spans="1:7" x14ac:dyDescent="0.35">
      <c r="A23" s="55">
        <v>2</v>
      </c>
      <c r="B23" s="56" t="s">
        <v>318</v>
      </c>
      <c r="C23" s="51" t="s">
        <v>310</v>
      </c>
      <c r="D23" s="52">
        <v>25</v>
      </c>
      <c r="E23" s="53">
        <v>28</v>
      </c>
      <c r="F23" s="54">
        <f t="shared" ref="F23:F28" si="2">E23-D23</f>
        <v>3</v>
      </c>
      <c r="G23" s="57">
        <f t="shared" ref="G23:G28" si="3">E23/D23*100%</f>
        <v>1.1200000000000001</v>
      </c>
    </row>
    <row r="24" spans="1:7" x14ac:dyDescent="0.35">
      <c r="A24" s="55">
        <v>3</v>
      </c>
      <c r="B24" s="56" t="s">
        <v>319</v>
      </c>
      <c r="C24" s="51" t="s">
        <v>310</v>
      </c>
      <c r="D24" s="52">
        <v>25</v>
      </c>
      <c r="E24" s="53">
        <v>27</v>
      </c>
      <c r="F24" s="54">
        <f t="shared" si="2"/>
        <v>2</v>
      </c>
      <c r="G24" s="57">
        <f t="shared" si="3"/>
        <v>1.08</v>
      </c>
    </row>
    <row r="25" spans="1:7" x14ac:dyDescent="0.35">
      <c r="A25" s="55">
        <v>4</v>
      </c>
      <c r="B25" s="56" t="s">
        <v>320</v>
      </c>
      <c r="C25" s="51" t="s">
        <v>310</v>
      </c>
      <c r="D25" s="52">
        <v>25</v>
      </c>
      <c r="E25" s="53">
        <v>45</v>
      </c>
      <c r="F25" s="54">
        <f t="shared" si="2"/>
        <v>20</v>
      </c>
      <c r="G25" s="57">
        <f t="shared" si="3"/>
        <v>1.8</v>
      </c>
    </row>
    <row r="26" spans="1:7" x14ac:dyDescent="0.35">
      <c r="A26" s="55">
        <v>5</v>
      </c>
      <c r="B26" s="56" t="s">
        <v>321</v>
      </c>
      <c r="C26" s="51" t="s">
        <v>310</v>
      </c>
      <c r="D26" s="52">
        <v>25</v>
      </c>
      <c r="E26" s="53">
        <v>23</v>
      </c>
      <c r="F26" s="54">
        <f t="shared" si="2"/>
        <v>-2</v>
      </c>
      <c r="G26" s="57">
        <f t="shared" si="3"/>
        <v>0.92</v>
      </c>
    </row>
    <row r="27" spans="1:7" x14ac:dyDescent="0.35">
      <c r="A27" s="55">
        <v>6</v>
      </c>
      <c r="B27" s="56" t="s">
        <v>322</v>
      </c>
      <c r="C27" s="51" t="s">
        <v>310</v>
      </c>
      <c r="D27" s="52">
        <v>25</v>
      </c>
      <c r="E27" s="53">
        <v>29</v>
      </c>
      <c r="F27" s="54">
        <f t="shared" si="2"/>
        <v>4</v>
      </c>
      <c r="G27" s="57">
        <f t="shared" si="3"/>
        <v>1.1599999999999999</v>
      </c>
    </row>
    <row r="28" spans="1:7" x14ac:dyDescent="0.35">
      <c r="A28" s="54"/>
      <c r="B28" s="54" t="s">
        <v>55</v>
      </c>
      <c r="C28" s="54"/>
      <c r="D28" s="52">
        <v>150</v>
      </c>
      <c r="E28" s="54">
        <f>SUM(E22:E27)</f>
        <v>152</v>
      </c>
      <c r="F28" s="54">
        <f t="shared" si="2"/>
        <v>2</v>
      </c>
      <c r="G28" s="57">
        <f t="shared" si="3"/>
        <v>1.0133333333333334</v>
      </c>
    </row>
    <row r="30" spans="1:7" x14ac:dyDescent="0.35">
      <c r="B30" t="s">
        <v>323</v>
      </c>
    </row>
    <row r="31" spans="1:7" x14ac:dyDescent="0.35">
      <c r="A31" s="137" t="s">
        <v>58</v>
      </c>
      <c r="B31" s="138" t="s">
        <v>59</v>
      </c>
      <c r="C31" s="139" t="s">
        <v>66</v>
      </c>
      <c r="D31" s="140"/>
      <c r="E31" s="140"/>
      <c r="F31" s="140"/>
      <c r="G31" s="140"/>
    </row>
    <row r="32" spans="1:7" x14ac:dyDescent="0.35">
      <c r="A32" s="137"/>
      <c r="B32" s="138"/>
      <c r="C32" s="141" t="s">
        <v>60</v>
      </c>
      <c r="D32" s="141" t="s">
        <v>61</v>
      </c>
      <c r="E32" s="141" t="s">
        <v>62</v>
      </c>
      <c r="F32" s="141" t="s">
        <v>63</v>
      </c>
      <c r="G32" s="143" t="s">
        <v>6</v>
      </c>
    </row>
    <row r="33" spans="1:7" x14ac:dyDescent="0.35">
      <c r="A33" s="137"/>
      <c r="B33" s="138"/>
      <c r="C33" s="142"/>
      <c r="D33" s="142"/>
      <c r="E33" s="142"/>
      <c r="F33" s="142"/>
      <c r="G33" s="144"/>
    </row>
    <row r="34" spans="1:7" x14ac:dyDescent="0.35">
      <c r="A34" s="55">
        <v>1</v>
      </c>
      <c r="B34" s="56" t="s">
        <v>324</v>
      </c>
      <c r="C34" s="51" t="s">
        <v>310</v>
      </c>
      <c r="D34" s="52">
        <v>25</v>
      </c>
      <c r="E34" s="53">
        <v>6</v>
      </c>
      <c r="F34" s="54">
        <f>E34-D34</f>
        <v>-19</v>
      </c>
      <c r="G34" s="57">
        <f>E34/D34*100%</f>
        <v>0.24</v>
      </c>
    </row>
    <row r="35" spans="1:7" x14ac:dyDescent="0.35">
      <c r="A35" s="55">
        <v>2</v>
      </c>
      <c r="B35" s="56" t="s">
        <v>325</v>
      </c>
      <c r="C35" s="51" t="s">
        <v>310</v>
      </c>
      <c r="D35" s="52">
        <v>25</v>
      </c>
      <c r="E35" s="53">
        <v>5</v>
      </c>
      <c r="F35" s="54">
        <f t="shared" ref="F35:F41" si="4">E35-D35</f>
        <v>-20</v>
      </c>
      <c r="G35" s="57">
        <f t="shared" ref="G35:G41" si="5">E35/D35*100%</f>
        <v>0.2</v>
      </c>
    </row>
    <row r="36" spans="1:7" x14ac:dyDescent="0.35">
      <c r="A36" s="55">
        <v>3</v>
      </c>
      <c r="B36" s="56" t="s">
        <v>326</v>
      </c>
      <c r="C36" s="51" t="s">
        <v>310</v>
      </c>
      <c r="D36" s="52">
        <v>25</v>
      </c>
      <c r="E36" s="53">
        <v>2</v>
      </c>
      <c r="F36" s="54">
        <f t="shared" si="4"/>
        <v>-23</v>
      </c>
      <c r="G36" s="57">
        <f t="shared" si="5"/>
        <v>0.08</v>
      </c>
    </row>
    <row r="37" spans="1:7" x14ac:dyDescent="0.35">
      <c r="A37" s="55">
        <v>4</v>
      </c>
      <c r="B37" s="56" t="s">
        <v>327</v>
      </c>
      <c r="C37" s="51" t="s">
        <v>310</v>
      </c>
      <c r="D37" s="52">
        <v>25</v>
      </c>
      <c r="E37" s="53">
        <v>1</v>
      </c>
      <c r="F37" s="54">
        <f t="shared" si="4"/>
        <v>-24</v>
      </c>
      <c r="G37" s="57">
        <f t="shared" si="5"/>
        <v>0.04</v>
      </c>
    </row>
    <row r="38" spans="1:7" x14ac:dyDescent="0.35">
      <c r="A38" s="55">
        <v>5</v>
      </c>
      <c r="B38" s="58" t="s">
        <v>328</v>
      </c>
      <c r="C38" s="51" t="s">
        <v>310</v>
      </c>
      <c r="D38" s="52">
        <v>25</v>
      </c>
      <c r="E38" s="53">
        <v>0</v>
      </c>
      <c r="F38" s="54">
        <f t="shared" si="4"/>
        <v>-25</v>
      </c>
      <c r="G38" s="57">
        <f t="shared" si="5"/>
        <v>0</v>
      </c>
    </row>
    <row r="39" spans="1:7" x14ac:dyDescent="0.35">
      <c r="A39" s="55">
        <v>6</v>
      </c>
      <c r="B39" s="58" t="s">
        <v>329</v>
      </c>
      <c r="C39" s="51" t="s">
        <v>310</v>
      </c>
      <c r="D39" s="52">
        <v>25</v>
      </c>
      <c r="E39" s="53">
        <v>1</v>
      </c>
      <c r="F39" s="54">
        <f t="shared" si="4"/>
        <v>-24</v>
      </c>
      <c r="G39" s="57">
        <f t="shared" si="5"/>
        <v>0.04</v>
      </c>
    </row>
    <row r="40" spans="1:7" x14ac:dyDescent="0.35">
      <c r="A40" s="55">
        <v>7</v>
      </c>
      <c r="B40" s="56" t="s">
        <v>330</v>
      </c>
      <c r="C40" s="51" t="s">
        <v>310</v>
      </c>
      <c r="D40" s="52">
        <v>25</v>
      </c>
      <c r="E40" s="53">
        <v>6</v>
      </c>
      <c r="F40" s="54">
        <f t="shared" si="4"/>
        <v>-19</v>
      </c>
      <c r="G40" s="57">
        <f t="shared" si="5"/>
        <v>0.24</v>
      </c>
    </row>
    <row r="41" spans="1:7" x14ac:dyDescent="0.35">
      <c r="A41" s="54"/>
      <c r="B41" s="54" t="s">
        <v>55</v>
      </c>
      <c r="C41" s="54"/>
      <c r="D41" s="52">
        <v>190</v>
      </c>
      <c r="E41" s="54">
        <f>SUM(E34:E40)</f>
        <v>21</v>
      </c>
      <c r="F41" s="54">
        <f t="shared" si="4"/>
        <v>-169</v>
      </c>
      <c r="G41" s="57">
        <f t="shared" si="5"/>
        <v>0.11052631578947368</v>
      </c>
    </row>
    <row r="43" spans="1:7" x14ac:dyDescent="0.35">
      <c r="B43" t="s">
        <v>331</v>
      </c>
    </row>
    <row r="44" spans="1:7" x14ac:dyDescent="0.35">
      <c r="A44" s="137" t="s">
        <v>58</v>
      </c>
      <c r="B44" s="138" t="s">
        <v>59</v>
      </c>
      <c r="C44" s="139" t="s">
        <v>66</v>
      </c>
      <c r="D44" s="140"/>
      <c r="E44" s="140"/>
      <c r="F44" s="140"/>
      <c r="G44" s="140"/>
    </row>
    <row r="45" spans="1:7" x14ac:dyDescent="0.35">
      <c r="A45" s="137"/>
      <c r="B45" s="138"/>
      <c r="C45" s="141" t="s">
        <v>60</v>
      </c>
      <c r="D45" s="141" t="s">
        <v>61</v>
      </c>
      <c r="E45" s="141" t="s">
        <v>62</v>
      </c>
      <c r="F45" s="141" t="s">
        <v>63</v>
      </c>
      <c r="G45" s="143" t="s">
        <v>6</v>
      </c>
    </row>
    <row r="46" spans="1:7" x14ac:dyDescent="0.35">
      <c r="A46" s="137"/>
      <c r="B46" s="138"/>
      <c r="C46" s="142"/>
      <c r="D46" s="142"/>
      <c r="E46" s="142"/>
      <c r="F46" s="142"/>
      <c r="G46" s="144"/>
    </row>
    <row r="47" spans="1:7" x14ac:dyDescent="0.35">
      <c r="A47" s="55">
        <v>1</v>
      </c>
      <c r="B47" s="56" t="s">
        <v>332</v>
      </c>
      <c r="C47" s="51" t="s">
        <v>68</v>
      </c>
      <c r="D47" s="52">
        <v>35</v>
      </c>
      <c r="E47" s="53">
        <v>16</v>
      </c>
      <c r="F47" s="54">
        <f>E47-D47</f>
        <v>-19</v>
      </c>
      <c r="G47" s="57">
        <f>E47/D47*100%</f>
        <v>0.45714285714285713</v>
      </c>
    </row>
    <row r="48" spans="1:7" x14ac:dyDescent="0.35">
      <c r="A48" s="55">
        <v>2</v>
      </c>
      <c r="B48" s="56" t="s">
        <v>333</v>
      </c>
      <c r="C48" s="51" t="s">
        <v>310</v>
      </c>
      <c r="D48" s="52">
        <v>25</v>
      </c>
      <c r="E48" s="53">
        <v>28</v>
      </c>
      <c r="F48" s="54">
        <f t="shared" ref="F48:F55" si="6">E48-D48</f>
        <v>3</v>
      </c>
      <c r="G48" s="57">
        <f t="shared" ref="G48:G55" si="7">E48/D48*100%</f>
        <v>1.1200000000000001</v>
      </c>
    </row>
    <row r="49" spans="1:7" x14ac:dyDescent="0.35">
      <c r="A49" s="55">
        <v>3</v>
      </c>
      <c r="B49" s="56" t="s">
        <v>334</v>
      </c>
      <c r="C49" s="51" t="s">
        <v>310</v>
      </c>
      <c r="D49" s="52">
        <v>25</v>
      </c>
      <c r="E49" s="53">
        <v>23</v>
      </c>
      <c r="F49" s="54">
        <f t="shared" si="6"/>
        <v>-2</v>
      </c>
      <c r="G49" s="57">
        <f t="shared" si="7"/>
        <v>0.92</v>
      </c>
    </row>
    <row r="50" spans="1:7" x14ac:dyDescent="0.35">
      <c r="A50" s="55">
        <v>4</v>
      </c>
      <c r="B50" s="59" t="s">
        <v>335</v>
      </c>
      <c r="C50" s="51" t="s">
        <v>310</v>
      </c>
      <c r="D50" s="52">
        <v>25</v>
      </c>
      <c r="E50" s="53">
        <v>35</v>
      </c>
      <c r="F50" s="54">
        <f t="shared" si="6"/>
        <v>10</v>
      </c>
      <c r="G50" s="57">
        <f t="shared" si="7"/>
        <v>1.4</v>
      </c>
    </row>
    <row r="51" spans="1:7" x14ac:dyDescent="0.35">
      <c r="A51" s="55">
        <v>5</v>
      </c>
      <c r="B51" s="59" t="s">
        <v>336</v>
      </c>
      <c r="C51" s="51" t="s">
        <v>310</v>
      </c>
      <c r="D51" s="52">
        <v>25</v>
      </c>
      <c r="E51" s="53">
        <v>17</v>
      </c>
      <c r="F51" s="54">
        <f t="shared" si="6"/>
        <v>-8</v>
      </c>
      <c r="G51" s="57">
        <f t="shared" si="7"/>
        <v>0.68</v>
      </c>
    </row>
    <row r="52" spans="1:7" x14ac:dyDescent="0.35">
      <c r="A52" s="55">
        <v>6</v>
      </c>
      <c r="B52" s="59" t="s">
        <v>337</v>
      </c>
      <c r="C52" s="51" t="s">
        <v>310</v>
      </c>
      <c r="D52" s="52">
        <v>25</v>
      </c>
      <c r="E52" s="53">
        <v>21</v>
      </c>
      <c r="F52" s="54">
        <f t="shared" si="6"/>
        <v>-4</v>
      </c>
      <c r="G52" s="57">
        <f t="shared" si="7"/>
        <v>0.84</v>
      </c>
    </row>
    <row r="53" spans="1:7" x14ac:dyDescent="0.35">
      <c r="A53" s="55">
        <v>7</v>
      </c>
      <c r="B53" s="56" t="s">
        <v>338</v>
      </c>
      <c r="C53" s="51" t="s">
        <v>310</v>
      </c>
      <c r="D53" s="52">
        <v>25</v>
      </c>
      <c r="E53" s="53">
        <v>14</v>
      </c>
      <c r="F53" s="54">
        <f t="shared" si="6"/>
        <v>-11</v>
      </c>
      <c r="G53" s="57">
        <f t="shared" si="7"/>
        <v>0.56000000000000005</v>
      </c>
    </row>
    <row r="54" spans="1:7" x14ac:dyDescent="0.35">
      <c r="A54" s="55">
        <v>8</v>
      </c>
      <c r="B54" s="60" t="s">
        <v>339</v>
      </c>
      <c r="C54" s="51" t="s">
        <v>310</v>
      </c>
      <c r="D54" s="52">
        <v>25</v>
      </c>
      <c r="E54" s="53">
        <v>2</v>
      </c>
      <c r="F54" s="54">
        <f t="shared" si="6"/>
        <v>-23</v>
      </c>
      <c r="G54" s="57">
        <f t="shared" si="7"/>
        <v>0.08</v>
      </c>
    </row>
    <row r="55" spans="1:7" x14ac:dyDescent="0.35">
      <c r="A55" s="54"/>
      <c r="B55" s="54" t="s">
        <v>55</v>
      </c>
      <c r="C55" s="54"/>
      <c r="D55" s="52">
        <v>190</v>
      </c>
      <c r="E55" s="54">
        <f>SUM(E47:E54)</f>
        <v>156</v>
      </c>
      <c r="F55" s="54">
        <f t="shared" si="6"/>
        <v>-34</v>
      </c>
      <c r="G55" s="57">
        <f t="shared" si="7"/>
        <v>0.82105263157894737</v>
      </c>
    </row>
  </sheetData>
  <mergeCells count="32">
    <mergeCell ref="A44:A46"/>
    <mergeCell ref="B44:B46"/>
    <mergeCell ref="C44:G44"/>
    <mergeCell ref="C45:C46"/>
    <mergeCell ref="D45:D46"/>
    <mergeCell ref="E45:E46"/>
    <mergeCell ref="F45:F46"/>
    <mergeCell ref="G45:G46"/>
    <mergeCell ref="A31:A33"/>
    <mergeCell ref="B31:B33"/>
    <mergeCell ref="C31:G31"/>
    <mergeCell ref="C32:C33"/>
    <mergeCell ref="D32:D33"/>
    <mergeCell ref="E32:E33"/>
    <mergeCell ref="F32:F33"/>
    <mergeCell ref="G32:G33"/>
    <mergeCell ref="A19:A21"/>
    <mergeCell ref="B19:B21"/>
    <mergeCell ref="C19:G19"/>
    <mergeCell ref="C20:C21"/>
    <mergeCell ref="D20:D21"/>
    <mergeCell ref="E20:E21"/>
    <mergeCell ref="F20:F21"/>
    <mergeCell ref="G20:G21"/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C4AC-DFDE-4AED-BE0B-9AB810A48819}">
  <dimension ref="A1:G45"/>
  <sheetViews>
    <sheetView workbookViewId="0">
      <selection activeCell="D1" sqref="D1"/>
    </sheetView>
  </sheetViews>
  <sheetFormatPr defaultRowHeight="14.5" x14ac:dyDescent="0.35"/>
  <cols>
    <col min="1" max="1" width="4.90625" customWidth="1"/>
    <col min="2" max="2" width="36.906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670</v>
      </c>
    </row>
    <row r="3" spans="1:7" x14ac:dyDescent="0.35">
      <c r="B3" s="149" t="s">
        <v>675</v>
      </c>
    </row>
    <row r="4" spans="1:7" x14ac:dyDescent="0.35">
      <c r="B4" t="s">
        <v>19</v>
      </c>
    </row>
    <row r="5" spans="1:7" x14ac:dyDescent="0.35">
      <c r="A5" s="137" t="s">
        <v>58</v>
      </c>
      <c r="B5" s="138" t="s">
        <v>59</v>
      </c>
      <c r="C5" s="139" t="s">
        <v>66</v>
      </c>
      <c r="D5" s="140"/>
      <c r="E5" s="140"/>
      <c r="F5" s="140"/>
      <c r="G5" s="140"/>
    </row>
    <row r="6" spans="1:7" x14ac:dyDescent="0.35">
      <c r="A6" s="137"/>
      <c r="B6" s="138"/>
      <c r="C6" s="141" t="s">
        <v>60</v>
      </c>
      <c r="D6" s="141" t="s">
        <v>61</v>
      </c>
      <c r="E6" s="141" t="s">
        <v>62</v>
      </c>
      <c r="F6" s="141" t="s">
        <v>63</v>
      </c>
      <c r="G6" s="143" t="s">
        <v>6</v>
      </c>
    </row>
    <row r="7" spans="1:7" x14ac:dyDescent="0.35">
      <c r="A7" s="137"/>
      <c r="B7" s="138"/>
      <c r="C7" s="142"/>
      <c r="D7" s="142"/>
      <c r="E7" s="142"/>
      <c r="F7" s="142"/>
      <c r="G7" s="144"/>
    </row>
    <row r="8" spans="1:7" x14ac:dyDescent="0.35">
      <c r="A8" s="8">
        <v>1</v>
      </c>
      <c r="B8" s="100" t="s">
        <v>67</v>
      </c>
      <c r="C8" s="101" t="s">
        <v>68</v>
      </c>
      <c r="D8" s="102">
        <v>35</v>
      </c>
      <c r="E8" s="103">
        <v>7</v>
      </c>
      <c r="F8" s="8">
        <f>E8-D8</f>
        <v>-28</v>
      </c>
      <c r="G8" s="14">
        <f>E8/D8*100%</f>
        <v>0.2</v>
      </c>
    </row>
    <row r="9" spans="1:7" x14ac:dyDescent="0.35">
      <c r="A9" s="8">
        <v>2</v>
      </c>
      <c r="B9" s="104" t="s">
        <v>69</v>
      </c>
      <c r="C9" s="105" t="s">
        <v>70</v>
      </c>
      <c r="D9" s="103">
        <v>25</v>
      </c>
      <c r="E9" s="103">
        <v>20</v>
      </c>
      <c r="F9" s="8">
        <f t="shared" ref="F9:F21" si="0">E9-D9</f>
        <v>-5</v>
      </c>
      <c r="G9" s="14">
        <f t="shared" ref="G9:G21" si="1">E9/D9*100%</f>
        <v>0.8</v>
      </c>
    </row>
    <row r="10" spans="1:7" x14ac:dyDescent="0.35">
      <c r="A10" s="8">
        <v>3</v>
      </c>
      <c r="B10" s="104" t="s">
        <v>71</v>
      </c>
      <c r="C10" s="105" t="s">
        <v>70</v>
      </c>
      <c r="D10" s="103">
        <v>25</v>
      </c>
      <c r="E10" s="103">
        <v>19</v>
      </c>
      <c r="F10" s="8">
        <f t="shared" si="0"/>
        <v>-6</v>
      </c>
      <c r="G10" s="14">
        <f t="shared" si="1"/>
        <v>0.76</v>
      </c>
    </row>
    <row r="11" spans="1:7" x14ac:dyDescent="0.35">
      <c r="A11" s="8">
        <v>4</v>
      </c>
      <c r="B11" s="104" t="s">
        <v>72</v>
      </c>
      <c r="C11" s="105" t="s">
        <v>70</v>
      </c>
      <c r="D11" s="103">
        <v>25</v>
      </c>
      <c r="E11" s="103">
        <v>20</v>
      </c>
      <c r="F11" s="8">
        <f t="shared" si="0"/>
        <v>-5</v>
      </c>
      <c r="G11" s="14">
        <f t="shared" si="1"/>
        <v>0.8</v>
      </c>
    </row>
    <row r="12" spans="1:7" x14ac:dyDescent="0.35">
      <c r="A12" s="8">
        <v>5</v>
      </c>
      <c r="B12" s="104" t="s">
        <v>73</v>
      </c>
      <c r="C12" s="105" t="s">
        <v>70</v>
      </c>
      <c r="D12" s="103">
        <v>25</v>
      </c>
      <c r="E12" s="103">
        <v>13</v>
      </c>
      <c r="F12" s="8">
        <f t="shared" si="0"/>
        <v>-12</v>
      </c>
      <c r="G12" s="14">
        <f t="shared" si="1"/>
        <v>0.52</v>
      </c>
    </row>
    <row r="13" spans="1:7" x14ac:dyDescent="0.35">
      <c r="A13" s="8">
        <v>6</v>
      </c>
      <c r="B13" s="104" t="s">
        <v>74</v>
      </c>
      <c r="C13" s="105" t="s">
        <v>70</v>
      </c>
      <c r="D13" s="103">
        <v>25</v>
      </c>
      <c r="E13" s="103">
        <v>9</v>
      </c>
      <c r="F13" s="8">
        <f t="shared" si="0"/>
        <v>-16</v>
      </c>
      <c r="G13" s="14">
        <f t="shared" si="1"/>
        <v>0.36</v>
      </c>
    </row>
    <row r="14" spans="1:7" x14ac:dyDescent="0.35">
      <c r="A14" s="8">
        <v>7</v>
      </c>
      <c r="B14" s="104" t="s">
        <v>75</v>
      </c>
      <c r="C14" s="105" t="s">
        <v>70</v>
      </c>
      <c r="D14" s="103">
        <v>25</v>
      </c>
      <c r="E14" s="103">
        <v>5</v>
      </c>
      <c r="F14" s="8">
        <f t="shared" si="0"/>
        <v>-20</v>
      </c>
      <c r="G14" s="14">
        <f t="shared" si="1"/>
        <v>0.2</v>
      </c>
    </row>
    <row r="15" spans="1:7" x14ac:dyDescent="0.35">
      <c r="A15" s="8">
        <v>8</v>
      </c>
      <c r="B15" s="104" t="s">
        <v>76</v>
      </c>
      <c r="C15" s="105" t="s">
        <v>70</v>
      </c>
      <c r="D15" s="103">
        <v>25</v>
      </c>
      <c r="E15" s="103">
        <v>15</v>
      </c>
      <c r="F15" s="8">
        <f t="shared" si="0"/>
        <v>-10</v>
      </c>
      <c r="G15" s="14">
        <f t="shared" si="1"/>
        <v>0.6</v>
      </c>
    </row>
    <row r="16" spans="1:7" x14ac:dyDescent="0.35">
      <c r="A16" s="8">
        <v>9</v>
      </c>
      <c r="B16" s="100" t="s">
        <v>77</v>
      </c>
      <c r="C16" s="101" t="s">
        <v>68</v>
      </c>
      <c r="D16" s="102">
        <v>35</v>
      </c>
      <c r="E16" s="103">
        <v>8</v>
      </c>
      <c r="F16" s="8">
        <f t="shared" si="0"/>
        <v>-27</v>
      </c>
      <c r="G16" s="14">
        <f t="shared" si="1"/>
        <v>0.22857142857142856</v>
      </c>
    </row>
    <row r="17" spans="1:7" x14ac:dyDescent="0.35">
      <c r="A17" s="8">
        <v>10</v>
      </c>
      <c r="B17" s="104" t="s">
        <v>78</v>
      </c>
      <c r="C17" s="105" t="s">
        <v>70</v>
      </c>
      <c r="D17" s="103">
        <v>25</v>
      </c>
      <c r="E17" s="103">
        <v>22</v>
      </c>
      <c r="F17" s="8">
        <f t="shared" si="0"/>
        <v>-3</v>
      </c>
      <c r="G17" s="14">
        <f t="shared" si="1"/>
        <v>0.88</v>
      </c>
    </row>
    <row r="18" spans="1:7" x14ac:dyDescent="0.35">
      <c r="A18" s="8">
        <v>11</v>
      </c>
      <c r="B18" s="104" t="s">
        <v>79</v>
      </c>
      <c r="C18" s="105" t="s">
        <v>70</v>
      </c>
      <c r="D18" s="103">
        <v>25</v>
      </c>
      <c r="E18" s="103">
        <v>19</v>
      </c>
      <c r="F18" s="8">
        <f t="shared" si="0"/>
        <v>-6</v>
      </c>
      <c r="G18" s="14">
        <f t="shared" si="1"/>
        <v>0.76</v>
      </c>
    </row>
    <row r="19" spans="1:7" x14ac:dyDescent="0.35">
      <c r="A19" s="8">
        <v>12</v>
      </c>
      <c r="B19" s="104" t="s">
        <v>80</v>
      </c>
      <c r="C19" s="105" t="s">
        <v>70</v>
      </c>
      <c r="D19" s="103">
        <v>25</v>
      </c>
      <c r="E19" s="103">
        <v>19</v>
      </c>
      <c r="F19" s="8">
        <f t="shared" si="0"/>
        <v>-6</v>
      </c>
      <c r="G19" s="14">
        <f t="shared" si="1"/>
        <v>0.76</v>
      </c>
    </row>
    <row r="20" spans="1:7" x14ac:dyDescent="0.35">
      <c r="A20" s="8">
        <v>13</v>
      </c>
      <c r="B20" s="104" t="s">
        <v>81</v>
      </c>
      <c r="C20" s="105" t="s">
        <v>70</v>
      </c>
      <c r="D20" s="103">
        <v>25</v>
      </c>
      <c r="E20" s="103">
        <v>25</v>
      </c>
      <c r="F20" s="8">
        <f t="shared" si="0"/>
        <v>0</v>
      </c>
      <c r="G20" s="14">
        <f t="shared" si="1"/>
        <v>1</v>
      </c>
    </row>
    <row r="21" spans="1:7" x14ac:dyDescent="0.35">
      <c r="A21" s="8">
        <v>14</v>
      </c>
      <c r="B21" s="8" t="s">
        <v>55</v>
      </c>
      <c r="C21" s="8"/>
      <c r="D21" s="103">
        <v>340</v>
      </c>
      <c r="E21" s="8">
        <f>SUM(E8:E20)</f>
        <v>201</v>
      </c>
      <c r="F21" s="8">
        <f t="shared" si="0"/>
        <v>-139</v>
      </c>
      <c r="G21" s="14">
        <f t="shared" si="1"/>
        <v>0.5911764705882353</v>
      </c>
    </row>
    <row r="23" spans="1:7" x14ac:dyDescent="0.35">
      <c r="B23" s="11" t="s">
        <v>21</v>
      </c>
    </row>
    <row r="24" spans="1:7" x14ac:dyDescent="0.35">
      <c r="A24" s="137" t="s">
        <v>58</v>
      </c>
      <c r="B24" s="138" t="s">
        <v>59</v>
      </c>
      <c r="C24" s="139" t="s">
        <v>66</v>
      </c>
      <c r="D24" s="140"/>
      <c r="E24" s="140"/>
      <c r="F24" s="140"/>
      <c r="G24" s="140"/>
    </row>
    <row r="25" spans="1:7" x14ac:dyDescent="0.35">
      <c r="A25" s="137"/>
      <c r="B25" s="138"/>
      <c r="C25" s="141" t="s">
        <v>60</v>
      </c>
      <c r="D25" s="141" t="s">
        <v>61</v>
      </c>
      <c r="E25" s="141" t="s">
        <v>62</v>
      </c>
      <c r="F25" s="141" t="s">
        <v>63</v>
      </c>
      <c r="G25" s="143" t="s">
        <v>6</v>
      </c>
    </row>
    <row r="26" spans="1:7" x14ac:dyDescent="0.35">
      <c r="A26" s="137"/>
      <c r="B26" s="138"/>
      <c r="C26" s="142"/>
      <c r="D26" s="142"/>
      <c r="E26" s="142"/>
      <c r="F26" s="142"/>
      <c r="G26" s="144"/>
    </row>
    <row r="27" spans="1:7" x14ac:dyDescent="0.35">
      <c r="A27" s="8">
        <v>1</v>
      </c>
      <c r="B27" s="106" t="s">
        <v>82</v>
      </c>
      <c r="C27" s="107" t="s">
        <v>68</v>
      </c>
      <c r="D27" s="108">
        <v>35</v>
      </c>
      <c r="E27" s="109">
        <v>8</v>
      </c>
      <c r="F27" s="110">
        <f>E27-D27</f>
        <v>-27</v>
      </c>
      <c r="G27" s="111">
        <f>E27/D27*100%</f>
        <v>0.22857142857142856</v>
      </c>
    </row>
    <row r="28" spans="1:7" x14ac:dyDescent="0.35">
      <c r="A28" s="8">
        <v>2</v>
      </c>
      <c r="B28" s="112" t="s">
        <v>83</v>
      </c>
      <c r="C28" s="113" t="s">
        <v>70</v>
      </c>
      <c r="D28" s="109">
        <v>25</v>
      </c>
      <c r="E28" s="109">
        <v>25</v>
      </c>
      <c r="F28" s="110">
        <f t="shared" ref="F28:F33" si="2">E28-D28</f>
        <v>0</v>
      </c>
      <c r="G28" s="111">
        <f t="shared" ref="G28:G33" si="3">E28/D28*100%</f>
        <v>1</v>
      </c>
    </row>
    <row r="29" spans="1:7" x14ac:dyDescent="0.35">
      <c r="A29" s="8">
        <v>3</v>
      </c>
      <c r="B29" s="112" t="s">
        <v>84</v>
      </c>
      <c r="C29" s="113" t="s">
        <v>70</v>
      </c>
      <c r="D29" s="109">
        <v>25</v>
      </c>
      <c r="E29" s="109">
        <v>27</v>
      </c>
      <c r="F29" s="110">
        <f t="shared" si="2"/>
        <v>2</v>
      </c>
      <c r="G29" s="111">
        <f t="shared" si="3"/>
        <v>1.08</v>
      </c>
    </row>
    <row r="30" spans="1:7" x14ac:dyDescent="0.35">
      <c r="A30" s="8">
        <v>4</v>
      </c>
      <c r="B30" s="112" t="s">
        <v>85</v>
      </c>
      <c r="C30" s="113" t="s">
        <v>70</v>
      </c>
      <c r="D30" s="109">
        <v>25</v>
      </c>
      <c r="E30" s="109">
        <v>31</v>
      </c>
      <c r="F30" s="110">
        <f t="shared" si="2"/>
        <v>6</v>
      </c>
      <c r="G30" s="111">
        <f t="shared" si="3"/>
        <v>1.24</v>
      </c>
    </row>
    <row r="31" spans="1:7" x14ac:dyDescent="0.35">
      <c r="A31" s="8">
        <v>5</v>
      </c>
      <c r="B31" s="112" t="s">
        <v>86</v>
      </c>
      <c r="C31" s="113" t="s">
        <v>70</v>
      </c>
      <c r="D31" s="109">
        <v>25</v>
      </c>
      <c r="E31" s="109">
        <v>8</v>
      </c>
      <c r="F31" s="110">
        <f t="shared" si="2"/>
        <v>-17</v>
      </c>
      <c r="G31" s="111">
        <f t="shared" si="3"/>
        <v>0.32</v>
      </c>
    </row>
    <row r="32" spans="1:7" x14ac:dyDescent="0.35">
      <c r="A32" s="8">
        <v>6</v>
      </c>
      <c r="B32" s="112" t="s">
        <v>87</v>
      </c>
      <c r="C32" s="113" t="s">
        <v>70</v>
      </c>
      <c r="D32" s="109">
        <v>25</v>
      </c>
      <c r="E32" s="109">
        <v>4</v>
      </c>
      <c r="F32" s="110">
        <f t="shared" si="2"/>
        <v>-21</v>
      </c>
      <c r="G32" s="111">
        <f t="shared" si="3"/>
        <v>0.16</v>
      </c>
    </row>
    <row r="33" spans="1:7" x14ac:dyDescent="0.35">
      <c r="A33" s="8"/>
      <c r="B33" s="110" t="s">
        <v>55</v>
      </c>
      <c r="C33" s="110"/>
      <c r="D33" s="109">
        <v>150</v>
      </c>
      <c r="E33" s="110">
        <f>SUM(E27:E32)</f>
        <v>103</v>
      </c>
      <c r="F33" s="110">
        <f t="shared" si="2"/>
        <v>-47</v>
      </c>
      <c r="G33" s="111">
        <f t="shared" si="3"/>
        <v>0.68666666666666665</v>
      </c>
    </row>
    <row r="35" spans="1:7" x14ac:dyDescent="0.35">
      <c r="B35" s="11" t="s">
        <v>20</v>
      </c>
    </row>
    <row r="36" spans="1:7" x14ac:dyDescent="0.35">
      <c r="A36" s="137" t="s">
        <v>58</v>
      </c>
      <c r="B36" s="138" t="s">
        <v>59</v>
      </c>
      <c r="C36" s="139" t="s">
        <v>66</v>
      </c>
      <c r="D36" s="140"/>
      <c r="E36" s="140"/>
      <c r="F36" s="140"/>
      <c r="G36" s="140"/>
    </row>
    <row r="37" spans="1:7" x14ac:dyDescent="0.35">
      <c r="A37" s="137"/>
      <c r="B37" s="138"/>
      <c r="C37" s="141" t="s">
        <v>60</v>
      </c>
      <c r="D37" s="141" t="s">
        <v>61</v>
      </c>
      <c r="E37" s="141" t="s">
        <v>62</v>
      </c>
      <c r="F37" s="141" t="s">
        <v>63</v>
      </c>
      <c r="G37" s="143" t="s">
        <v>6</v>
      </c>
    </row>
    <row r="38" spans="1:7" x14ac:dyDescent="0.35">
      <c r="A38" s="137"/>
      <c r="B38" s="138"/>
      <c r="C38" s="142"/>
      <c r="D38" s="142"/>
      <c r="E38" s="142"/>
      <c r="F38" s="142"/>
      <c r="G38" s="144"/>
    </row>
    <row r="39" spans="1:7" x14ac:dyDescent="0.35">
      <c r="A39" s="12">
        <v>1</v>
      </c>
      <c r="B39" s="112" t="s">
        <v>88</v>
      </c>
      <c r="C39" s="113" t="s">
        <v>68</v>
      </c>
      <c r="D39" s="109">
        <v>35</v>
      </c>
      <c r="E39" s="109">
        <v>36</v>
      </c>
      <c r="F39" s="54">
        <f>E39-D39</f>
        <v>1</v>
      </c>
      <c r="G39" s="57">
        <f>E39/D39*100%</f>
        <v>1.0285714285714285</v>
      </c>
    </row>
    <row r="40" spans="1:7" x14ac:dyDescent="0.35">
      <c r="A40" s="12">
        <v>2</v>
      </c>
      <c r="B40" s="112" t="s">
        <v>89</v>
      </c>
      <c r="C40" s="113" t="s">
        <v>70</v>
      </c>
      <c r="D40" s="109">
        <v>25</v>
      </c>
      <c r="E40" s="109">
        <v>2</v>
      </c>
      <c r="F40" s="54">
        <f t="shared" ref="F40:F45" si="4">E40-D40</f>
        <v>-23</v>
      </c>
      <c r="G40" s="57">
        <f t="shared" ref="G40:G45" si="5">E40/D40*100%</f>
        <v>0.08</v>
      </c>
    </row>
    <row r="41" spans="1:7" x14ac:dyDescent="0.35">
      <c r="A41" s="12">
        <v>3</v>
      </c>
      <c r="B41" s="112" t="s">
        <v>90</v>
      </c>
      <c r="C41" s="113" t="s">
        <v>70</v>
      </c>
      <c r="D41" s="109">
        <v>25</v>
      </c>
      <c r="E41" s="109">
        <v>25</v>
      </c>
      <c r="F41" s="54">
        <f t="shared" si="4"/>
        <v>0</v>
      </c>
      <c r="G41" s="57">
        <f t="shared" si="5"/>
        <v>1</v>
      </c>
    </row>
    <row r="42" spans="1:7" x14ac:dyDescent="0.35">
      <c r="A42" s="12">
        <v>4</v>
      </c>
      <c r="B42" s="112" t="s">
        <v>91</v>
      </c>
      <c r="C42" s="113" t="s">
        <v>70</v>
      </c>
      <c r="D42" s="109">
        <v>25</v>
      </c>
      <c r="E42" s="109">
        <v>16</v>
      </c>
      <c r="F42" s="54">
        <f t="shared" si="4"/>
        <v>-9</v>
      </c>
      <c r="G42" s="57">
        <f t="shared" si="5"/>
        <v>0.64</v>
      </c>
    </row>
    <row r="43" spans="1:7" x14ac:dyDescent="0.35">
      <c r="A43" s="12">
        <v>5</v>
      </c>
      <c r="B43" s="112" t="s">
        <v>92</v>
      </c>
      <c r="C43" s="113" t="s">
        <v>70</v>
      </c>
      <c r="D43" s="109">
        <v>25</v>
      </c>
      <c r="E43" s="109">
        <v>1</v>
      </c>
      <c r="F43" s="54">
        <f t="shared" si="4"/>
        <v>-24</v>
      </c>
      <c r="G43" s="57">
        <f t="shared" si="5"/>
        <v>0.04</v>
      </c>
    </row>
    <row r="44" spans="1:7" x14ac:dyDescent="0.35">
      <c r="A44" s="12">
        <v>6</v>
      </c>
      <c r="B44" s="112" t="s">
        <v>93</v>
      </c>
      <c r="C44" s="113" t="s">
        <v>70</v>
      </c>
      <c r="D44" s="109">
        <v>25</v>
      </c>
      <c r="E44" s="109">
        <v>20</v>
      </c>
      <c r="F44" s="54">
        <f t="shared" si="4"/>
        <v>-5</v>
      </c>
      <c r="G44" s="57">
        <f t="shared" si="5"/>
        <v>0.8</v>
      </c>
    </row>
    <row r="45" spans="1:7" x14ac:dyDescent="0.35">
      <c r="A45" s="12"/>
      <c r="B45" s="110" t="s">
        <v>55</v>
      </c>
      <c r="C45" s="54"/>
      <c r="D45" s="109">
        <v>150</v>
      </c>
      <c r="E45" s="54">
        <f>SUM(E39:E44)</f>
        <v>100</v>
      </c>
      <c r="F45" s="54">
        <f t="shared" si="4"/>
        <v>-50</v>
      </c>
      <c r="G45" s="57">
        <f t="shared" si="5"/>
        <v>0.66666666666666663</v>
      </c>
    </row>
  </sheetData>
  <mergeCells count="24">
    <mergeCell ref="A36:A38"/>
    <mergeCell ref="B36:B38"/>
    <mergeCell ref="C36:G36"/>
    <mergeCell ref="C37:C38"/>
    <mergeCell ref="D37:D38"/>
    <mergeCell ref="E37:E38"/>
    <mergeCell ref="F37:F38"/>
    <mergeCell ref="G37:G38"/>
    <mergeCell ref="A24:A26"/>
    <mergeCell ref="B24:B26"/>
    <mergeCell ref="C24:G24"/>
    <mergeCell ref="C25:C26"/>
    <mergeCell ref="D25:D26"/>
    <mergeCell ref="E25:E26"/>
    <mergeCell ref="F25:F26"/>
    <mergeCell ref="G25:G26"/>
    <mergeCell ref="A5:A7"/>
    <mergeCell ref="B5:B7"/>
    <mergeCell ref="C5:G5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9BB4-7E8F-4E7B-A95F-3F6E50088448}">
  <dimension ref="A1:G59"/>
  <sheetViews>
    <sheetView workbookViewId="0">
      <selection activeCell="B1" sqref="B1:B3"/>
    </sheetView>
  </sheetViews>
  <sheetFormatPr defaultRowHeight="14.5" x14ac:dyDescent="0.35"/>
  <cols>
    <col min="1" max="1" width="4.08984375" customWidth="1"/>
    <col min="2" max="2" width="34.906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677</v>
      </c>
    </row>
    <row r="3" spans="1:7" x14ac:dyDescent="0.35">
      <c r="B3" s="149" t="s">
        <v>678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7">
        <v>1</v>
      </c>
      <c r="B7" s="16" t="s">
        <v>94</v>
      </c>
      <c r="C7" s="68" t="s">
        <v>68</v>
      </c>
      <c r="D7" s="68">
        <v>35</v>
      </c>
      <c r="E7" s="68">
        <v>0</v>
      </c>
      <c r="F7" s="114">
        <f>E7-D7</f>
        <v>-35</v>
      </c>
      <c r="G7" s="115">
        <f>E7/D7*100%</f>
        <v>0</v>
      </c>
    </row>
    <row r="8" spans="1:7" x14ac:dyDescent="0.35">
      <c r="A8" s="17">
        <v>2</v>
      </c>
      <c r="B8" s="16" t="s">
        <v>95</v>
      </c>
      <c r="C8" s="68" t="s">
        <v>70</v>
      </c>
      <c r="D8" s="68">
        <v>25</v>
      </c>
      <c r="E8" s="68">
        <v>73</v>
      </c>
      <c r="F8" s="114">
        <f t="shared" ref="F8:F59" si="0">E8-D8</f>
        <v>48</v>
      </c>
      <c r="G8" s="115">
        <f t="shared" ref="G8:G59" si="1">E8/D8*100%</f>
        <v>2.92</v>
      </c>
    </row>
    <row r="9" spans="1:7" x14ac:dyDescent="0.35">
      <c r="A9" s="17">
        <v>3</v>
      </c>
      <c r="B9" s="16" t="s">
        <v>96</v>
      </c>
      <c r="C9" s="68" t="s">
        <v>70</v>
      </c>
      <c r="D9" s="68">
        <v>25</v>
      </c>
      <c r="E9" s="68">
        <v>19</v>
      </c>
      <c r="F9" s="114">
        <f t="shared" si="0"/>
        <v>-6</v>
      </c>
      <c r="G9" s="115">
        <f t="shared" si="1"/>
        <v>0.76</v>
      </c>
    </row>
    <row r="10" spans="1:7" x14ac:dyDescent="0.35">
      <c r="A10" s="17">
        <v>4</v>
      </c>
      <c r="B10" s="16" t="s">
        <v>97</v>
      </c>
      <c r="C10" s="68" t="s">
        <v>70</v>
      </c>
      <c r="D10" s="68">
        <v>25</v>
      </c>
      <c r="E10" s="68">
        <v>46</v>
      </c>
      <c r="F10" s="114">
        <f t="shared" si="0"/>
        <v>21</v>
      </c>
      <c r="G10" s="115">
        <f t="shared" si="1"/>
        <v>1.84</v>
      </c>
    </row>
    <row r="11" spans="1:7" x14ac:dyDescent="0.35">
      <c r="A11" s="17">
        <v>5</v>
      </c>
      <c r="B11" s="16" t="s">
        <v>98</v>
      </c>
      <c r="C11" s="68" t="s">
        <v>70</v>
      </c>
      <c r="D11" s="68">
        <v>25</v>
      </c>
      <c r="E11" s="68">
        <v>28</v>
      </c>
      <c r="F11" s="114">
        <f t="shared" si="0"/>
        <v>3</v>
      </c>
      <c r="G11" s="115">
        <f t="shared" si="1"/>
        <v>1.1200000000000001</v>
      </c>
    </row>
    <row r="12" spans="1:7" x14ac:dyDescent="0.35">
      <c r="A12" s="17">
        <v>6</v>
      </c>
      <c r="B12" s="16" t="s">
        <v>99</v>
      </c>
      <c r="C12" s="68" t="s">
        <v>70</v>
      </c>
      <c r="D12" s="68">
        <v>25</v>
      </c>
      <c r="E12" s="68">
        <v>43</v>
      </c>
      <c r="F12" s="114">
        <f t="shared" si="0"/>
        <v>18</v>
      </c>
      <c r="G12" s="115">
        <f t="shared" si="1"/>
        <v>1.72</v>
      </c>
    </row>
    <row r="13" spans="1:7" x14ac:dyDescent="0.35">
      <c r="A13" s="17">
        <v>7</v>
      </c>
      <c r="B13" s="16" t="s">
        <v>100</v>
      </c>
      <c r="C13" s="68" t="s">
        <v>70</v>
      </c>
      <c r="D13" s="68">
        <v>25</v>
      </c>
      <c r="E13" s="68">
        <v>25</v>
      </c>
      <c r="F13" s="114">
        <f t="shared" si="0"/>
        <v>0</v>
      </c>
      <c r="G13" s="115">
        <f t="shared" si="1"/>
        <v>1</v>
      </c>
    </row>
    <row r="14" spans="1:7" x14ac:dyDescent="0.35">
      <c r="A14" s="17">
        <v>8</v>
      </c>
      <c r="B14" s="16" t="s">
        <v>101</v>
      </c>
      <c r="C14" s="68" t="s">
        <v>70</v>
      </c>
      <c r="D14" s="68">
        <v>25</v>
      </c>
      <c r="E14" s="68">
        <v>28</v>
      </c>
      <c r="F14" s="114">
        <f t="shared" si="0"/>
        <v>3</v>
      </c>
      <c r="G14" s="115">
        <f t="shared" si="1"/>
        <v>1.1200000000000001</v>
      </c>
    </row>
    <row r="15" spans="1:7" x14ac:dyDescent="0.35">
      <c r="A15" s="17">
        <v>9</v>
      </c>
      <c r="B15" s="18" t="s">
        <v>102</v>
      </c>
      <c r="C15" s="68" t="s">
        <v>68</v>
      </c>
      <c r="D15" s="68">
        <v>35</v>
      </c>
      <c r="E15" s="68">
        <v>0</v>
      </c>
      <c r="F15" s="114">
        <f t="shared" si="0"/>
        <v>-35</v>
      </c>
      <c r="G15" s="115">
        <f t="shared" si="1"/>
        <v>0</v>
      </c>
    </row>
    <row r="16" spans="1:7" x14ac:dyDescent="0.35">
      <c r="A16" s="17">
        <v>10</v>
      </c>
      <c r="B16" s="18" t="s">
        <v>103</v>
      </c>
      <c r="C16" s="68" t="s">
        <v>70</v>
      </c>
      <c r="D16" s="68">
        <v>25</v>
      </c>
      <c r="E16" s="68">
        <v>41</v>
      </c>
      <c r="F16" s="114">
        <f t="shared" si="0"/>
        <v>16</v>
      </c>
      <c r="G16" s="115">
        <f t="shared" si="1"/>
        <v>1.64</v>
      </c>
    </row>
    <row r="17" spans="1:7" x14ac:dyDescent="0.35">
      <c r="A17" s="17">
        <v>11</v>
      </c>
      <c r="B17" s="18" t="s">
        <v>104</v>
      </c>
      <c r="C17" s="68" t="s">
        <v>70</v>
      </c>
      <c r="D17" s="68">
        <v>25</v>
      </c>
      <c r="E17" s="68">
        <v>60</v>
      </c>
      <c r="F17" s="114">
        <f t="shared" si="0"/>
        <v>35</v>
      </c>
      <c r="G17" s="115">
        <f t="shared" si="1"/>
        <v>2.4</v>
      </c>
    </row>
    <row r="18" spans="1:7" x14ac:dyDescent="0.35">
      <c r="A18" s="17">
        <v>12</v>
      </c>
      <c r="B18" s="18" t="s">
        <v>105</v>
      </c>
      <c r="C18" s="68" t="s">
        <v>70</v>
      </c>
      <c r="D18" s="68">
        <v>25</v>
      </c>
      <c r="E18" s="68">
        <v>43</v>
      </c>
      <c r="F18" s="114">
        <f t="shared" si="0"/>
        <v>18</v>
      </c>
      <c r="G18" s="115">
        <f t="shared" si="1"/>
        <v>1.72</v>
      </c>
    </row>
    <row r="19" spans="1:7" x14ac:dyDescent="0.35">
      <c r="A19" s="17">
        <v>13</v>
      </c>
      <c r="B19" s="18" t="s">
        <v>106</v>
      </c>
      <c r="C19" s="68" t="s">
        <v>70</v>
      </c>
      <c r="D19" s="68">
        <v>25</v>
      </c>
      <c r="E19" s="68">
        <v>22</v>
      </c>
      <c r="F19" s="114">
        <f t="shared" si="0"/>
        <v>-3</v>
      </c>
      <c r="G19" s="115">
        <f t="shared" si="1"/>
        <v>0.88</v>
      </c>
    </row>
    <row r="20" spans="1:7" x14ac:dyDescent="0.35">
      <c r="A20" s="17">
        <v>14</v>
      </c>
      <c r="B20" s="18" t="s">
        <v>107</v>
      </c>
      <c r="C20" s="68" t="s">
        <v>70</v>
      </c>
      <c r="D20" s="68">
        <v>25</v>
      </c>
      <c r="E20" s="68">
        <v>25</v>
      </c>
      <c r="F20" s="114">
        <f t="shared" si="0"/>
        <v>0</v>
      </c>
      <c r="G20" s="115">
        <f t="shared" si="1"/>
        <v>1</v>
      </c>
    </row>
    <row r="21" spans="1:7" x14ac:dyDescent="0.35">
      <c r="A21" s="17">
        <v>15</v>
      </c>
      <c r="B21" s="18" t="s">
        <v>108</v>
      </c>
      <c r="C21" s="68" t="s">
        <v>70</v>
      </c>
      <c r="D21" s="68">
        <v>25</v>
      </c>
      <c r="E21" s="68">
        <v>14</v>
      </c>
      <c r="F21" s="114">
        <f t="shared" si="0"/>
        <v>-11</v>
      </c>
      <c r="G21" s="115">
        <f t="shared" si="1"/>
        <v>0.56000000000000005</v>
      </c>
    </row>
    <row r="22" spans="1:7" x14ac:dyDescent="0.35">
      <c r="A22" s="17">
        <v>16</v>
      </c>
      <c r="B22" s="18" t="s">
        <v>109</v>
      </c>
      <c r="C22" s="68" t="s">
        <v>70</v>
      </c>
      <c r="D22" s="68">
        <v>25</v>
      </c>
      <c r="E22" s="68">
        <v>18</v>
      </c>
      <c r="F22" s="114">
        <f t="shared" si="0"/>
        <v>-7</v>
      </c>
      <c r="G22" s="115">
        <f t="shared" si="1"/>
        <v>0.72</v>
      </c>
    </row>
    <row r="23" spans="1:7" x14ac:dyDescent="0.35">
      <c r="A23" s="17">
        <v>17</v>
      </c>
      <c r="B23" s="18" t="s">
        <v>110</v>
      </c>
      <c r="C23" s="68" t="s">
        <v>68</v>
      </c>
      <c r="D23" s="68">
        <v>35</v>
      </c>
      <c r="E23" s="68">
        <v>0</v>
      </c>
      <c r="F23" s="114">
        <f t="shared" si="0"/>
        <v>-35</v>
      </c>
      <c r="G23" s="115">
        <f t="shared" si="1"/>
        <v>0</v>
      </c>
    </row>
    <row r="24" spans="1:7" x14ac:dyDescent="0.35">
      <c r="A24" s="17">
        <v>18</v>
      </c>
      <c r="B24" s="18" t="s">
        <v>111</v>
      </c>
      <c r="C24" s="68" t="s">
        <v>70</v>
      </c>
      <c r="D24" s="68">
        <v>25</v>
      </c>
      <c r="E24" s="68">
        <v>24</v>
      </c>
      <c r="F24" s="114">
        <f t="shared" si="0"/>
        <v>-1</v>
      </c>
      <c r="G24" s="115">
        <f t="shared" si="1"/>
        <v>0.96</v>
      </c>
    </row>
    <row r="25" spans="1:7" x14ac:dyDescent="0.35">
      <c r="A25" s="17">
        <v>19</v>
      </c>
      <c r="B25" s="18" t="s">
        <v>112</v>
      </c>
      <c r="C25" s="68" t="s">
        <v>70</v>
      </c>
      <c r="D25" s="68">
        <v>25</v>
      </c>
      <c r="E25" s="68">
        <v>22</v>
      </c>
      <c r="F25" s="114">
        <f t="shared" si="0"/>
        <v>-3</v>
      </c>
      <c r="G25" s="115">
        <f t="shared" si="1"/>
        <v>0.88</v>
      </c>
    </row>
    <row r="26" spans="1:7" x14ac:dyDescent="0.35">
      <c r="A26" s="17">
        <v>20</v>
      </c>
      <c r="B26" s="18" t="s">
        <v>113</v>
      </c>
      <c r="C26" s="68" t="s">
        <v>70</v>
      </c>
      <c r="D26" s="68">
        <v>25</v>
      </c>
      <c r="E26" s="68">
        <v>22</v>
      </c>
      <c r="F26" s="114">
        <f t="shared" si="0"/>
        <v>-3</v>
      </c>
      <c r="G26" s="115">
        <f t="shared" si="1"/>
        <v>0.88</v>
      </c>
    </row>
    <row r="27" spans="1:7" x14ac:dyDescent="0.35">
      <c r="A27" s="17">
        <v>21</v>
      </c>
      <c r="B27" s="18" t="s">
        <v>114</v>
      </c>
      <c r="C27" s="68" t="s">
        <v>70</v>
      </c>
      <c r="D27" s="68">
        <v>25</v>
      </c>
      <c r="E27" s="68">
        <v>91</v>
      </c>
      <c r="F27" s="114">
        <f t="shared" si="0"/>
        <v>66</v>
      </c>
      <c r="G27" s="115">
        <f t="shared" si="1"/>
        <v>3.64</v>
      </c>
    </row>
    <row r="28" spans="1:7" x14ac:dyDescent="0.35">
      <c r="A28" s="17">
        <v>22</v>
      </c>
      <c r="B28" s="18" t="s">
        <v>115</v>
      </c>
      <c r="C28" s="68" t="s">
        <v>70</v>
      </c>
      <c r="D28" s="68">
        <v>25</v>
      </c>
      <c r="E28" s="68">
        <v>18</v>
      </c>
      <c r="F28" s="114">
        <f t="shared" si="0"/>
        <v>-7</v>
      </c>
      <c r="G28" s="115">
        <f t="shared" si="1"/>
        <v>0.72</v>
      </c>
    </row>
    <row r="29" spans="1:7" x14ac:dyDescent="0.35">
      <c r="A29" s="17">
        <v>23</v>
      </c>
      <c r="B29" s="18" t="s">
        <v>116</v>
      </c>
      <c r="C29" s="68" t="s">
        <v>70</v>
      </c>
      <c r="D29" s="68">
        <v>25</v>
      </c>
      <c r="E29" s="68">
        <v>19</v>
      </c>
      <c r="F29" s="114">
        <f t="shared" si="0"/>
        <v>-6</v>
      </c>
      <c r="G29" s="115">
        <f t="shared" si="1"/>
        <v>0.76</v>
      </c>
    </row>
    <row r="30" spans="1:7" x14ac:dyDescent="0.35">
      <c r="A30" s="17">
        <v>24</v>
      </c>
      <c r="B30" s="18" t="s">
        <v>117</v>
      </c>
      <c r="C30" s="68" t="s">
        <v>68</v>
      </c>
      <c r="D30" s="68">
        <v>35</v>
      </c>
      <c r="E30" s="68">
        <v>29</v>
      </c>
      <c r="F30" s="114">
        <f t="shared" si="0"/>
        <v>-6</v>
      </c>
      <c r="G30" s="115">
        <f t="shared" si="1"/>
        <v>0.82857142857142863</v>
      </c>
    </row>
    <row r="31" spans="1:7" x14ac:dyDescent="0.35">
      <c r="A31" s="17">
        <v>25</v>
      </c>
      <c r="B31" s="18" t="s">
        <v>118</v>
      </c>
      <c r="C31" s="68" t="s">
        <v>70</v>
      </c>
      <c r="D31" s="68">
        <v>25</v>
      </c>
      <c r="E31" s="68">
        <v>37</v>
      </c>
      <c r="F31" s="114">
        <f t="shared" si="0"/>
        <v>12</v>
      </c>
      <c r="G31" s="115">
        <f t="shared" si="1"/>
        <v>1.48</v>
      </c>
    </row>
    <row r="32" spans="1:7" x14ac:dyDescent="0.35">
      <c r="A32" s="17">
        <v>26</v>
      </c>
      <c r="B32" s="18" t="s">
        <v>119</v>
      </c>
      <c r="C32" s="68" t="s">
        <v>70</v>
      </c>
      <c r="D32" s="68">
        <v>25</v>
      </c>
      <c r="E32" s="68">
        <v>37</v>
      </c>
      <c r="F32" s="114">
        <f t="shared" si="0"/>
        <v>12</v>
      </c>
      <c r="G32" s="115">
        <f t="shared" si="1"/>
        <v>1.48</v>
      </c>
    </row>
    <row r="33" spans="1:7" x14ac:dyDescent="0.35">
      <c r="A33" s="17">
        <v>27</v>
      </c>
      <c r="B33" s="18" t="s">
        <v>120</v>
      </c>
      <c r="C33" s="68" t="s">
        <v>70</v>
      </c>
      <c r="D33" s="68">
        <v>25</v>
      </c>
      <c r="E33" s="68">
        <v>36</v>
      </c>
      <c r="F33" s="114">
        <f t="shared" si="0"/>
        <v>11</v>
      </c>
      <c r="G33" s="115">
        <f t="shared" si="1"/>
        <v>1.44</v>
      </c>
    </row>
    <row r="34" spans="1:7" x14ac:dyDescent="0.35">
      <c r="A34" s="17">
        <v>28</v>
      </c>
      <c r="B34" s="18" t="s">
        <v>121</v>
      </c>
      <c r="C34" s="68" t="s">
        <v>70</v>
      </c>
      <c r="D34" s="68">
        <v>25</v>
      </c>
      <c r="E34" s="68">
        <v>19</v>
      </c>
      <c r="F34" s="114">
        <f t="shared" si="0"/>
        <v>-6</v>
      </c>
      <c r="G34" s="115">
        <f t="shared" si="1"/>
        <v>0.76</v>
      </c>
    </row>
    <row r="35" spans="1:7" x14ac:dyDescent="0.35">
      <c r="A35" s="17">
        <v>29</v>
      </c>
      <c r="B35" s="18" t="s">
        <v>122</v>
      </c>
      <c r="C35" s="68" t="s">
        <v>68</v>
      </c>
      <c r="D35" s="68">
        <v>35</v>
      </c>
      <c r="E35" s="68">
        <v>7</v>
      </c>
      <c r="F35" s="114">
        <f t="shared" si="0"/>
        <v>-28</v>
      </c>
      <c r="G35" s="115">
        <f t="shared" si="1"/>
        <v>0.2</v>
      </c>
    </row>
    <row r="36" spans="1:7" x14ac:dyDescent="0.35">
      <c r="A36" s="17">
        <v>30</v>
      </c>
      <c r="B36" s="18" t="s">
        <v>123</v>
      </c>
      <c r="C36" s="68" t="s">
        <v>70</v>
      </c>
      <c r="D36" s="68">
        <v>25</v>
      </c>
      <c r="E36" s="68">
        <v>27</v>
      </c>
      <c r="F36" s="114">
        <f t="shared" si="0"/>
        <v>2</v>
      </c>
      <c r="G36" s="115">
        <f t="shared" si="1"/>
        <v>1.08</v>
      </c>
    </row>
    <row r="37" spans="1:7" x14ac:dyDescent="0.35">
      <c r="A37" s="17">
        <v>31</v>
      </c>
      <c r="B37" s="18" t="s">
        <v>124</v>
      </c>
      <c r="C37" s="68" t="s">
        <v>70</v>
      </c>
      <c r="D37" s="68">
        <v>25</v>
      </c>
      <c r="E37" s="68">
        <v>35</v>
      </c>
      <c r="F37" s="114">
        <f t="shared" si="0"/>
        <v>10</v>
      </c>
      <c r="G37" s="115">
        <f t="shared" si="1"/>
        <v>1.4</v>
      </c>
    </row>
    <row r="38" spans="1:7" x14ac:dyDescent="0.35">
      <c r="A38" s="17">
        <v>32</v>
      </c>
      <c r="B38" s="18" t="s">
        <v>125</v>
      </c>
      <c r="C38" s="68" t="s">
        <v>70</v>
      </c>
      <c r="D38" s="68">
        <v>25</v>
      </c>
      <c r="E38" s="68">
        <v>14</v>
      </c>
      <c r="F38" s="114">
        <f t="shared" si="0"/>
        <v>-11</v>
      </c>
      <c r="G38" s="115">
        <f t="shared" si="1"/>
        <v>0.56000000000000005</v>
      </c>
    </row>
    <row r="39" spans="1:7" x14ac:dyDescent="0.35">
      <c r="A39" s="17">
        <v>33</v>
      </c>
      <c r="B39" s="18" t="s">
        <v>126</v>
      </c>
      <c r="C39" s="68" t="s">
        <v>70</v>
      </c>
      <c r="D39" s="68">
        <v>25</v>
      </c>
      <c r="E39" s="68">
        <v>19</v>
      </c>
      <c r="F39" s="114">
        <f t="shared" si="0"/>
        <v>-6</v>
      </c>
      <c r="G39" s="115">
        <f t="shared" si="1"/>
        <v>0.76</v>
      </c>
    </row>
    <row r="40" spans="1:7" x14ac:dyDescent="0.35">
      <c r="A40" s="17">
        <v>34</v>
      </c>
      <c r="B40" s="18" t="s">
        <v>127</v>
      </c>
      <c r="C40" s="68" t="s">
        <v>70</v>
      </c>
      <c r="D40" s="68">
        <v>25</v>
      </c>
      <c r="E40" s="68">
        <v>44</v>
      </c>
      <c r="F40" s="114">
        <f t="shared" si="0"/>
        <v>19</v>
      </c>
      <c r="G40" s="115">
        <f t="shared" si="1"/>
        <v>1.76</v>
      </c>
    </row>
    <row r="41" spans="1:7" x14ac:dyDescent="0.35">
      <c r="A41" s="17">
        <v>35</v>
      </c>
      <c r="B41" s="18" t="s">
        <v>128</v>
      </c>
      <c r="C41" s="68" t="s">
        <v>70</v>
      </c>
      <c r="D41" s="68">
        <v>25</v>
      </c>
      <c r="E41" s="68">
        <v>1</v>
      </c>
      <c r="F41" s="114">
        <f t="shared" si="0"/>
        <v>-24</v>
      </c>
      <c r="G41" s="115">
        <f t="shared" si="1"/>
        <v>0.04</v>
      </c>
    </row>
    <row r="42" spans="1:7" x14ac:dyDescent="0.35">
      <c r="A42" s="17">
        <v>36</v>
      </c>
      <c r="B42" s="18" t="s">
        <v>129</v>
      </c>
      <c r="C42" s="68" t="s">
        <v>68</v>
      </c>
      <c r="D42" s="68">
        <v>35</v>
      </c>
      <c r="E42" s="68">
        <v>13</v>
      </c>
      <c r="F42" s="114">
        <f t="shared" si="0"/>
        <v>-22</v>
      </c>
      <c r="G42" s="115">
        <f t="shared" si="1"/>
        <v>0.37142857142857144</v>
      </c>
    </row>
    <row r="43" spans="1:7" x14ac:dyDescent="0.35">
      <c r="A43" s="17">
        <v>37</v>
      </c>
      <c r="B43" s="18" t="s">
        <v>130</v>
      </c>
      <c r="C43" s="68" t="s">
        <v>70</v>
      </c>
      <c r="D43" s="68">
        <v>25</v>
      </c>
      <c r="E43" s="68">
        <v>57</v>
      </c>
      <c r="F43" s="114">
        <f t="shared" si="0"/>
        <v>32</v>
      </c>
      <c r="G43" s="115">
        <f t="shared" si="1"/>
        <v>2.2799999999999998</v>
      </c>
    </row>
    <row r="44" spans="1:7" x14ac:dyDescent="0.35">
      <c r="A44" s="17">
        <v>38</v>
      </c>
      <c r="B44" s="18" t="s">
        <v>131</v>
      </c>
      <c r="C44" s="68" t="s">
        <v>70</v>
      </c>
      <c r="D44" s="68">
        <v>25</v>
      </c>
      <c r="E44" s="68">
        <v>26</v>
      </c>
      <c r="F44" s="114">
        <f t="shared" si="0"/>
        <v>1</v>
      </c>
      <c r="G44" s="115">
        <f t="shared" si="1"/>
        <v>1.04</v>
      </c>
    </row>
    <row r="45" spans="1:7" x14ac:dyDescent="0.35">
      <c r="A45" s="17">
        <v>39</v>
      </c>
      <c r="B45" s="18" t="s">
        <v>132</v>
      </c>
      <c r="C45" s="68" t="s">
        <v>70</v>
      </c>
      <c r="D45" s="68">
        <v>25</v>
      </c>
      <c r="E45" s="68">
        <v>28</v>
      </c>
      <c r="F45" s="114">
        <f t="shared" si="0"/>
        <v>3</v>
      </c>
      <c r="G45" s="115">
        <f t="shared" si="1"/>
        <v>1.1200000000000001</v>
      </c>
    </row>
    <row r="46" spans="1:7" x14ac:dyDescent="0.35">
      <c r="A46" s="17">
        <v>40</v>
      </c>
      <c r="B46" s="18" t="s">
        <v>133</v>
      </c>
      <c r="C46" s="68" t="s">
        <v>70</v>
      </c>
      <c r="D46" s="68">
        <v>25</v>
      </c>
      <c r="E46" s="68">
        <v>26</v>
      </c>
      <c r="F46" s="114">
        <f t="shared" si="0"/>
        <v>1</v>
      </c>
      <c r="G46" s="115">
        <f t="shared" si="1"/>
        <v>1.04</v>
      </c>
    </row>
    <row r="47" spans="1:7" x14ac:dyDescent="0.35">
      <c r="A47" s="17">
        <v>41</v>
      </c>
      <c r="B47" s="18" t="s">
        <v>134</v>
      </c>
      <c r="C47" s="68" t="s">
        <v>68</v>
      </c>
      <c r="D47" s="68">
        <v>35</v>
      </c>
      <c r="E47" s="68">
        <v>18</v>
      </c>
      <c r="F47" s="114">
        <f t="shared" si="0"/>
        <v>-17</v>
      </c>
      <c r="G47" s="115">
        <f t="shared" si="1"/>
        <v>0.51428571428571423</v>
      </c>
    </row>
    <row r="48" spans="1:7" x14ac:dyDescent="0.35">
      <c r="A48" s="17">
        <v>42</v>
      </c>
      <c r="B48" s="18" t="s">
        <v>135</v>
      </c>
      <c r="C48" s="68" t="s">
        <v>70</v>
      </c>
      <c r="D48" s="68">
        <v>25</v>
      </c>
      <c r="E48" s="68">
        <v>20</v>
      </c>
      <c r="F48" s="114">
        <f t="shared" si="0"/>
        <v>-5</v>
      </c>
      <c r="G48" s="115">
        <f t="shared" si="1"/>
        <v>0.8</v>
      </c>
    </row>
    <row r="49" spans="1:7" x14ac:dyDescent="0.35">
      <c r="A49" s="17">
        <v>43</v>
      </c>
      <c r="B49" s="18" t="s">
        <v>136</v>
      </c>
      <c r="C49" s="68" t="s">
        <v>70</v>
      </c>
      <c r="D49" s="68">
        <v>25</v>
      </c>
      <c r="E49" s="68">
        <v>22</v>
      </c>
      <c r="F49" s="114">
        <f t="shared" si="0"/>
        <v>-3</v>
      </c>
      <c r="G49" s="115">
        <f t="shared" si="1"/>
        <v>0.88</v>
      </c>
    </row>
    <row r="50" spans="1:7" x14ac:dyDescent="0.35">
      <c r="A50" s="17">
        <v>44</v>
      </c>
      <c r="B50" s="18" t="s">
        <v>137</v>
      </c>
      <c r="C50" s="68" t="s">
        <v>70</v>
      </c>
      <c r="D50" s="68">
        <v>25</v>
      </c>
      <c r="E50" s="68">
        <v>17</v>
      </c>
      <c r="F50" s="114">
        <f t="shared" si="0"/>
        <v>-8</v>
      </c>
      <c r="G50" s="115">
        <f t="shared" si="1"/>
        <v>0.68</v>
      </c>
    </row>
    <row r="51" spans="1:7" x14ac:dyDescent="0.35">
      <c r="A51" s="17">
        <v>45</v>
      </c>
      <c r="B51" s="18" t="s">
        <v>138</v>
      </c>
      <c r="C51" s="68" t="s">
        <v>70</v>
      </c>
      <c r="D51" s="68">
        <v>25</v>
      </c>
      <c r="E51" s="68">
        <v>32</v>
      </c>
      <c r="F51" s="114">
        <f t="shared" si="0"/>
        <v>7</v>
      </c>
      <c r="G51" s="115">
        <f t="shared" si="1"/>
        <v>1.28</v>
      </c>
    </row>
    <row r="52" spans="1:7" x14ac:dyDescent="0.35">
      <c r="A52" s="17">
        <v>46</v>
      </c>
      <c r="B52" s="18" t="s">
        <v>139</v>
      </c>
      <c r="C52" s="68" t="s">
        <v>70</v>
      </c>
      <c r="D52" s="68">
        <v>25</v>
      </c>
      <c r="E52" s="68">
        <v>17</v>
      </c>
      <c r="F52" s="114">
        <f t="shared" si="0"/>
        <v>-8</v>
      </c>
      <c r="G52" s="115">
        <f t="shared" si="1"/>
        <v>0.68</v>
      </c>
    </row>
    <row r="53" spans="1:7" x14ac:dyDescent="0.35">
      <c r="A53" s="17">
        <v>47</v>
      </c>
      <c r="B53" s="18" t="s">
        <v>140</v>
      </c>
      <c r="C53" s="68" t="s">
        <v>68</v>
      </c>
      <c r="D53" s="68">
        <v>35</v>
      </c>
      <c r="E53" s="68">
        <v>5</v>
      </c>
      <c r="F53" s="114">
        <f t="shared" si="0"/>
        <v>-30</v>
      </c>
      <c r="G53" s="115">
        <f t="shared" si="1"/>
        <v>0.14285714285714285</v>
      </c>
    </row>
    <row r="54" spans="1:7" x14ac:dyDescent="0.35">
      <c r="A54" s="17">
        <v>48</v>
      </c>
      <c r="B54" s="18" t="s">
        <v>141</v>
      </c>
      <c r="C54" s="68" t="s">
        <v>70</v>
      </c>
      <c r="D54" s="68">
        <v>25</v>
      </c>
      <c r="E54" s="68">
        <v>19</v>
      </c>
      <c r="F54" s="114">
        <f t="shared" si="0"/>
        <v>-6</v>
      </c>
      <c r="G54" s="115">
        <f t="shared" si="1"/>
        <v>0.76</v>
      </c>
    </row>
    <row r="55" spans="1:7" x14ac:dyDescent="0.35">
      <c r="A55" s="17">
        <v>49</v>
      </c>
      <c r="B55" s="18" t="s">
        <v>142</v>
      </c>
      <c r="C55" s="68" t="s">
        <v>70</v>
      </c>
      <c r="D55" s="68">
        <v>25</v>
      </c>
      <c r="E55" s="68">
        <v>33</v>
      </c>
      <c r="F55" s="114">
        <f t="shared" si="0"/>
        <v>8</v>
      </c>
      <c r="G55" s="115">
        <f t="shared" si="1"/>
        <v>1.32</v>
      </c>
    </row>
    <row r="56" spans="1:7" x14ac:dyDescent="0.35">
      <c r="A56" s="17">
        <v>50</v>
      </c>
      <c r="B56" s="18" t="s">
        <v>143</v>
      </c>
      <c r="C56" s="68" t="s">
        <v>70</v>
      </c>
      <c r="D56" s="68">
        <v>25</v>
      </c>
      <c r="E56" s="68">
        <v>11</v>
      </c>
      <c r="F56" s="114">
        <f t="shared" si="0"/>
        <v>-14</v>
      </c>
      <c r="G56" s="115">
        <f t="shared" si="1"/>
        <v>0.44</v>
      </c>
    </row>
    <row r="57" spans="1:7" x14ac:dyDescent="0.35">
      <c r="A57" s="17">
        <v>51</v>
      </c>
      <c r="B57" s="18" t="s">
        <v>144</v>
      </c>
      <c r="C57" s="68" t="s">
        <v>70</v>
      </c>
      <c r="D57" s="68">
        <v>25</v>
      </c>
      <c r="E57" s="68">
        <v>2</v>
      </c>
      <c r="F57" s="114">
        <f t="shared" si="0"/>
        <v>-23</v>
      </c>
      <c r="G57" s="115">
        <f t="shared" si="1"/>
        <v>0.08</v>
      </c>
    </row>
    <row r="58" spans="1:7" x14ac:dyDescent="0.35">
      <c r="A58" s="17">
        <v>52</v>
      </c>
      <c r="B58" s="18" t="s">
        <v>145</v>
      </c>
      <c r="C58" s="68" t="s">
        <v>70</v>
      </c>
      <c r="D58" s="68">
        <v>25</v>
      </c>
      <c r="E58" s="68">
        <v>14</v>
      </c>
      <c r="F58" s="114">
        <f t="shared" si="0"/>
        <v>-11</v>
      </c>
      <c r="G58" s="115">
        <f t="shared" si="1"/>
        <v>0.56000000000000005</v>
      </c>
    </row>
    <row r="59" spans="1:7" x14ac:dyDescent="0.35">
      <c r="A59" s="17"/>
      <c r="B59" s="17" t="s">
        <v>146</v>
      </c>
      <c r="C59" s="114"/>
      <c r="D59" s="114">
        <v>1360</v>
      </c>
      <c r="E59" s="114">
        <f>SUM(E7:E58)</f>
        <v>1346</v>
      </c>
      <c r="F59" s="114">
        <f t="shared" si="0"/>
        <v>-14</v>
      </c>
      <c r="G59" s="115">
        <f t="shared" si="1"/>
        <v>0.98970588235294121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BFC2-E8FE-4705-A2DF-9E3D48C092BA}">
  <dimension ref="A1:G49"/>
  <sheetViews>
    <sheetView workbookViewId="0">
      <selection activeCell="J5" sqref="J5"/>
    </sheetView>
  </sheetViews>
  <sheetFormatPr defaultRowHeight="14.5" x14ac:dyDescent="0.35"/>
  <cols>
    <col min="1" max="1" width="4.81640625" customWidth="1"/>
    <col min="2" max="2" width="34.5429687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677</v>
      </c>
    </row>
    <row r="3" spans="1:7" x14ac:dyDescent="0.35">
      <c r="B3" s="149" t="s">
        <v>679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19" t="s">
        <v>147</v>
      </c>
      <c r="C7" s="20" t="s">
        <v>68</v>
      </c>
      <c r="D7" s="20">
        <v>35</v>
      </c>
      <c r="E7" s="20">
        <v>9</v>
      </c>
      <c r="F7" s="98">
        <f>E7-D7</f>
        <v>-26</v>
      </c>
      <c r="G7" s="99">
        <f>E7/D7*100%</f>
        <v>0.25714285714285712</v>
      </c>
    </row>
    <row r="8" spans="1:7" x14ac:dyDescent="0.35">
      <c r="A8" s="12">
        <v>2</v>
      </c>
      <c r="B8" s="21" t="s">
        <v>148</v>
      </c>
      <c r="C8" s="22" t="s">
        <v>70</v>
      </c>
      <c r="D8" s="20">
        <v>25</v>
      </c>
      <c r="E8" s="20">
        <v>45</v>
      </c>
      <c r="F8" s="98">
        <f t="shared" ref="F8:F20" si="0">E8-D8</f>
        <v>20</v>
      </c>
      <c r="G8" s="99">
        <f t="shared" ref="G8:G20" si="1">E8/D8*100%</f>
        <v>1.8</v>
      </c>
    </row>
    <row r="9" spans="1:7" x14ac:dyDescent="0.35">
      <c r="A9" s="12">
        <v>3</v>
      </c>
      <c r="B9" s="21" t="s">
        <v>149</v>
      </c>
      <c r="C9" s="22" t="s">
        <v>70</v>
      </c>
      <c r="D9" s="20">
        <v>25</v>
      </c>
      <c r="E9" s="20">
        <v>23</v>
      </c>
      <c r="F9" s="98">
        <f t="shared" si="0"/>
        <v>-2</v>
      </c>
      <c r="G9" s="99">
        <f t="shared" si="1"/>
        <v>0.92</v>
      </c>
    </row>
    <row r="10" spans="1:7" x14ac:dyDescent="0.35">
      <c r="A10" s="12">
        <v>4</v>
      </c>
      <c r="B10" s="21" t="s">
        <v>150</v>
      </c>
      <c r="C10" s="22" t="s">
        <v>70</v>
      </c>
      <c r="D10" s="20">
        <v>25</v>
      </c>
      <c r="E10" s="20">
        <v>92</v>
      </c>
      <c r="F10" s="98">
        <f t="shared" si="0"/>
        <v>67</v>
      </c>
      <c r="G10" s="99">
        <f t="shared" si="1"/>
        <v>3.68</v>
      </c>
    </row>
    <row r="11" spans="1:7" x14ac:dyDescent="0.35">
      <c r="A11" s="12">
        <v>5</v>
      </c>
      <c r="B11" s="21" t="s">
        <v>151</v>
      </c>
      <c r="C11" s="22" t="s">
        <v>70</v>
      </c>
      <c r="D11" s="20">
        <v>25</v>
      </c>
      <c r="E11" s="20">
        <v>20</v>
      </c>
      <c r="F11" s="98">
        <f t="shared" si="0"/>
        <v>-5</v>
      </c>
      <c r="G11" s="99">
        <f t="shared" si="1"/>
        <v>0.8</v>
      </c>
    </row>
    <row r="12" spans="1:7" x14ac:dyDescent="0.35">
      <c r="A12" s="12">
        <v>6</v>
      </c>
      <c r="B12" s="23" t="s">
        <v>152</v>
      </c>
      <c r="C12" s="22" t="s">
        <v>70</v>
      </c>
      <c r="D12" s="20">
        <v>25</v>
      </c>
      <c r="E12" s="20">
        <v>14</v>
      </c>
      <c r="F12" s="98">
        <f t="shared" si="0"/>
        <v>-11</v>
      </c>
      <c r="G12" s="99">
        <f t="shared" si="1"/>
        <v>0.56000000000000005</v>
      </c>
    </row>
    <row r="13" spans="1:7" x14ac:dyDescent="0.35">
      <c r="A13" s="12">
        <v>7</v>
      </c>
      <c r="B13" s="23" t="s">
        <v>153</v>
      </c>
      <c r="C13" s="22" t="s">
        <v>70</v>
      </c>
      <c r="D13" s="20">
        <v>25</v>
      </c>
      <c r="E13" s="20">
        <v>10</v>
      </c>
      <c r="F13" s="98">
        <f t="shared" si="0"/>
        <v>-15</v>
      </c>
      <c r="G13" s="99">
        <f t="shared" si="1"/>
        <v>0.4</v>
      </c>
    </row>
    <row r="14" spans="1:7" x14ac:dyDescent="0.35">
      <c r="A14" s="12">
        <v>8</v>
      </c>
      <c r="B14" s="23" t="s">
        <v>154</v>
      </c>
      <c r="C14" s="22" t="s">
        <v>70</v>
      </c>
      <c r="D14" s="20">
        <v>25</v>
      </c>
      <c r="E14" s="20">
        <v>7</v>
      </c>
      <c r="F14" s="98">
        <f t="shared" si="0"/>
        <v>-18</v>
      </c>
      <c r="G14" s="99">
        <f t="shared" si="1"/>
        <v>0.28000000000000003</v>
      </c>
    </row>
    <row r="15" spans="1:7" x14ac:dyDescent="0.35">
      <c r="A15" s="12">
        <v>9</v>
      </c>
      <c r="B15" s="19" t="s">
        <v>155</v>
      </c>
      <c r="C15" s="20" t="s">
        <v>68</v>
      </c>
      <c r="D15" s="20">
        <v>35</v>
      </c>
      <c r="E15" s="20">
        <v>18</v>
      </c>
      <c r="F15" s="98">
        <f t="shared" si="0"/>
        <v>-17</v>
      </c>
      <c r="G15" s="99">
        <f t="shared" si="1"/>
        <v>0.51428571428571423</v>
      </c>
    </row>
    <row r="16" spans="1:7" x14ac:dyDescent="0.35">
      <c r="A16" s="12">
        <v>10</v>
      </c>
      <c r="B16" s="21" t="s">
        <v>156</v>
      </c>
      <c r="C16" s="22" t="s">
        <v>70</v>
      </c>
      <c r="D16" s="20">
        <v>25</v>
      </c>
      <c r="E16" s="20">
        <v>19</v>
      </c>
      <c r="F16" s="98">
        <f t="shared" si="0"/>
        <v>-6</v>
      </c>
      <c r="G16" s="99">
        <f t="shared" si="1"/>
        <v>0.76</v>
      </c>
    </row>
    <row r="17" spans="1:7" x14ac:dyDescent="0.35">
      <c r="A17" s="12">
        <v>11</v>
      </c>
      <c r="B17" s="21" t="s">
        <v>157</v>
      </c>
      <c r="C17" s="22" t="s">
        <v>70</v>
      </c>
      <c r="D17" s="20">
        <v>25</v>
      </c>
      <c r="E17" s="20">
        <v>20</v>
      </c>
      <c r="F17" s="98">
        <f t="shared" si="0"/>
        <v>-5</v>
      </c>
      <c r="G17" s="99">
        <f t="shared" si="1"/>
        <v>0.8</v>
      </c>
    </row>
    <row r="18" spans="1:7" x14ac:dyDescent="0.35">
      <c r="A18" s="12">
        <v>12</v>
      </c>
      <c r="B18" s="21" t="s">
        <v>158</v>
      </c>
      <c r="C18" s="22" t="s">
        <v>70</v>
      </c>
      <c r="D18" s="20">
        <v>25</v>
      </c>
      <c r="E18" s="20">
        <v>25</v>
      </c>
      <c r="F18" s="98">
        <f t="shared" si="0"/>
        <v>0</v>
      </c>
      <c r="G18" s="99">
        <f t="shared" si="1"/>
        <v>1</v>
      </c>
    </row>
    <row r="19" spans="1:7" x14ac:dyDescent="0.35">
      <c r="A19" s="12">
        <v>13</v>
      </c>
      <c r="B19" s="23" t="s">
        <v>159</v>
      </c>
      <c r="C19" s="22" t="s">
        <v>70</v>
      </c>
      <c r="D19" s="20">
        <v>25</v>
      </c>
      <c r="E19" s="20">
        <v>10</v>
      </c>
      <c r="F19" s="98">
        <f t="shared" si="0"/>
        <v>-15</v>
      </c>
      <c r="G19" s="99">
        <f t="shared" si="1"/>
        <v>0.4</v>
      </c>
    </row>
    <row r="20" spans="1:7" x14ac:dyDescent="0.35">
      <c r="A20" s="12">
        <v>14</v>
      </c>
      <c r="B20" s="12" t="s">
        <v>55</v>
      </c>
      <c r="C20" s="98"/>
      <c r="D20" s="98">
        <v>340</v>
      </c>
      <c r="E20" s="98">
        <f>SUM(E7:E19)</f>
        <v>312</v>
      </c>
      <c r="F20" s="98">
        <f t="shared" si="0"/>
        <v>-28</v>
      </c>
      <c r="G20" s="99">
        <f t="shared" si="1"/>
        <v>0.91764705882352937</v>
      </c>
    </row>
    <row r="23" spans="1:7" x14ac:dyDescent="0.35">
      <c r="B23" t="s">
        <v>37</v>
      </c>
    </row>
    <row r="24" spans="1:7" x14ac:dyDescent="0.35">
      <c r="A24" s="137" t="s">
        <v>58</v>
      </c>
      <c r="B24" s="138" t="s">
        <v>59</v>
      </c>
      <c r="C24" s="139" t="s">
        <v>66</v>
      </c>
      <c r="D24" s="140"/>
      <c r="E24" s="140"/>
      <c r="F24" s="140"/>
      <c r="G24" s="140"/>
    </row>
    <row r="25" spans="1:7" x14ac:dyDescent="0.35">
      <c r="A25" s="137"/>
      <c r="B25" s="138"/>
      <c r="C25" s="141" t="s">
        <v>60</v>
      </c>
      <c r="D25" s="141" t="s">
        <v>61</v>
      </c>
      <c r="E25" s="141" t="s">
        <v>62</v>
      </c>
      <c r="F25" s="141" t="s">
        <v>63</v>
      </c>
      <c r="G25" s="143" t="s">
        <v>6</v>
      </c>
    </row>
    <row r="26" spans="1:7" x14ac:dyDescent="0.35">
      <c r="A26" s="137"/>
      <c r="B26" s="138"/>
      <c r="C26" s="142"/>
      <c r="D26" s="142"/>
      <c r="E26" s="142"/>
      <c r="F26" s="142"/>
      <c r="G26" s="144"/>
    </row>
    <row r="27" spans="1:7" x14ac:dyDescent="0.35">
      <c r="A27" s="12">
        <v>1</v>
      </c>
      <c r="B27" s="30" t="s">
        <v>160</v>
      </c>
      <c r="C27" s="31" t="s">
        <v>68</v>
      </c>
      <c r="D27" s="31">
        <v>35</v>
      </c>
      <c r="E27" s="31">
        <v>29</v>
      </c>
      <c r="F27" s="12">
        <f>E27-D27</f>
        <v>-6</v>
      </c>
      <c r="G27" s="15">
        <f>E27/D27*100%</f>
        <v>0.82857142857142863</v>
      </c>
    </row>
    <row r="28" spans="1:7" x14ac:dyDescent="0.35">
      <c r="A28" s="12">
        <v>2</v>
      </c>
      <c r="B28" s="32" t="s">
        <v>161</v>
      </c>
      <c r="C28" s="33" t="s">
        <v>70</v>
      </c>
      <c r="D28" s="31">
        <v>25</v>
      </c>
      <c r="E28" s="31">
        <v>30</v>
      </c>
      <c r="F28" s="12">
        <f t="shared" ref="F28:F39" si="2">E28-D28</f>
        <v>5</v>
      </c>
      <c r="G28" s="15">
        <f t="shared" ref="G28:G39" si="3">E28/D28*100%</f>
        <v>1.2</v>
      </c>
    </row>
    <row r="29" spans="1:7" x14ac:dyDescent="0.35">
      <c r="A29" s="12">
        <v>3</v>
      </c>
      <c r="B29" s="32" t="s">
        <v>162</v>
      </c>
      <c r="C29" s="33" t="s">
        <v>70</v>
      </c>
      <c r="D29" s="31">
        <v>25</v>
      </c>
      <c r="E29" s="31">
        <v>17</v>
      </c>
      <c r="F29" s="12">
        <f t="shared" si="2"/>
        <v>-8</v>
      </c>
      <c r="G29" s="15">
        <f t="shared" si="3"/>
        <v>0.68</v>
      </c>
    </row>
    <row r="30" spans="1:7" x14ac:dyDescent="0.35">
      <c r="A30" s="12">
        <v>4</v>
      </c>
      <c r="B30" s="32" t="s">
        <v>163</v>
      </c>
      <c r="C30" s="33" t="s">
        <v>70</v>
      </c>
      <c r="D30" s="31">
        <v>25</v>
      </c>
      <c r="E30" s="31">
        <v>12</v>
      </c>
      <c r="F30" s="12">
        <f t="shared" si="2"/>
        <v>-13</v>
      </c>
      <c r="G30" s="15">
        <f t="shared" si="3"/>
        <v>0.48</v>
      </c>
    </row>
    <row r="31" spans="1:7" x14ac:dyDescent="0.35">
      <c r="A31" s="12">
        <v>5</v>
      </c>
      <c r="B31" s="28" t="s">
        <v>164</v>
      </c>
      <c r="C31" s="33" t="s">
        <v>70</v>
      </c>
      <c r="D31" s="31">
        <v>25</v>
      </c>
      <c r="E31" s="31">
        <v>18</v>
      </c>
      <c r="F31" s="12">
        <f t="shared" si="2"/>
        <v>-7</v>
      </c>
      <c r="G31" s="15">
        <f t="shared" si="3"/>
        <v>0.72</v>
      </c>
    </row>
    <row r="32" spans="1:7" x14ac:dyDescent="0.35">
      <c r="A32" s="12">
        <v>6</v>
      </c>
      <c r="B32" s="28" t="s">
        <v>165</v>
      </c>
      <c r="C32" s="33" t="s">
        <v>70</v>
      </c>
      <c r="D32" s="31">
        <v>25</v>
      </c>
      <c r="E32" s="31">
        <v>10</v>
      </c>
      <c r="F32" s="12">
        <f t="shared" si="2"/>
        <v>-15</v>
      </c>
      <c r="G32" s="15">
        <f t="shared" si="3"/>
        <v>0.4</v>
      </c>
    </row>
    <row r="33" spans="1:7" x14ac:dyDescent="0.35">
      <c r="A33" s="12">
        <v>7</v>
      </c>
      <c r="B33" s="30" t="s">
        <v>167</v>
      </c>
      <c r="C33" s="31" t="s">
        <v>68</v>
      </c>
      <c r="D33" s="31">
        <v>35</v>
      </c>
      <c r="E33" s="31">
        <v>16</v>
      </c>
      <c r="F33" s="12">
        <f t="shared" si="2"/>
        <v>-19</v>
      </c>
      <c r="G33" s="15">
        <f t="shared" si="3"/>
        <v>0.45714285714285713</v>
      </c>
    </row>
    <row r="34" spans="1:7" x14ac:dyDescent="0.35">
      <c r="A34" s="12">
        <v>8</v>
      </c>
      <c r="B34" s="32" t="s">
        <v>168</v>
      </c>
      <c r="C34" s="33" t="s">
        <v>70</v>
      </c>
      <c r="D34" s="31">
        <v>25</v>
      </c>
      <c r="E34" s="31">
        <v>11</v>
      </c>
      <c r="F34" s="12">
        <f t="shared" si="2"/>
        <v>-14</v>
      </c>
      <c r="G34" s="15">
        <f t="shared" si="3"/>
        <v>0.44</v>
      </c>
    </row>
    <row r="35" spans="1:7" x14ac:dyDescent="0.35">
      <c r="A35" s="12">
        <v>9</v>
      </c>
      <c r="B35" s="32" t="s">
        <v>169</v>
      </c>
      <c r="C35" s="33" t="s">
        <v>70</v>
      </c>
      <c r="D35" s="31">
        <v>25</v>
      </c>
      <c r="E35" s="31">
        <v>15</v>
      </c>
      <c r="F35" s="12">
        <f t="shared" si="2"/>
        <v>-10</v>
      </c>
      <c r="G35" s="15">
        <f t="shared" si="3"/>
        <v>0.6</v>
      </c>
    </row>
    <row r="36" spans="1:7" x14ac:dyDescent="0.35">
      <c r="A36" s="12">
        <v>10</v>
      </c>
      <c r="B36" s="29" t="s">
        <v>170</v>
      </c>
      <c r="C36" s="33" t="s">
        <v>70</v>
      </c>
      <c r="D36" s="31">
        <v>25</v>
      </c>
      <c r="E36" s="31">
        <v>14</v>
      </c>
      <c r="F36" s="12">
        <f t="shared" si="2"/>
        <v>-11</v>
      </c>
      <c r="G36" s="15">
        <f t="shared" si="3"/>
        <v>0.56000000000000005</v>
      </c>
    </row>
    <row r="37" spans="1:7" x14ac:dyDescent="0.35">
      <c r="A37" s="12">
        <v>11</v>
      </c>
      <c r="B37" s="29" t="s">
        <v>171</v>
      </c>
      <c r="C37" s="33" t="s">
        <v>70</v>
      </c>
      <c r="D37" s="31">
        <v>25</v>
      </c>
      <c r="E37" s="31">
        <v>1</v>
      </c>
      <c r="F37" s="12">
        <f t="shared" si="2"/>
        <v>-24</v>
      </c>
      <c r="G37" s="15">
        <f t="shared" si="3"/>
        <v>0.04</v>
      </c>
    </row>
    <row r="38" spans="1:7" x14ac:dyDescent="0.35">
      <c r="A38" s="12">
        <v>12</v>
      </c>
      <c r="B38" s="12" t="s">
        <v>172</v>
      </c>
      <c r="C38" s="33" t="s">
        <v>70</v>
      </c>
      <c r="D38" s="31">
        <v>25</v>
      </c>
      <c r="E38" s="31">
        <v>1</v>
      </c>
      <c r="F38" s="12">
        <f t="shared" si="2"/>
        <v>-24</v>
      </c>
      <c r="G38" s="15">
        <f t="shared" si="3"/>
        <v>0.04</v>
      </c>
    </row>
    <row r="39" spans="1:7" x14ac:dyDescent="0.35">
      <c r="A39" s="12"/>
      <c r="B39" s="12" t="s">
        <v>55</v>
      </c>
      <c r="C39" s="12"/>
      <c r="D39" s="31">
        <v>300</v>
      </c>
      <c r="E39" s="12">
        <f>SUM(E27:E38)</f>
        <v>174</v>
      </c>
      <c r="F39" s="12">
        <f t="shared" si="2"/>
        <v>-126</v>
      </c>
      <c r="G39" s="15">
        <f t="shared" si="3"/>
        <v>0.57999999999999996</v>
      </c>
    </row>
    <row r="42" spans="1:7" x14ac:dyDescent="0.35">
      <c r="A42" s="137" t="s">
        <v>58</v>
      </c>
      <c r="B42" s="138" t="s">
        <v>59</v>
      </c>
      <c r="C42" s="139" t="s">
        <v>66</v>
      </c>
      <c r="D42" s="140"/>
      <c r="E42" s="140"/>
      <c r="F42" s="140"/>
      <c r="G42" s="140"/>
    </row>
    <row r="43" spans="1:7" x14ac:dyDescent="0.35">
      <c r="A43" s="137"/>
      <c r="B43" s="138"/>
      <c r="C43" s="141" t="s">
        <v>60</v>
      </c>
      <c r="D43" s="141" t="s">
        <v>61</v>
      </c>
      <c r="E43" s="141" t="s">
        <v>62</v>
      </c>
      <c r="F43" s="141" t="s">
        <v>63</v>
      </c>
      <c r="G43" s="143" t="s">
        <v>6</v>
      </c>
    </row>
    <row r="44" spans="1:7" x14ac:dyDescent="0.35">
      <c r="A44" s="137"/>
      <c r="B44" s="138"/>
      <c r="C44" s="142"/>
      <c r="D44" s="142"/>
      <c r="E44" s="142"/>
      <c r="F44" s="142"/>
      <c r="G44" s="144"/>
    </row>
    <row r="45" spans="1:7" x14ac:dyDescent="0.35">
      <c r="A45" s="12">
        <v>1</v>
      </c>
      <c r="B45" s="25" t="s">
        <v>173</v>
      </c>
      <c r="C45" s="26" t="s">
        <v>70</v>
      </c>
      <c r="D45" s="26">
        <v>25</v>
      </c>
      <c r="E45" s="26">
        <v>16</v>
      </c>
      <c r="F45" s="98">
        <f>E45-D45</f>
        <v>-9</v>
      </c>
      <c r="G45" s="99">
        <f>E45/D45*100%</f>
        <v>0.64</v>
      </c>
    </row>
    <row r="46" spans="1:7" x14ac:dyDescent="0.35">
      <c r="A46" s="12">
        <v>2</v>
      </c>
      <c r="B46" s="27" t="s">
        <v>174</v>
      </c>
      <c r="C46" s="24" t="s">
        <v>70</v>
      </c>
      <c r="D46" s="26">
        <v>25</v>
      </c>
      <c r="E46" s="26">
        <v>17</v>
      </c>
      <c r="F46" s="98">
        <f t="shared" ref="F46:F49" si="4">E46-D46</f>
        <v>-8</v>
      </c>
      <c r="G46" s="99">
        <f t="shared" ref="G46:G49" si="5">E46/D46*100%</f>
        <v>0.68</v>
      </c>
    </row>
    <row r="47" spans="1:7" x14ac:dyDescent="0.35">
      <c r="A47" s="12">
        <v>3</v>
      </c>
      <c r="B47" s="27" t="s">
        <v>175</v>
      </c>
      <c r="C47" s="24" t="s">
        <v>70</v>
      </c>
      <c r="D47" s="26">
        <v>25</v>
      </c>
      <c r="E47" s="26">
        <v>16</v>
      </c>
      <c r="F47" s="98">
        <f t="shared" si="4"/>
        <v>-9</v>
      </c>
      <c r="G47" s="99">
        <f t="shared" si="5"/>
        <v>0.64</v>
      </c>
    </row>
    <row r="48" spans="1:7" x14ac:dyDescent="0.35">
      <c r="A48" s="12">
        <v>4</v>
      </c>
      <c r="B48" s="119" t="s">
        <v>166</v>
      </c>
      <c r="C48" s="120" t="s">
        <v>70</v>
      </c>
      <c r="D48" s="121">
        <v>25</v>
      </c>
      <c r="E48" s="121">
        <v>1</v>
      </c>
      <c r="F48" s="122">
        <f t="shared" si="4"/>
        <v>-24</v>
      </c>
      <c r="G48" s="123">
        <f t="shared" si="5"/>
        <v>0.04</v>
      </c>
    </row>
    <row r="49" spans="1:7" x14ac:dyDescent="0.35">
      <c r="A49" s="12"/>
      <c r="B49" s="12" t="s">
        <v>55</v>
      </c>
      <c r="C49" s="98"/>
      <c r="D49" s="26">
        <v>75</v>
      </c>
      <c r="E49" s="98">
        <f>SUM(E45:E48)</f>
        <v>50</v>
      </c>
      <c r="F49" s="98">
        <f t="shared" si="4"/>
        <v>-25</v>
      </c>
      <c r="G49" s="99">
        <f t="shared" si="5"/>
        <v>0.66666666666666663</v>
      </c>
    </row>
  </sheetData>
  <mergeCells count="24">
    <mergeCell ref="A42:A44"/>
    <mergeCell ref="B42:B44"/>
    <mergeCell ref="C42:G42"/>
    <mergeCell ref="C43:C44"/>
    <mergeCell ref="D43:D44"/>
    <mergeCell ref="E43:E44"/>
    <mergeCell ref="F43:F44"/>
    <mergeCell ref="G43:G44"/>
    <mergeCell ref="A24:A26"/>
    <mergeCell ref="B24:B26"/>
    <mergeCell ref="C24:G24"/>
    <mergeCell ref="C25:C26"/>
    <mergeCell ref="D25:D26"/>
    <mergeCell ref="E25:E26"/>
    <mergeCell ref="F25:F26"/>
    <mergeCell ref="G25:G26"/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5219-41CD-4846-98A2-815EABA26D9B}">
  <dimension ref="A1:G48"/>
  <sheetViews>
    <sheetView workbookViewId="0">
      <selection activeCell="B1" sqref="B1:B2"/>
    </sheetView>
  </sheetViews>
  <sheetFormatPr defaultRowHeight="14.5" x14ac:dyDescent="0.35"/>
  <cols>
    <col min="1" max="1" width="5.7265625" customWidth="1"/>
    <col min="2" max="2" width="39.36328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680</v>
      </c>
    </row>
    <row r="3" spans="1:7" x14ac:dyDescent="0.35">
      <c r="B3" t="s">
        <v>43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28">
        <v>1</v>
      </c>
      <c r="B7" s="34" t="s">
        <v>176</v>
      </c>
      <c r="C7" s="35" t="s">
        <v>68</v>
      </c>
      <c r="D7" s="35">
        <v>35</v>
      </c>
      <c r="E7" s="35">
        <v>0</v>
      </c>
      <c r="F7" s="28">
        <f>E7-D7</f>
        <v>-35</v>
      </c>
      <c r="G7" s="38">
        <f>E7/D7*100%</f>
        <v>0</v>
      </c>
    </row>
    <row r="8" spans="1:7" x14ac:dyDescent="0.35">
      <c r="A8" s="28">
        <v>2</v>
      </c>
      <c r="B8" s="36" t="s">
        <v>177</v>
      </c>
      <c r="C8" s="35" t="s">
        <v>70</v>
      </c>
      <c r="D8" s="35">
        <v>25</v>
      </c>
      <c r="E8" s="35">
        <v>37</v>
      </c>
      <c r="F8" s="28">
        <f t="shared" ref="F8:F21" si="0">E8-D8</f>
        <v>12</v>
      </c>
      <c r="G8" s="38">
        <f t="shared" ref="G8:G21" si="1">E8/D8*100%</f>
        <v>1.48</v>
      </c>
    </row>
    <row r="9" spans="1:7" x14ac:dyDescent="0.35">
      <c r="A9" s="28">
        <v>3</v>
      </c>
      <c r="B9" s="36" t="s">
        <v>178</v>
      </c>
      <c r="C9" s="35" t="s">
        <v>70</v>
      </c>
      <c r="D9" s="35">
        <v>25</v>
      </c>
      <c r="E9" s="35">
        <v>14</v>
      </c>
      <c r="F9" s="28">
        <f t="shared" si="0"/>
        <v>-11</v>
      </c>
      <c r="G9" s="38">
        <f t="shared" si="1"/>
        <v>0.56000000000000005</v>
      </c>
    </row>
    <row r="10" spans="1:7" x14ac:dyDescent="0.35">
      <c r="A10" s="28">
        <v>4</v>
      </c>
      <c r="B10" s="36" t="s">
        <v>179</v>
      </c>
      <c r="C10" s="37" t="s">
        <v>70</v>
      </c>
      <c r="D10" s="37">
        <v>25</v>
      </c>
      <c r="E10" s="35">
        <v>36</v>
      </c>
      <c r="F10" s="28">
        <f t="shared" si="0"/>
        <v>11</v>
      </c>
      <c r="G10" s="38">
        <f t="shared" si="1"/>
        <v>1.44</v>
      </c>
    </row>
    <row r="11" spans="1:7" x14ac:dyDescent="0.35">
      <c r="A11" s="28">
        <v>5</v>
      </c>
      <c r="B11" s="36" t="s">
        <v>180</v>
      </c>
      <c r="C11" s="37" t="s">
        <v>70</v>
      </c>
      <c r="D11" s="37">
        <v>25</v>
      </c>
      <c r="E11" s="35">
        <v>28</v>
      </c>
      <c r="F11" s="28">
        <f t="shared" si="0"/>
        <v>3</v>
      </c>
      <c r="G11" s="38">
        <f t="shared" si="1"/>
        <v>1.1200000000000001</v>
      </c>
    </row>
    <row r="12" spans="1:7" x14ac:dyDescent="0.35">
      <c r="A12" s="28">
        <v>6</v>
      </c>
      <c r="B12" s="36" t="s">
        <v>181</v>
      </c>
      <c r="C12" s="37" t="s">
        <v>70</v>
      </c>
      <c r="D12" s="37">
        <v>25</v>
      </c>
      <c r="E12" s="35">
        <v>4</v>
      </c>
      <c r="F12" s="28">
        <f t="shared" si="0"/>
        <v>-21</v>
      </c>
      <c r="G12" s="38">
        <f t="shared" si="1"/>
        <v>0.16</v>
      </c>
    </row>
    <row r="13" spans="1:7" x14ac:dyDescent="0.35">
      <c r="A13" s="28">
        <v>7</v>
      </c>
      <c r="B13" s="34" t="s">
        <v>182</v>
      </c>
      <c r="C13" s="35" t="s">
        <v>68</v>
      </c>
      <c r="D13" s="35">
        <v>35</v>
      </c>
      <c r="E13" s="35">
        <v>4</v>
      </c>
      <c r="F13" s="28">
        <f t="shared" si="0"/>
        <v>-31</v>
      </c>
      <c r="G13" s="38">
        <f t="shared" si="1"/>
        <v>0.11428571428571428</v>
      </c>
    </row>
    <row r="14" spans="1:7" x14ac:dyDescent="0.35">
      <c r="A14" s="28">
        <v>8</v>
      </c>
      <c r="B14" s="36" t="s">
        <v>183</v>
      </c>
      <c r="C14" s="35" t="s">
        <v>70</v>
      </c>
      <c r="D14" s="35">
        <v>25</v>
      </c>
      <c r="E14" s="35">
        <v>40</v>
      </c>
      <c r="F14" s="28">
        <f t="shared" si="0"/>
        <v>15</v>
      </c>
      <c r="G14" s="38">
        <f t="shared" si="1"/>
        <v>1.6</v>
      </c>
    </row>
    <row r="15" spans="1:7" x14ac:dyDescent="0.35">
      <c r="A15" s="28">
        <v>9</v>
      </c>
      <c r="B15" s="36" t="s">
        <v>184</v>
      </c>
      <c r="C15" s="35" t="s">
        <v>70</v>
      </c>
      <c r="D15" s="35">
        <v>25</v>
      </c>
      <c r="E15" s="35">
        <v>25</v>
      </c>
      <c r="F15" s="28">
        <f t="shared" si="0"/>
        <v>0</v>
      </c>
      <c r="G15" s="38">
        <f t="shared" si="1"/>
        <v>1</v>
      </c>
    </row>
    <row r="16" spans="1:7" x14ac:dyDescent="0.35">
      <c r="A16" s="28">
        <v>10</v>
      </c>
      <c r="B16" s="36" t="s">
        <v>185</v>
      </c>
      <c r="C16" s="37" t="s">
        <v>70</v>
      </c>
      <c r="D16" s="37">
        <v>25</v>
      </c>
      <c r="E16" s="35">
        <v>12</v>
      </c>
      <c r="F16" s="28">
        <f t="shared" si="0"/>
        <v>-13</v>
      </c>
      <c r="G16" s="38">
        <f t="shared" si="1"/>
        <v>0.48</v>
      </c>
    </row>
    <row r="17" spans="1:7" x14ac:dyDescent="0.35">
      <c r="A17" s="28">
        <v>11</v>
      </c>
      <c r="B17" s="36" t="s">
        <v>186</v>
      </c>
      <c r="C17" s="37" t="s">
        <v>70</v>
      </c>
      <c r="D17" s="37">
        <v>25</v>
      </c>
      <c r="E17" s="35">
        <v>20</v>
      </c>
      <c r="F17" s="28">
        <f t="shared" si="0"/>
        <v>-5</v>
      </c>
      <c r="G17" s="38">
        <f t="shared" si="1"/>
        <v>0.8</v>
      </c>
    </row>
    <row r="18" spans="1:7" x14ac:dyDescent="0.35">
      <c r="A18" s="28">
        <v>12</v>
      </c>
      <c r="B18" s="36" t="s">
        <v>187</v>
      </c>
      <c r="C18" s="37" t="s">
        <v>70</v>
      </c>
      <c r="D18" s="37">
        <v>25</v>
      </c>
      <c r="E18" s="35">
        <v>6</v>
      </c>
      <c r="F18" s="28">
        <f t="shared" si="0"/>
        <v>-19</v>
      </c>
      <c r="G18" s="38">
        <f t="shared" si="1"/>
        <v>0.24</v>
      </c>
    </row>
    <row r="19" spans="1:7" x14ac:dyDescent="0.35">
      <c r="A19" s="28">
        <v>13</v>
      </c>
      <c r="B19" s="36" t="s">
        <v>188</v>
      </c>
      <c r="C19" s="37"/>
      <c r="D19" s="37">
        <v>25</v>
      </c>
      <c r="E19" s="35">
        <v>6</v>
      </c>
      <c r="F19" s="28">
        <f t="shared" si="0"/>
        <v>-19</v>
      </c>
      <c r="G19" s="38">
        <f t="shared" si="1"/>
        <v>0.24</v>
      </c>
    </row>
    <row r="20" spans="1:7" x14ac:dyDescent="0.35">
      <c r="A20" s="28">
        <v>14</v>
      </c>
      <c r="B20" s="36" t="s">
        <v>189</v>
      </c>
      <c r="C20" s="37"/>
      <c r="D20" s="37">
        <v>25</v>
      </c>
      <c r="E20" s="35">
        <v>9</v>
      </c>
      <c r="F20" s="28">
        <f t="shared" si="0"/>
        <v>-16</v>
      </c>
      <c r="G20" s="38">
        <f t="shared" si="1"/>
        <v>0.36</v>
      </c>
    </row>
    <row r="21" spans="1:7" x14ac:dyDescent="0.35">
      <c r="A21" s="28">
        <v>15</v>
      </c>
      <c r="B21" s="28" t="s">
        <v>55</v>
      </c>
      <c r="C21" s="28"/>
      <c r="D21" s="37">
        <v>340</v>
      </c>
      <c r="E21" s="28">
        <f>SUM(E7:E20)</f>
        <v>241</v>
      </c>
      <c r="F21" s="28">
        <f t="shared" si="0"/>
        <v>-99</v>
      </c>
      <c r="G21" s="38">
        <f t="shared" si="1"/>
        <v>0.70882352941176474</v>
      </c>
    </row>
    <row r="23" spans="1:7" x14ac:dyDescent="0.35">
      <c r="B23" t="s">
        <v>42</v>
      </c>
    </row>
    <row r="24" spans="1:7" x14ac:dyDescent="0.35">
      <c r="A24" s="137" t="s">
        <v>58</v>
      </c>
      <c r="B24" s="138" t="s">
        <v>59</v>
      </c>
      <c r="C24" s="139" t="s">
        <v>66</v>
      </c>
      <c r="D24" s="140"/>
      <c r="E24" s="140"/>
      <c r="F24" s="140"/>
      <c r="G24" s="140"/>
    </row>
    <row r="25" spans="1:7" x14ac:dyDescent="0.35">
      <c r="A25" s="137"/>
      <c r="B25" s="138"/>
      <c r="C25" s="141" t="s">
        <v>60</v>
      </c>
      <c r="D25" s="141" t="s">
        <v>61</v>
      </c>
      <c r="E25" s="141" t="s">
        <v>62</v>
      </c>
      <c r="F25" s="141" t="s">
        <v>63</v>
      </c>
      <c r="G25" s="143" t="s">
        <v>6</v>
      </c>
    </row>
    <row r="26" spans="1:7" x14ac:dyDescent="0.35">
      <c r="A26" s="137"/>
      <c r="B26" s="138"/>
      <c r="C26" s="142"/>
      <c r="D26" s="142"/>
      <c r="E26" s="142"/>
      <c r="F26" s="142"/>
      <c r="G26" s="144"/>
    </row>
    <row r="27" spans="1:7" x14ac:dyDescent="0.35">
      <c r="A27" s="12">
        <v>1</v>
      </c>
      <c r="B27" s="36" t="s">
        <v>190</v>
      </c>
      <c r="C27" s="35" t="s">
        <v>68</v>
      </c>
      <c r="D27" s="35">
        <v>35</v>
      </c>
      <c r="E27" s="39">
        <v>2</v>
      </c>
      <c r="F27" s="12">
        <f>E27-D27</f>
        <v>-33</v>
      </c>
      <c r="G27" s="15">
        <f>E27/D27*100%</f>
        <v>5.7142857142857141E-2</v>
      </c>
    </row>
    <row r="28" spans="1:7" x14ac:dyDescent="0.35">
      <c r="A28" s="12">
        <v>2</v>
      </c>
      <c r="B28" s="40" t="s">
        <v>191</v>
      </c>
      <c r="C28" s="39" t="s">
        <v>68</v>
      </c>
      <c r="D28" s="39">
        <v>25</v>
      </c>
      <c r="E28" s="39">
        <v>6</v>
      </c>
      <c r="F28" s="12">
        <f t="shared" ref="F28:F36" si="2">E28-D28</f>
        <v>-19</v>
      </c>
      <c r="G28" s="15">
        <f t="shared" ref="G28:G36" si="3">E28/D28*100%</f>
        <v>0.24</v>
      </c>
    </row>
    <row r="29" spans="1:7" x14ac:dyDescent="0.35">
      <c r="A29" s="12">
        <v>3</v>
      </c>
      <c r="B29" s="36" t="s">
        <v>192</v>
      </c>
      <c r="C29" s="35" t="s">
        <v>70</v>
      </c>
      <c r="D29" s="39">
        <v>25</v>
      </c>
      <c r="E29" s="39">
        <v>27</v>
      </c>
      <c r="F29" s="12">
        <f t="shared" si="2"/>
        <v>2</v>
      </c>
      <c r="G29" s="15">
        <f t="shared" si="3"/>
        <v>1.08</v>
      </c>
    </row>
    <row r="30" spans="1:7" x14ac:dyDescent="0.35">
      <c r="A30" s="12">
        <v>4</v>
      </c>
      <c r="B30" s="36" t="s">
        <v>193</v>
      </c>
      <c r="C30" s="35" t="s">
        <v>70</v>
      </c>
      <c r="D30" s="35">
        <v>25</v>
      </c>
      <c r="E30" s="39">
        <v>25</v>
      </c>
      <c r="F30" s="12">
        <f t="shared" si="2"/>
        <v>0</v>
      </c>
      <c r="G30" s="15">
        <f t="shared" si="3"/>
        <v>1</v>
      </c>
    </row>
    <row r="31" spans="1:7" x14ac:dyDescent="0.35">
      <c r="A31" s="12">
        <v>5</v>
      </c>
      <c r="B31" s="36" t="s">
        <v>194</v>
      </c>
      <c r="C31" s="37" t="s">
        <v>70</v>
      </c>
      <c r="D31" s="37">
        <v>25</v>
      </c>
      <c r="E31" s="39">
        <v>16</v>
      </c>
      <c r="F31" s="12">
        <f t="shared" si="2"/>
        <v>-9</v>
      </c>
      <c r="G31" s="15">
        <f t="shared" si="3"/>
        <v>0.64</v>
      </c>
    </row>
    <row r="32" spans="1:7" x14ac:dyDescent="0.35">
      <c r="A32" s="12">
        <v>6</v>
      </c>
      <c r="B32" s="36" t="s">
        <v>195</v>
      </c>
      <c r="C32" s="37" t="s">
        <v>70</v>
      </c>
      <c r="D32" s="37">
        <v>25</v>
      </c>
      <c r="E32" s="39">
        <v>11</v>
      </c>
      <c r="F32" s="12">
        <f t="shared" si="2"/>
        <v>-14</v>
      </c>
      <c r="G32" s="15">
        <f t="shared" si="3"/>
        <v>0.44</v>
      </c>
    </row>
    <row r="33" spans="1:7" x14ac:dyDescent="0.35">
      <c r="A33" s="12">
        <v>7</v>
      </c>
      <c r="B33" s="36" t="s">
        <v>196</v>
      </c>
      <c r="C33" s="35" t="s">
        <v>70</v>
      </c>
      <c r="D33" s="39">
        <v>25</v>
      </c>
      <c r="E33" s="12"/>
      <c r="F33" s="12">
        <f t="shared" si="2"/>
        <v>-25</v>
      </c>
      <c r="G33" s="15">
        <f t="shared" si="3"/>
        <v>0</v>
      </c>
    </row>
    <row r="34" spans="1:7" x14ac:dyDescent="0.35">
      <c r="A34" s="12">
        <v>8</v>
      </c>
      <c r="B34" s="36" t="s">
        <v>197</v>
      </c>
      <c r="C34" s="35" t="s">
        <v>70</v>
      </c>
      <c r="D34" s="35">
        <v>25</v>
      </c>
      <c r="E34" s="12"/>
      <c r="F34" s="12">
        <f t="shared" si="2"/>
        <v>-25</v>
      </c>
      <c r="G34" s="15">
        <f t="shared" si="3"/>
        <v>0</v>
      </c>
    </row>
    <row r="35" spans="1:7" x14ac:dyDescent="0.35">
      <c r="A35" s="12">
        <v>9</v>
      </c>
      <c r="B35" s="36" t="s">
        <v>198</v>
      </c>
      <c r="C35" s="37" t="s">
        <v>70</v>
      </c>
      <c r="D35" s="37">
        <v>25</v>
      </c>
      <c r="E35" s="12"/>
      <c r="F35" s="12">
        <f t="shared" si="2"/>
        <v>-25</v>
      </c>
      <c r="G35" s="15">
        <f t="shared" si="3"/>
        <v>0</v>
      </c>
    </row>
    <row r="36" spans="1:7" x14ac:dyDescent="0.35">
      <c r="A36" s="12">
        <v>10</v>
      </c>
      <c r="B36" s="28" t="s">
        <v>55</v>
      </c>
      <c r="C36" s="12"/>
      <c r="D36" s="37">
        <v>225</v>
      </c>
      <c r="E36" s="12">
        <f>SUM(E27:E35)</f>
        <v>87</v>
      </c>
      <c r="F36" s="12">
        <f t="shared" si="2"/>
        <v>-138</v>
      </c>
      <c r="G36" s="15">
        <f t="shared" si="3"/>
        <v>0.38666666666666666</v>
      </c>
    </row>
    <row r="39" spans="1:7" x14ac:dyDescent="0.35">
      <c r="B39" t="s">
        <v>39</v>
      </c>
    </row>
    <row r="40" spans="1:7" x14ac:dyDescent="0.35">
      <c r="A40" s="137" t="s">
        <v>58</v>
      </c>
      <c r="B40" s="138" t="s">
        <v>59</v>
      </c>
      <c r="C40" s="139" t="s">
        <v>66</v>
      </c>
      <c r="D40" s="140"/>
      <c r="E40" s="140"/>
      <c r="F40" s="140"/>
      <c r="G40" s="140"/>
    </row>
    <row r="41" spans="1:7" x14ac:dyDescent="0.35">
      <c r="A41" s="137"/>
      <c r="B41" s="138"/>
      <c r="C41" s="141" t="s">
        <v>60</v>
      </c>
      <c r="D41" s="141" t="s">
        <v>61</v>
      </c>
      <c r="E41" s="141" t="s">
        <v>62</v>
      </c>
      <c r="F41" s="141" t="s">
        <v>63</v>
      </c>
      <c r="G41" s="143" t="s">
        <v>6</v>
      </c>
    </row>
    <row r="42" spans="1:7" x14ac:dyDescent="0.35">
      <c r="A42" s="137"/>
      <c r="B42" s="138"/>
      <c r="C42" s="142"/>
      <c r="D42" s="142"/>
      <c r="E42" s="142"/>
      <c r="F42" s="142"/>
      <c r="G42" s="144"/>
    </row>
    <row r="43" spans="1:7" x14ac:dyDescent="0.35">
      <c r="A43" s="12">
        <v>1</v>
      </c>
      <c r="B43" s="40" t="s">
        <v>199</v>
      </c>
      <c r="C43" s="39" t="s">
        <v>68</v>
      </c>
      <c r="D43" s="39">
        <v>35</v>
      </c>
      <c r="E43" s="39">
        <v>0</v>
      </c>
      <c r="F43" s="12">
        <f>E43-D43</f>
        <v>-35</v>
      </c>
      <c r="G43" s="15">
        <f>E43/D43*100%</f>
        <v>0</v>
      </c>
    </row>
    <row r="44" spans="1:7" x14ac:dyDescent="0.35">
      <c r="A44" s="12">
        <v>2</v>
      </c>
      <c r="B44" s="36" t="s">
        <v>200</v>
      </c>
      <c r="C44" s="35" t="s">
        <v>70</v>
      </c>
      <c r="D44" s="39">
        <v>25</v>
      </c>
      <c r="E44" s="39">
        <v>36</v>
      </c>
      <c r="F44" s="12">
        <f t="shared" ref="F44:F48" si="4">E44-D44</f>
        <v>11</v>
      </c>
      <c r="G44" s="15">
        <f t="shared" ref="G44:G48" si="5">E44/D44*100%</f>
        <v>1.44</v>
      </c>
    </row>
    <row r="45" spans="1:7" x14ac:dyDescent="0.35">
      <c r="A45" s="12">
        <v>3</v>
      </c>
      <c r="B45" s="36" t="s">
        <v>201</v>
      </c>
      <c r="C45" s="37" t="s">
        <v>70</v>
      </c>
      <c r="D45" s="37">
        <v>25</v>
      </c>
      <c r="E45" s="39">
        <v>14</v>
      </c>
      <c r="F45" s="12">
        <f t="shared" si="4"/>
        <v>-11</v>
      </c>
      <c r="G45" s="15">
        <f t="shared" si="5"/>
        <v>0.56000000000000005</v>
      </c>
    </row>
    <row r="46" spans="1:7" x14ac:dyDescent="0.35">
      <c r="A46" s="12">
        <v>4</v>
      </c>
      <c r="B46" s="36" t="s">
        <v>202</v>
      </c>
      <c r="C46" s="37" t="s">
        <v>70</v>
      </c>
      <c r="D46" s="37">
        <v>25</v>
      </c>
      <c r="E46" s="39">
        <v>7</v>
      </c>
      <c r="F46" s="12">
        <f t="shared" si="4"/>
        <v>-18</v>
      </c>
      <c r="G46" s="15">
        <f t="shared" si="5"/>
        <v>0.28000000000000003</v>
      </c>
    </row>
    <row r="47" spans="1:7" x14ac:dyDescent="0.35">
      <c r="A47" s="12">
        <v>5</v>
      </c>
      <c r="B47" s="36" t="s">
        <v>203</v>
      </c>
      <c r="C47" s="37" t="s">
        <v>70</v>
      </c>
      <c r="D47" s="37">
        <v>25</v>
      </c>
      <c r="E47" s="39">
        <v>1</v>
      </c>
      <c r="F47" s="12">
        <f t="shared" si="4"/>
        <v>-24</v>
      </c>
      <c r="G47" s="15">
        <f t="shared" si="5"/>
        <v>0.04</v>
      </c>
    </row>
    <row r="48" spans="1:7" x14ac:dyDescent="0.35">
      <c r="A48" s="12"/>
      <c r="B48" s="28" t="s">
        <v>55</v>
      </c>
      <c r="C48" s="12"/>
      <c r="D48" s="37">
        <v>150</v>
      </c>
      <c r="E48" s="12">
        <f>SUM(E43:E47)</f>
        <v>58</v>
      </c>
      <c r="F48" s="12">
        <f t="shared" si="4"/>
        <v>-92</v>
      </c>
      <c r="G48" s="15">
        <f t="shared" si="5"/>
        <v>0.38666666666666666</v>
      </c>
    </row>
  </sheetData>
  <mergeCells count="24">
    <mergeCell ref="A40:A42"/>
    <mergeCell ref="B40:B42"/>
    <mergeCell ref="C40:G40"/>
    <mergeCell ref="C41:C42"/>
    <mergeCell ref="D41:D42"/>
    <mergeCell ref="E41:E42"/>
    <mergeCell ref="F41:F42"/>
    <mergeCell ref="G41:G42"/>
    <mergeCell ref="A24:A26"/>
    <mergeCell ref="B24:B26"/>
    <mergeCell ref="C24:G24"/>
    <mergeCell ref="C25:C26"/>
    <mergeCell ref="D25:D26"/>
    <mergeCell ref="E25:E26"/>
    <mergeCell ref="F25:F26"/>
    <mergeCell ref="G25:G26"/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147D-096D-432F-A428-E2F7F31DD874}">
  <dimension ref="A1:G16"/>
  <sheetViews>
    <sheetView workbookViewId="0">
      <selection activeCell="J6" sqref="J6"/>
    </sheetView>
  </sheetViews>
  <sheetFormatPr defaultRowHeight="14.5" x14ac:dyDescent="0.35"/>
  <cols>
    <col min="1" max="1" width="5.7265625" customWidth="1"/>
    <col min="2" max="2" width="39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680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36" t="s">
        <v>204</v>
      </c>
      <c r="C6" s="35" t="s">
        <v>68</v>
      </c>
      <c r="D6" s="35">
        <v>35</v>
      </c>
      <c r="E6" s="35">
        <v>0</v>
      </c>
      <c r="F6" s="28">
        <f>E6-D6</f>
        <v>-35</v>
      </c>
      <c r="G6" s="38">
        <f>E6/D6*100%</f>
        <v>0</v>
      </c>
    </row>
    <row r="7" spans="1:7" x14ac:dyDescent="0.35">
      <c r="A7" s="28">
        <v>2</v>
      </c>
      <c r="B7" s="36" t="s">
        <v>205</v>
      </c>
      <c r="C7" s="35" t="s">
        <v>70</v>
      </c>
      <c r="D7" s="35">
        <v>25</v>
      </c>
      <c r="E7" s="35">
        <v>36</v>
      </c>
      <c r="F7" s="28">
        <f t="shared" ref="F7:F16" si="0">E7-D7</f>
        <v>11</v>
      </c>
      <c r="G7" s="38">
        <f t="shared" ref="G7:G16" si="1">E7/D7*100%</f>
        <v>1.44</v>
      </c>
    </row>
    <row r="8" spans="1:7" x14ac:dyDescent="0.35">
      <c r="A8" s="28">
        <v>3</v>
      </c>
      <c r="B8" s="36" t="s">
        <v>206</v>
      </c>
      <c r="C8" s="35" t="s">
        <v>70</v>
      </c>
      <c r="D8" s="35">
        <v>25</v>
      </c>
      <c r="E8" s="35">
        <v>41</v>
      </c>
      <c r="F8" s="28">
        <f t="shared" si="0"/>
        <v>16</v>
      </c>
      <c r="G8" s="38">
        <f t="shared" si="1"/>
        <v>1.64</v>
      </c>
    </row>
    <row r="9" spans="1:7" x14ac:dyDescent="0.35">
      <c r="A9" s="28">
        <v>4</v>
      </c>
      <c r="B9" s="36" t="s">
        <v>207</v>
      </c>
      <c r="C9" s="35" t="s">
        <v>70</v>
      </c>
      <c r="D9" s="37">
        <v>25</v>
      </c>
      <c r="E9" s="35">
        <v>35</v>
      </c>
      <c r="F9" s="28">
        <f t="shared" si="0"/>
        <v>10</v>
      </c>
      <c r="G9" s="38">
        <f t="shared" si="1"/>
        <v>1.4</v>
      </c>
    </row>
    <row r="10" spans="1:7" x14ac:dyDescent="0.35">
      <c r="A10" s="28">
        <v>5</v>
      </c>
      <c r="B10" s="36" t="s">
        <v>208</v>
      </c>
      <c r="C10" s="35" t="s">
        <v>70</v>
      </c>
      <c r="D10" s="35">
        <v>25</v>
      </c>
      <c r="E10" s="35">
        <v>21</v>
      </c>
      <c r="F10" s="28">
        <f t="shared" si="0"/>
        <v>-4</v>
      </c>
      <c r="G10" s="38">
        <f t="shared" si="1"/>
        <v>0.84</v>
      </c>
    </row>
    <row r="11" spans="1:7" x14ac:dyDescent="0.35">
      <c r="A11" s="28">
        <v>6</v>
      </c>
      <c r="B11" s="36" t="s">
        <v>209</v>
      </c>
      <c r="C11" s="35" t="s">
        <v>70</v>
      </c>
      <c r="D11" s="37">
        <v>25</v>
      </c>
      <c r="E11" s="35">
        <v>31</v>
      </c>
      <c r="F11" s="28">
        <f t="shared" si="0"/>
        <v>6</v>
      </c>
      <c r="G11" s="38">
        <f t="shared" si="1"/>
        <v>1.24</v>
      </c>
    </row>
    <row r="12" spans="1:7" x14ac:dyDescent="0.35">
      <c r="A12" s="28">
        <v>7</v>
      </c>
      <c r="B12" s="41" t="s">
        <v>210</v>
      </c>
      <c r="C12" s="35" t="s">
        <v>70</v>
      </c>
      <c r="D12" s="35">
        <v>25</v>
      </c>
      <c r="E12" s="35">
        <v>14</v>
      </c>
      <c r="F12" s="28">
        <f t="shared" si="0"/>
        <v>-11</v>
      </c>
      <c r="G12" s="38">
        <f t="shared" si="1"/>
        <v>0.56000000000000005</v>
      </c>
    </row>
    <row r="13" spans="1:7" x14ac:dyDescent="0.35">
      <c r="A13" s="28">
        <v>8</v>
      </c>
      <c r="B13" s="41" t="s">
        <v>211</v>
      </c>
      <c r="C13" s="35" t="s">
        <v>70</v>
      </c>
      <c r="D13" s="37">
        <v>25</v>
      </c>
      <c r="E13" s="35">
        <v>22</v>
      </c>
      <c r="F13" s="28">
        <f t="shared" si="0"/>
        <v>-3</v>
      </c>
      <c r="G13" s="38">
        <f t="shared" si="1"/>
        <v>0.88</v>
      </c>
    </row>
    <row r="14" spans="1:7" x14ac:dyDescent="0.35">
      <c r="A14" s="28">
        <v>9</v>
      </c>
      <c r="B14" s="36" t="s">
        <v>212</v>
      </c>
      <c r="C14" s="35" t="s">
        <v>70</v>
      </c>
      <c r="D14" s="35">
        <v>25</v>
      </c>
      <c r="E14" s="35">
        <v>3</v>
      </c>
      <c r="F14" s="28">
        <f t="shared" si="0"/>
        <v>-22</v>
      </c>
      <c r="G14" s="38">
        <f t="shared" si="1"/>
        <v>0.12</v>
      </c>
    </row>
    <row r="15" spans="1:7" x14ac:dyDescent="0.35">
      <c r="A15" s="28">
        <v>10</v>
      </c>
      <c r="B15" s="36" t="s">
        <v>213</v>
      </c>
      <c r="C15" s="35" t="s">
        <v>70</v>
      </c>
      <c r="D15" s="37">
        <v>25</v>
      </c>
      <c r="E15" s="35">
        <v>3</v>
      </c>
      <c r="F15" s="28">
        <f t="shared" si="0"/>
        <v>-22</v>
      </c>
      <c r="G15" s="38">
        <f t="shared" si="1"/>
        <v>0.12</v>
      </c>
    </row>
    <row r="16" spans="1:7" x14ac:dyDescent="0.35">
      <c r="A16" s="28">
        <v>11</v>
      </c>
      <c r="B16" s="28" t="s">
        <v>55</v>
      </c>
      <c r="C16" s="28"/>
      <c r="D16" s="28">
        <v>240</v>
      </c>
      <c r="E16" s="28">
        <f>SUM(E6:E15)</f>
        <v>206</v>
      </c>
      <c r="F16" s="28">
        <f t="shared" si="0"/>
        <v>-34</v>
      </c>
      <c r="G16" s="38">
        <f t="shared" si="1"/>
        <v>0.85833333333333328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2768-A314-4A3B-9E3B-B1C14358774D}">
  <dimension ref="A1:G32"/>
  <sheetViews>
    <sheetView workbookViewId="0">
      <selection activeCell="B1" sqref="B1:B2"/>
    </sheetView>
  </sheetViews>
  <sheetFormatPr defaultRowHeight="14.5" x14ac:dyDescent="0.35"/>
  <cols>
    <col min="1" max="1" width="4.54296875" customWidth="1"/>
    <col min="2" max="2" width="30.72656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681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34" t="s">
        <v>249</v>
      </c>
      <c r="C6" s="35" t="s">
        <v>68</v>
      </c>
      <c r="D6" s="35">
        <v>25</v>
      </c>
      <c r="E6" s="35">
        <v>0</v>
      </c>
      <c r="F6" s="28">
        <f>E6-D6</f>
        <v>-25</v>
      </c>
      <c r="G6" s="38">
        <f>E6/D6*100%</f>
        <v>0</v>
      </c>
    </row>
    <row r="7" spans="1:7" x14ac:dyDescent="0.35">
      <c r="A7" s="28">
        <v>2</v>
      </c>
      <c r="B7" s="34" t="s">
        <v>250</v>
      </c>
      <c r="C7" s="35" t="s">
        <v>70</v>
      </c>
      <c r="D7" s="35">
        <v>25</v>
      </c>
      <c r="E7" s="35">
        <v>57</v>
      </c>
      <c r="F7" s="28">
        <f t="shared" ref="F7:F32" si="0">E7-D7</f>
        <v>32</v>
      </c>
      <c r="G7" s="38">
        <f t="shared" ref="G7:G32" si="1">E7/D7*100%</f>
        <v>2.2799999999999998</v>
      </c>
    </row>
    <row r="8" spans="1:7" x14ac:dyDescent="0.35">
      <c r="A8" s="28">
        <v>3</v>
      </c>
      <c r="B8" s="34" t="s">
        <v>251</v>
      </c>
      <c r="C8" s="35" t="s">
        <v>70</v>
      </c>
      <c r="D8" s="35">
        <v>25</v>
      </c>
      <c r="E8" s="35">
        <v>10</v>
      </c>
      <c r="F8" s="28">
        <f t="shared" si="0"/>
        <v>-15</v>
      </c>
      <c r="G8" s="38">
        <f t="shared" si="1"/>
        <v>0.4</v>
      </c>
    </row>
    <row r="9" spans="1:7" x14ac:dyDescent="0.35">
      <c r="A9" s="28">
        <v>4</v>
      </c>
      <c r="B9" s="36" t="s">
        <v>252</v>
      </c>
      <c r="C9" s="35" t="s">
        <v>70</v>
      </c>
      <c r="D9" s="35">
        <v>25</v>
      </c>
      <c r="E9" s="35">
        <v>11</v>
      </c>
      <c r="F9" s="28">
        <f t="shared" si="0"/>
        <v>-14</v>
      </c>
      <c r="G9" s="38">
        <f t="shared" si="1"/>
        <v>0.44</v>
      </c>
    </row>
    <row r="10" spans="1:7" x14ac:dyDescent="0.35">
      <c r="A10" s="28">
        <v>5</v>
      </c>
      <c r="B10" s="36" t="s">
        <v>253</v>
      </c>
      <c r="C10" s="35" t="s">
        <v>70</v>
      </c>
      <c r="D10" s="35">
        <v>25</v>
      </c>
      <c r="E10" s="35">
        <v>12</v>
      </c>
      <c r="F10" s="28">
        <f t="shared" si="0"/>
        <v>-13</v>
      </c>
      <c r="G10" s="38">
        <f t="shared" si="1"/>
        <v>0.48</v>
      </c>
    </row>
    <row r="11" spans="1:7" x14ac:dyDescent="0.35">
      <c r="A11" s="28">
        <v>6</v>
      </c>
      <c r="B11" s="36" t="s">
        <v>254</v>
      </c>
      <c r="C11" s="35" t="s">
        <v>70</v>
      </c>
      <c r="D11" s="35">
        <v>25</v>
      </c>
      <c r="E11" s="35">
        <v>9</v>
      </c>
      <c r="F11" s="28">
        <f t="shared" si="0"/>
        <v>-16</v>
      </c>
      <c r="G11" s="38">
        <f t="shared" si="1"/>
        <v>0.36</v>
      </c>
    </row>
    <row r="12" spans="1:7" x14ac:dyDescent="0.35">
      <c r="A12" s="28">
        <v>7</v>
      </c>
      <c r="B12" s="36" t="s">
        <v>255</v>
      </c>
      <c r="C12" s="35" t="s">
        <v>68</v>
      </c>
      <c r="D12" s="35">
        <v>25</v>
      </c>
      <c r="E12" s="35">
        <v>0</v>
      </c>
      <c r="F12" s="28">
        <f t="shared" si="0"/>
        <v>-25</v>
      </c>
      <c r="G12" s="38">
        <f t="shared" si="1"/>
        <v>0</v>
      </c>
    </row>
    <row r="13" spans="1:7" x14ac:dyDescent="0.35">
      <c r="A13" s="28">
        <v>8</v>
      </c>
      <c r="B13" s="34" t="s">
        <v>256</v>
      </c>
      <c r="C13" s="35" t="s">
        <v>70</v>
      </c>
      <c r="D13" s="35">
        <v>25</v>
      </c>
      <c r="E13" s="35">
        <v>13</v>
      </c>
      <c r="F13" s="28">
        <f t="shared" si="0"/>
        <v>-12</v>
      </c>
      <c r="G13" s="38">
        <f t="shared" si="1"/>
        <v>0.52</v>
      </c>
    </row>
    <row r="14" spans="1:7" x14ac:dyDescent="0.35">
      <c r="A14" s="28">
        <v>9</v>
      </c>
      <c r="B14" s="36" t="s">
        <v>257</v>
      </c>
      <c r="C14" s="35" t="s">
        <v>70</v>
      </c>
      <c r="D14" s="35">
        <v>25</v>
      </c>
      <c r="E14" s="35">
        <v>19</v>
      </c>
      <c r="F14" s="28">
        <f t="shared" si="0"/>
        <v>-6</v>
      </c>
      <c r="G14" s="38">
        <f t="shared" si="1"/>
        <v>0.76</v>
      </c>
    </row>
    <row r="15" spans="1:7" x14ac:dyDescent="0.35">
      <c r="A15" s="28">
        <v>10</v>
      </c>
      <c r="B15" s="36" t="s">
        <v>258</v>
      </c>
      <c r="C15" s="37" t="s">
        <v>70</v>
      </c>
      <c r="D15" s="35">
        <v>25</v>
      </c>
      <c r="E15" s="35">
        <v>8</v>
      </c>
      <c r="F15" s="28">
        <f t="shared" si="0"/>
        <v>-17</v>
      </c>
      <c r="G15" s="38">
        <f t="shared" si="1"/>
        <v>0.32</v>
      </c>
    </row>
    <row r="16" spans="1:7" x14ac:dyDescent="0.35">
      <c r="A16" s="28">
        <v>11</v>
      </c>
      <c r="B16" s="36" t="s">
        <v>259</v>
      </c>
      <c r="C16" s="37" t="s">
        <v>70</v>
      </c>
      <c r="D16" s="37">
        <v>25</v>
      </c>
      <c r="E16" s="35">
        <v>31</v>
      </c>
      <c r="F16" s="28">
        <f t="shared" si="0"/>
        <v>6</v>
      </c>
      <c r="G16" s="38">
        <f t="shared" si="1"/>
        <v>1.24</v>
      </c>
    </row>
    <row r="17" spans="1:7" x14ac:dyDescent="0.35">
      <c r="A17" s="28">
        <v>12</v>
      </c>
      <c r="B17" s="36" t="s">
        <v>260</v>
      </c>
      <c r="C17" s="37" t="s">
        <v>70</v>
      </c>
      <c r="D17" s="37">
        <v>25</v>
      </c>
      <c r="E17" s="35">
        <v>9</v>
      </c>
      <c r="F17" s="28">
        <f t="shared" si="0"/>
        <v>-16</v>
      </c>
      <c r="G17" s="38">
        <f t="shared" si="1"/>
        <v>0.36</v>
      </c>
    </row>
    <row r="18" spans="1:7" x14ac:dyDescent="0.35">
      <c r="A18" s="28">
        <v>13</v>
      </c>
      <c r="B18" s="34" t="s">
        <v>261</v>
      </c>
      <c r="C18" s="35" t="s">
        <v>68</v>
      </c>
      <c r="D18" s="35">
        <v>25</v>
      </c>
      <c r="E18" s="35">
        <v>0</v>
      </c>
      <c r="F18" s="28">
        <f t="shared" si="0"/>
        <v>-25</v>
      </c>
      <c r="G18" s="38">
        <f t="shared" si="1"/>
        <v>0</v>
      </c>
    </row>
    <row r="19" spans="1:7" x14ac:dyDescent="0.35">
      <c r="A19" s="28">
        <v>14</v>
      </c>
      <c r="B19" s="34" t="s">
        <v>262</v>
      </c>
      <c r="C19" s="35" t="s">
        <v>70</v>
      </c>
      <c r="D19" s="35">
        <v>25</v>
      </c>
      <c r="E19" s="35">
        <v>26</v>
      </c>
      <c r="F19" s="28">
        <f t="shared" si="0"/>
        <v>1</v>
      </c>
      <c r="G19" s="38">
        <f t="shared" si="1"/>
        <v>1.04</v>
      </c>
    </row>
    <row r="20" spans="1:7" x14ac:dyDescent="0.35">
      <c r="A20" s="28">
        <v>15</v>
      </c>
      <c r="B20" s="34" t="s">
        <v>263</v>
      </c>
      <c r="C20" s="35" t="s">
        <v>70</v>
      </c>
      <c r="D20" s="35">
        <v>25</v>
      </c>
      <c r="E20" s="35">
        <v>21</v>
      </c>
      <c r="F20" s="28">
        <f t="shared" si="0"/>
        <v>-4</v>
      </c>
      <c r="G20" s="38">
        <f t="shared" si="1"/>
        <v>0.84</v>
      </c>
    </row>
    <row r="21" spans="1:7" x14ac:dyDescent="0.35">
      <c r="A21" s="28">
        <v>16</v>
      </c>
      <c r="B21" s="36" t="s">
        <v>264</v>
      </c>
      <c r="C21" s="37" t="s">
        <v>70</v>
      </c>
      <c r="D21" s="37">
        <v>25</v>
      </c>
      <c r="E21" s="35">
        <v>12</v>
      </c>
      <c r="F21" s="28">
        <f t="shared" si="0"/>
        <v>-13</v>
      </c>
      <c r="G21" s="38">
        <f t="shared" si="1"/>
        <v>0.48</v>
      </c>
    </row>
    <row r="22" spans="1:7" x14ac:dyDescent="0.35">
      <c r="A22" s="28">
        <v>17</v>
      </c>
      <c r="B22" s="36" t="s">
        <v>265</v>
      </c>
      <c r="C22" s="37" t="s">
        <v>70</v>
      </c>
      <c r="D22" s="37">
        <v>25</v>
      </c>
      <c r="E22" s="35">
        <v>2</v>
      </c>
      <c r="F22" s="28">
        <f t="shared" si="0"/>
        <v>-23</v>
      </c>
      <c r="G22" s="38">
        <f t="shared" si="1"/>
        <v>0.08</v>
      </c>
    </row>
    <row r="23" spans="1:7" x14ac:dyDescent="0.35">
      <c r="A23" s="28">
        <v>18</v>
      </c>
      <c r="B23" s="36" t="s">
        <v>266</v>
      </c>
      <c r="C23" s="37" t="s">
        <v>70</v>
      </c>
      <c r="D23" s="37">
        <v>25</v>
      </c>
      <c r="E23" s="35">
        <v>2</v>
      </c>
      <c r="F23" s="28">
        <f t="shared" si="0"/>
        <v>-23</v>
      </c>
      <c r="G23" s="38">
        <f t="shared" si="1"/>
        <v>0.08</v>
      </c>
    </row>
    <row r="24" spans="1:7" x14ac:dyDescent="0.35">
      <c r="A24" s="28">
        <v>19</v>
      </c>
      <c r="B24" s="34" t="s">
        <v>267</v>
      </c>
      <c r="C24" s="35" t="s">
        <v>68</v>
      </c>
      <c r="D24" s="35">
        <v>25</v>
      </c>
      <c r="E24" s="35">
        <v>0</v>
      </c>
      <c r="F24" s="28">
        <f t="shared" si="0"/>
        <v>-25</v>
      </c>
      <c r="G24" s="38">
        <f t="shared" si="1"/>
        <v>0</v>
      </c>
    </row>
    <row r="25" spans="1:7" x14ac:dyDescent="0.35">
      <c r="A25" s="28">
        <v>20</v>
      </c>
      <c r="B25" s="34" t="s">
        <v>268</v>
      </c>
      <c r="C25" s="35" t="s">
        <v>70</v>
      </c>
      <c r="D25" s="35">
        <v>25</v>
      </c>
      <c r="E25" s="35">
        <v>12</v>
      </c>
      <c r="F25" s="28">
        <f t="shared" si="0"/>
        <v>-13</v>
      </c>
      <c r="G25" s="38">
        <f t="shared" si="1"/>
        <v>0.48</v>
      </c>
    </row>
    <row r="26" spans="1:7" x14ac:dyDescent="0.35">
      <c r="A26" s="28">
        <v>21</v>
      </c>
      <c r="B26" s="34" t="s">
        <v>269</v>
      </c>
      <c r="C26" s="35" t="s">
        <v>70</v>
      </c>
      <c r="D26" s="35">
        <v>25</v>
      </c>
      <c r="E26" s="35">
        <v>1</v>
      </c>
      <c r="F26" s="28">
        <f t="shared" si="0"/>
        <v>-24</v>
      </c>
      <c r="G26" s="38">
        <f t="shared" si="1"/>
        <v>0.04</v>
      </c>
    </row>
    <row r="27" spans="1:7" x14ac:dyDescent="0.35">
      <c r="A27" s="28">
        <v>22</v>
      </c>
      <c r="B27" s="34" t="s">
        <v>270</v>
      </c>
      <c r="C27" s="35" t="s">
        <v>70</v>
      </c>
      <c r="D27" s="35">
        <v>25</v>
      </c>
      <c r="E27" s="35">
        <v>2</v>
      </c>
      <c r="F27" s="28">
        <f t="shared" si="0"/>
        <v>-23</v>
      </c>
      <c r="G27" s="38">
        <f t="shared" si="1"/>
        <v>0.08</v>
      </c>
    </row>
    <row r="28" spans="1:7" x14ac:dyDescent="0.35">
      <c r="A28" s="28">
        <v>23</v>
      </c>
      <c r="B28" s="36" t="s">
        <v>271</v>
      </c>
      <c r="C28" s="37" t="s">
        <v>70</v>
      </c>
      <c r="D28" s="37">
        <v>25</v>
      </c>
      <c r="E28" s="35">
        <v>20</v>
      </c>
      <c r="F28" s="28">
        <f t="shared" si="0"/>
        <v>-5</v>
      </c>
      <c r="G28" s="38">
        <f t="shared" si="1"/>
        <v>0.8</v>
      </c>
    </row>
    <row r="29" spans="1:7" x14ac:dyDescent="0.35">
      <c r="A29" s="28">
        <v>24</v>
      </c>
      <c r="B29" s="36" t="s">
        <v>272</v>
      </c>
      <c r="C29" s="37" t="s">
        <v>70</v>
      </c>
      <c r="D29" s="37">
        <v>25</v>
      </c>
      <c r="E29" s="35">
        <v>3</v>
      </c>
      <c r="F29" s="28">
        <f t="shared" si="0"/>
        <v>-22</v>
      </c>
      <c r="G29" s="38">
        <f t="shared" si="1"/>
        <v>0.12</v>
      </c>
    </row>
    <row r="30" spans="1:7" x14ac:dyDescent="0.35">
      <c r="A30" s="28">
        <v>25</v>
      </c>
      <c r="B30" s="36" t="s">
        <v>273</v>
      </c>
      <c r="C30" s="37" t="s">
        <v>70</v>
      </c>
      <c r="D30" s="37">
        <v>25</v>
      </c>
      <c r="E30" s="35">
        <v>0</v>
      </c>
      <c r="F30" s="28">
        <f t="shared" si="0"/>
        <v>-25</v>
      </c>
      <c r="G30" s="38">
        <f t="shared" si="1"/>
        <v>0</v>
      </c>
    </row>
    <row r="31" spans="1:7" x14ac:dyDescent="0.35">
      <c r="A31" s="28">
        <v>26</v>
      </c>
      <c r="B31" s="36" t="s">
        <v>274</v>
      </c>
      <c r="C31" s="37" t="s">
        <v>70</v>
      </c>
      <c r="D31" s="37">
        <v>25</v>
      </c>
      <c r="E31" s="35">
        <v>3</v>
      </c>
      <c r="F31" s="28">
        <f t="shared" si="0"/>
        <v>-22</v>
      </c>
      <c r="G31" s="38">
        <f t="shared" si="1"/>
        <v>0.12</v>
      </c>
    </row>
    <row r="32" spans="1:7" x14ac:dyDescent="0.35">
      <c r="A32" s="28"/>
      <c r="B32" s="28" t="s">
        <v>55</v>
      </c>
      <c r="C32" s="28"/>
      <c r="D32" s="28">
        <v>640</v>
      </c>
      <c r="E32" s="28">
        <f>SUM(E6:E31)</f>
        <v>283</v>
      </c>
      <c r="F32" s="28">
        <f t="shared" si="0"/>
        <v>-357</v>
      </c>
      <c r="G32" s="38">
        <f t="shared" si="1"/>
        <v>0.44218750000000001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0117-F65D-486A-90FD-F2C5A41B6A22}">
  <dimension ref="A1:G15"/>
  <sheetViews>
    <sheetView workbookViewId="0">
      <selection activeCell="I5" sqref="I5"/>
    </sheetView>
  </sheetViews>
  <sheetFormatPr defaultRowHeight="14.5" x14ac:dyDescent="0.35"/>
  <cols>
    <col min="1" max="1" width="3.81640625" customWidth="1"/>
    <col min="2" max="2" width="29.36328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681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34" t="s">
        <v>275</v>
      </c>
      <c r="C6" s="35" t="s">
        <v>68</v>
      </c>
      <c r="D6" s="35">
        <v>25</v>
      </c>
      <c r="E6" s="35">
        <v>10</v>
      </c>
      <c r="F6" s="28">
        <f>E6-D6</f>
        <v>-15</v>
      </c>
      <c r="G6" s="38">
        <f>E6/D6*100%</f>
        <v>0.4</v>
      </c>
    </row>
    <row r="7" spans="1:7" x14ac:dyDescent="0.35">
      <c r="A7" s="28">
        <v>2</v>
      </c>
      <c r="B7" s="34" t="s">
        <v>276</v>
      </c>
      <c r="C7" s="35" t="s">
        <v>70</v>
      </c>
      <c r="D7" s="35">
        <v>25</v>
      </c>
      <c r="E7" s="35">
        <v>10</v>
      </c>
      <c r="F7" s="28">
        <f t="shared" ref="F7:F15" si="0">E7-D7</f>
        <v>-15</v>
      </c>
      <c r="G7" s="38">
        <f t="shared" ref="G7:G15" si="1">E7/D7*100%</f>
        <v>0.4</v>
      </c>
    </row>
    <row r="8" spans="1:7" x14ac:dyDescent="0.35">
      <c r="A8" s="28">
        <v>3</v>
      </c>
      <c r="B8" s="34" t="s">
        <v>277</v>
      </c>
      <c r="C8" s="35" t="s">
        <v>70</v>
      </c>
      <c r="D8" s="35">
        <v>25</v>
      </c>
      <c r="E8" s="35">
        <v>17</v>
      </c>
      <c r="F8" s="28">
        <f t="shared" si="0"/>
        <v>-8</v>
      </c>
      <c r="G8" s="38">
        <f t="shared" si="1"/>
        <v>0.68</v>
      </c>
    </row>
    <row r="9" spans="1:7" x14ac:dyDescent="0.35">
      <c r="A9" s="28">
        <v>4</v>
      </c>
      <c r="B9" s="34" t="s">
        <v>278</v>
      </c>
      <c r="C9" s="35" t="s">
        <v>70</v>
      </c>
      <c r="D9" s="35">
        <v>25</v>
      </c>
      <c r="E9" s="35">
        <v>13</v>
      </c>
      <c r="F9" s="28">
        <f t="shared" si="0"/>
        <v>-12</v>
      </c>
      <c r="G9" s="38">
        <f t="shared" si="1"/>
        <v>0.52</v>
      </c>
    </row>
    <row r="10" spans="1:7" x14ac:dyDescent="0.35">
      <c r="A10" s="28">
        <v>5</v>
      </c>
      <c r="B10" s="34" t="s">
        <v>279</v>
      </c>
      <c r="C10" s="35" t="s">
        <v>70</v>
      </c>
      <c r="D10" s="35">
        <v>25</v>
      </c>
      <c r="E10" s="35">
        <v>17</v>
      </c>
      <c r="F10" s="28">
        <f t="shared" si="0"/>
        <v>-8</v>
      </c>
      <c r="G10" s="38">
        <f t="shared" si="1"/>
        <v>0.68</v>
      </c>
    </row>
    <row r="11" spans="1:7" x14ac:dyDescent="0.35">
      <c r="A11" s="28">
        <v>6</v>
      </c>
      <c r="B11" s="34" t="s">
        <v>280</v>
      </c>
      <c r="C11" s="35" t="s">
        <v>70</v>
      </c>
      <c r="D11" s="35">
        <v>25</v>
      </c>
      <c r="E11" s="35">
        <v>3</v>
      </c>
      <c r="F11" s="28">
        <f t="shared" si="0"/>
        <v>-22</v>
      </c>
      <c r="G11" s="38">
        <f t="shared" si="1"/>
        <v>0.12</v>
      </c>
    </row>
    <row r="12" spans="1:7" x14ac:dyDescent="0.35">
      <c r="A12" s="28">
        <v>7</v>
      </c>
      <c r="B12" s="34" t="s">
        <v>281</v>
      </c>
      <c r="C12" s="35" t="s">
        <v>70</v>
      </c>
      <c r="D12" s="35">
        <v>25</v>
      </c>
      <c r="E12" s="35">
        <v>4</v>
      </c>
      <c r="F12" s="28">
        <f t="shared" si="0"/>
        <v>-21</v>
      </c>
      <c r="G12" s="38">
        <f t="shared" si="1"/>
        <v>0.16</v>
      </c>
    </row>
    <row r="13" spans="1:7" x14ac:dyDescent="0.35">
      <c r="A13" s="28">
        <v>8</v>
      </c>
      <c r="B13" s="34" t="s">
        <v>282</v>
      </c>
      <c r="C13" s="35" t="s">
        <v>70</v>
      </c>
      <c r="D13" s="35">
        <v>25</v>
      </c>
      <c r="E13" s="35">
        <v>5</v>
      </c>
      <c r="F13" s="28">
        <f t="shared" si="0"/>
        <v>-20</v>
      </c>
      <c r="G13" s="38">
        <f t="shared" si="1"/>
        <v>0.2</v>
      </c>
    </row>
    <row r="14" spans="1:7" x14ac:dyDescent="0.35">
      <c r="A14" s="28">
        <v>9</v>
      </c>
      <c r="B14" s="34" t="s">
        <v>283</v>
      </c>
      <c r="C14" s="35" t="s">
        <v>70</v>
      </c>
      <c r="D14" s="35">
        <v>25</v>
      </c>
      <c r="E14" s="35">
        <v>1</v>
      </c>
      <c r="F14" s="28">
        <f t="shared" si="0"/>
        <v>-24</v>
      </c>
      <c r="G14" s="38">
        <f t="shared" si="1"/>
        <v>0.04</v>
      </c>
    </row>
    <row r="15" spans="1:7" x14ac:dyDescent="0.35">
      <c r="A15" s="28"/>
      <c r="B15" s="28" t="s">
        <v>55</v>
      </c>
      <c r="C15" s="28"/>
      <c r="D15" s="28">
        <v>230</v>
      </c>
      <c r="E15" s="28">
        <f>SUM(E6:E14)</f>
        <v>80</v>
      </c>
      <c r="F15" s="28">
        <f t="shared" si="0"/>
        <v>-150</v>
      </c>
      <c r="G15" s="38">
        <f t="shared" si="1"/>
        <v>0.34782608695652173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C018-46DC-43C1-95D6-1A144AB8233E}">
  <dimension ref="A1:G29"/>
  <sheetViews>
    <sheetView workbookViewId="0">
      <selection activeCell="J6" sqref="J6"/>
    </sheetView>
  </sheetViews>
  <sheetFormatPr defaultRowHeight="14.5" x14ac:dyDescent="0.35"/>
  <cols>
    <col min="1" max="1" width="5" customWidth="1"/>
    <col min="2" max="2" width="27.26953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34" t="s">
        <v>284</v>
      </c>
      <c r="C6" s="35" t="s">
        <v>68</v>
      </c>
      <c r="D6" s="35">
        <v>25</v>
      </c>
      <c r="E6" s="35">
        <v>0</v>
      </c>
      <c r="F6" s="28">
        <f>E6-D6</f>
        <v>-25</v>
      </c>
      <c r="G6" s="38">
        <f>E6/D6*100%</f>
        <v>0</v>
      </c>
    </row>
    <row r="7" spans="1:7" x14ac:dyDescent="0.35">
      <c r="A7" s="28">
        <v>2</v>
      </c>
      <c r="B7" s="49" t="s">
        <v>285</v>
      </c>
      <c r="C7" s="35" t="s">
        <v>70</v>
      </c>
      <c r="D7" s="35">
        <v>25</v>
      </c>
      <c r="E7" s="35">
        <v>18</v>
      </c>
      <c r="F7" s="28">
        <f t="shared" ref="F7:F29" si="0">E7-D7</f>
        <v>-7</v>
      </c>
      <c r="G7" s="38">
        <f t="shared" ref="G7:G29" si="1">E7/D7*100%</f>
        <v>0.72</v>
      </c>
    </row>
    <row r="8" spans="1:7" x14ac:dyDescent="0.35">
      <c r="A8" s="28">
        <v>3</v>
      </c>
      <c r="B8" s="49" t="s">
        <v>286</v>
      </c>
      <c r="C8" s="35" t="s">
        <v>70</v>
      </c>
      <c r="D8" s="35">
        <v>25</v>
      </c>
      <c r="E8" s="35">
        <v>12</v>
      </c>
      <c r="F8" s="28">
        <f t="shared" si="0"/>
        <v>-13</v>
      </c>
      <c r="G8" s="38">
        <f t="shared" si="1"/>
        <v>0.48</v>
      </c>
    </row>
    <row r="9" spans="1:7" x14ac:dyDescent="0.35">
      <c r="A9" s="28">
        <v>4</v>
      </c>
      <c r="B9" s="49" t="s">
        <v>287</v>
      </c>
      <c r="C9" s="35" t="s">
        <v>70</v>
      </c>
      <c r="D9" s="35">
        <v>25</v>
      </c>
      <c r="E9" s="35">
        <v>11</v>
      </c>
      <c r="F9" s="28">
        <f t="shared" si="0"/>
        <v>-14</v>
      </c>
      <c r="G9" s="38">
        <f t="shared" si="1"/>
        <v>0.44</v>
      </c>
    </row>
    <row r="10" spans="1:7" x14ac:dyDescent="0.35">
      <c r="A10" s="28">
        <v>5</v>
      </c>
      <c r="B10" s="49" t="s">
        <v>288</v>
      </c>
      <c r="C10" s="35" t="s">
        <v>70</v>
      </c>
      <c r="D10" s="35">
        <v>25</v>
      </c>
      <c r="E10" s="35">
        <v>15</v>
      </c>
      <c r="F10" s="28">
        <f t="shared" si="0"/>
        <v>-10</v>
      </c>
      <c r="G10" s="38">
        <f t="shared" si="1"/>
        <v>0.6</v>
      </c>
    </row>
    <row r="11" spans="1:7" x14ac:dyDescent="0.35">
      <c r="A11" s="28">
        <v>6</v>
      </c>
      <c r="B11" s="49" t="s">
        <v>289</v>
      </c>
      <c r="C11" s="35" t="s">
        <v>70</v>
      </c>
      <c r="D11" s="35">
        <v>25</v>
      </c>
      <c r="E11" s="35">
        <v>12</v>
      </c>
      <c r="F11" s="28">
        <f t="shared" si="0"/>
        <v>-13</v>
      </c>
      <c r="G11" s="38">
        <f t="shared" si="1"/>
        <v>0.48</v>
      </c>
    </row>
    <row r="12" spans="1:7" x14ac:dyDescent="0.35">
      <c r="A12" s="28">
        <v>7</v>
      </c>
      <c r="B12" s="49" t="s">
        <v>290</v>
      </c>
      <c r="C12" s="35" t="s">
        <v>70</v>
      </c>
      <c r="D12" s="35">
        <v>25</v>
      </c>
      <c r="E12" s="35">
        <v>7</v>
      </c>
      <c r="F12" s="28">
        <f t="shared" si="0"/>
        <v>-18</v>
      </c>
      <c r="G12" s="38">
        <f t="shared" si="1"/>
        <v>0.28000000000000003</v>
      </c>
    </row>
    <row r="13" spans="1:7" x14ac:dyDescent="0.35">
      <c r="A13" s="28">
        <v>8</v>
      </c>
      <c r="B13" s="49" t="s">
        <v>291</v>
      </c>
      <c r="C13" s="35" t="s">
        <v>70</v>
      </c>
      <c r="D13" s="35">
        <v>25</v>
      </c>
      <c r="E13" s="35">
        <v>5</v>
      </c>
      <c r="F13" s="28">
        <f t="shared" si="0"/>
        <v>-20</v>
      </c>
      <c r="G13" s="38">
        <f t="shared" si="1"/>
        <v>0.2</v>
      </c>
    </row>
    <row r="14" spans="1:7" x14ac:dyDescent="0.35">
      <c r="A14" s="28">
        <v>9</v>
      </c>
      <c r="B14" s="34" t="s">
        <v>292</v>
      </c>
      <c r="C14" s="35" t="s">
        <v>68</v>
      </c>
      <c r="D14" s="35">
        <v>25</v>
      </c>
      <c r="E14" s="35">
        <v>0</v>
      </c>
      <c r="F14" s="28">
        <f t="shared" si="0"/>
        <v>-25</v>
      </c>
      <c r="G14" s="38">
        <f t="shared" si="1"/>
        <v>0</v>
      </c>
    </row>
    <row r="15" spans="1:7" x14ac:dyDescent="0.35">
      <c r="A15" s="28">
        <v>10</v>
      </c>
      <c r="B15" s="36" t="s">
        <v>293</v>
      </c>
      <c r="C15" s="35" t="s">
        <v>70</v>
      </c>
      <c r="D15" s="35">
        <v>25</v>
      </c>
      <c r="E15" s="35">
        <v>13</v>
      </c>
      <c r="F15" s="28">
        <f t="shared" si="0"/>
        <v>-12</v>
      </c>
      <c r="G15" s="38">
        <f t="shared" si="1"/>
        <v>0.52</v>
      </c>
    </row>
    <row r="16" spans="1:7" x14ac:dyDescent="0.35">
      <c r="A16" s="28">
        <v>11</v>
      </c>
      <c r="B16" s="36" t="s">
        <v>294</v>
      </c>
      <c r="C16" s="35" t="s">
        <v>70</v>
      </c>
      <c r="D16" s="35">
        <v>25</v>
      </c>
      <c r="E16" s="35">
        <v>26</v>
      </c>
      <c r="F16" s="28">
        <f t="shared" si="0"/>
        <v>1</v>
      </c>
      <c r="G16" s="38">
        <f t="shared" si="1"/>
        <v>1.04</v>
      </c>
    </row>
    <row r="17" spans="1:7" x14ac:dyDescent="0.35">
      <c r="A17" s="28">
        <v>12</v>
      </c>
      <c r="B17" s="36" t="s">
        <v>295</v>
      </c>
      <c r="C17" s="35" t="s">
        <v>70</v>
      </c>
      <c r="D17" s="35">
        <v>25</v>
      </c>
      <c r="E17" s="35">
        <v>10</v>
      </c>
      <c r="F17" s="28">
        <f t="shared" si="0"/>
        <v>-15</v>
      </c>
      <c r="G17" s="38">
        <f t="shared" si="1"/>
        <v>0.4</v>
      </c>
    </row>
    <row r="18" spans="1:7" x14ac:dyDescent="0.35">
      <c r="A18" s="28">
        <v>13</v>
      </c>
      <c r="B18" s="41" t="s">
        <v>296</v>
      </c>
      <c r="C18" s="35" t="s">
        <v>70</v>
      </c>
      <c r="D18" s="35">
        <v>25</v>
      </c>
      <c r="E18" s="35">
        <v>3</v>
      </c>
      <c r="F18" s="28">
        <f t="shared" si="0"/>
        <v>-22</v>
      </c>
      <c r="G18" s="38">
        <f t="shared" si="1"/>
        <v>0.12</v>
      </c>
    </row>
    <row r="19" spans="1:7" x14ac:dyDescent="0.35">
      <c r="A19" s="28">
        <v>14</v>
      </c>
      <c r="B19" s="41" t="s">
        <v>297</v>
      </c>
      <c r="C19" s="35" t="s">
        <v>70</v>
      </c>
      <c r="D19" s="35">
        <v>25</v>
      </c>
      <c r="E19" s="35">
        <v>1</v>
      </c>
      <c r="F19" s="28">
        <f t="shared" si="0"/>
        <v>-24</v>
      </c>
      <c r="G19" s="38">
        <f t="shared" si="1"/>
        <v>0.04</v>
      </c>
    </row>
    <row r="20" spans="1:7" x14ac:dyDescent="0.35">
      <c r="A20" s="28">
        <v>15</v>
      </c>
      <c r="B20" s="36" t="s">
        <v>298</v>
      </c>
      <c r="C20" s="35" t="s">
        <v>70</v>
      </c>
      <c r="D20" s="35">
        <v>25</v>
      </c>
      <c r="E20" s="35">
        <v>9</v>
      </c>
      <c r="F20" s="28">
        <f t="shared" si="0"/>
        <v>-16</v>
      </c>
      <c r="G20" s="38">
        <f t="shared" si="1"/>
        <v>0.36</v>
      </c>
    </row>
    <row r="21" spans="1:7" x14ac:dyDescent="0.35">
      <c r="A21" s="28">
        <v>16</v>
      </c>
      <c r="B21" s="34" t="s">
        <v>299</v>
      </c>
      <c r="C21" s="35" t="s">
        <v>68</v>
      </c>
      <c r="D21" s="35">
        <v>25</v>
      </c>
      <c r="E21" s="35">
        <v>0</v>
      </c>
      <c r="F21" s="28">
        <f t="shared" si="0"/>
        <v>-25</v>
      </c>
      <c r="G21" s="38">
        <f t="shared" si="1"/>
        <v>0</v>
      </c>
    </row>
    <row r="22" spans="1:7" x14ac:dyDescent="0.35">
      <c r="A22" s="28">
        <v>17</v>
      </c>
      <c r="B22" s="49" t="s">
        <v>300</v>
      </c>
      <c r="C22" s="35" t="s">
        <v>70</v>
      </c>
      <c r="D22" s="35">
        <v>25</v>
      </c>
      <c r="E22" s="35">
        <v>49</v>
      </c>
      <c r="F22" s="28">
        <f t="shared" si="0"/>
        <v>24</v>
      </c>
      <c r="G22" s="38">
        <f t="shared" si="1"/>
        <v>1.96</v>
      </c>
    </row>
    <row r="23" spans="1:7" x14ac:dyDescent="0.35">
      <c r="A23" s="28">
        <v>18</v>
      </c>
      <c r="B23" s="49" t="s">
        <v>301</v>
      </c>
      <c r="C23" s="35" t="s">
        <v>70</v>
      </c>
      <c r="D23" s="35">
        <v>25</v>
      </c>
      <c r="E23" s="35">
        <v>13</v>
      </c>
      <c r="F23" s="28">
        <f t="shared" si="0"/>
        <v>-12</v>
      </c>
      <c r="G23" s="38">
        <f t="shared" si="1"/>
        <v>0.52</v>
      </c>
    </row>
    <row r="24" spans="1:7" x14ac:dyDescent="0.35">
      <c r="A24" s="28">
        <v>19</v>
      </c>
      <c r="B24" s="49" t="s">
        <v>302</v>
      </c>
      <c r="C24" s="35" t="s">
        <v>70</v>
      </c>
      <c r="D24" s="35">
        <v>25</v>
      </c>
      <c r="E24" s="35">
        <v>14</v>
      </c>
      <c r="F24" s="28">
        <f t="shared" si="0"/>
        <v>-11</v>
      </c>
      <c r="G24" s="38">
        <f t="shared" si="1"/>
        <v>0.56000000000000005</v>
      </c>
    </row>
    <row r="25" spans="1:7" x14ac:dyDescent="0.35">
      <c r="A25" s="28">
        <v>20</v>
      </c>
      <c r="B25" s="49" t="s">
        <v>303</v>
      </c>
      <c r="C25" s="35" t="s">
        <v>70</v>
      </c>
      <c r="D25" s="35">
        <v>25</v>
      </c>
      <c r="E25" s="35">
        <v>12</v>
      </c>
      <c r="F25" s="28">
        <f t="shared" si="0"/>
        <v>-13</v>
      </c>
      <c r="G25" s="38">
        <f t="shared" si="1"/>
        <v>0.48</v>
      </c>
    </row>
    <row r="26" spans="1:7" x14ac:dyDescent="0.35">
      <c r="A26" s="28">
        <v>21</v>
      </c>
      <c r="B26" s="49" t="s">
        <v>304</v>
      </c>
      <c r="C26" s="35" t="s">
        <v>70</v>
      </c>
      <c r="D26" s="35">
        <v>25</v>
      </c>
      <c r="E26" s="35">
        <v>18</v>
      </c>
      <c r="F26" s="28">
        <f t="shared" si="0"/>
        <v>-7</v>
      </c>
      <c r="G26" s="38">
        <f t="shared" si="1"/>
        <v>0.72</v>
      </c>
    </row>
    <row r="27" spans="1:7" x14ac:dyDescent="0.35">
      <c r="A27" s="28">
        <v>22</v>
      </c>
      <c r="B27" s="49" t="s">
        <v>305</v>
      </c>
      <c r="C27" s="35" t="s">
        <v>70</v>
      </c>
      <c r="D27" s="35">
        <v>25</v>
      </c>
      <c r="E27" s="35">
        <v>11</v>
      </c>
      <c r="F27" s="28">
        <f t="shared" si="0"/>
        <v>-14</v>
      </c>
      <c r="G27" s="38">
        <f t="shared" si="1"/>
        <v>0.44</v>
      </c>
    </row>
    <row r="28" spans="1:7" x14ac:dyDescent="0.35">
      <c r="A28" s="28">
        <v>23</v>
      </c>
      <c r="B28" s="49" t="s">
        <v>306</v>
      </c>
      <c r="C28" s="35" t="s">
        <v>70</v>
      </c>
      <c r="D28" s="35">
        <v>25</v>
      </c>
      <c r="E28" s="35">
        <v>10</v>
      </c>
      <c r="F28" s="28">
        <f t="shared" si="0"/>
        <v>-15</v>
      </c>
      <c r="G28" s="38">
        <f t="shared" si="1"/>
        <v>0.4</v>
      </c>
    </row>
    <row r="29" spans="1:7" x14ac:dyDescent="0.35">
      <c r="A29" s="28"/>
      <c r="B29" s="28" t="s">
        <v>55</v>
      </c>
      <c r="C29" s="28"/>
      <c r="D29" s="28">
        <v>570</v>
      </c>
      <c r="E29" s="28">
        <f>SUM(E6:E28)</f>
        <v>269</v>
      </c>
      <c r="F29" s="28">
        <f t="shared" si="0"/>
        <v>-301</v>
      </c>
      <c r="G29" s="38">
        <f t="shared" si="1"/>
        <v>0.47192982456140353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EDC5-8BE8-481D-B7BA-634071359728}">
  <dimension ref="A1:G27"/>
  <sheetViews>
    <sheetView workbookViewId="0">
      <selection activeCell="B2" sqref="B2"/>
    </sheetView>
  </sheetViews>
  <sheetFormatPr defaultRowHeight="14.5" x14ac:dyDescent="0.35"/>
  <cols>
    <col min="1" max="1" width="3.7265625" customWidth="1"/>
    <col min="2" max="2" width="29.26953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684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340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341</v>
      </c>
      <c r="C8" s="12" t="s">
        <v>70</v>
      </c>
      <c r="D8" s="62">
        <v>25</v>
      </c>
      <c r="E8" s="62">
        <v>61</v>
      </c>
      <c r="F8" s="12">
        <f t="shared" ref="F8:F27" si="0">E8-D8</f>
        <v>36</v>
      </c>
      <c r="G8" s="15">
        <f t="shared" ref="G8:G27" si="1">E8/D8*100%</f>
        <v>2.44</v>
      </c>
    </row>
    <row r="9" spans="1:7" x14ac:dyDescent="0.35">
      <c r="A9" s="12">
        <v>3</v>
      </c>
      <c r="B9" s="61" t="s">
        <v>342</v>
      </c>
      <c r="C9" s="12" t="s">
        <v>70</v>
      </c>
      <c r="D9" s="62">
        <v>25</v>
      </c>
      <c r="E9" s="62">
        <v>25</v>
      </c>
      <c r="F9" s="12">
        <f t="shared" si="0"/>
        <v>0</v>
      </c>
      <c r="G9" s="15">
        <f t="shared" si="1"/>
        <v>1</v>
      </c>
    </row>
    <row r="10" spans="1:7" x14ac:dyDescent="0.35">
      <c r="A10" s="12">
        <v>4</v>
      </c>
      <c r="B10" s="61" t="s">
        <v>343</v>
      </c>
      <c r="C10" s="12" t="s">
        <v>70</v>
      </c>
      <c r="D10" s="62">
        <v>25</v>
      </c>
      <c r="E10" s="62">
        <v>6</v>
      </c>
      <c r="F10" s="12">
        <f t="shared" si="0"/>
        <v>-19</v>
      </c>
      <c r="G10" s="15">
        <f t="shared" si="1"/>
        <v>0.24</v>
      </c>
    </row>
    <row r="11" spans="1:7" x14ac:dyDescent="0.35">
      <c r="A11" s="12">
        <v>5</v>
      </c>
      <c r="B11" s="61" t="s">
        <v>344</v>
      </c>
      <c r="C11" s="12" t="s">
        <v>70</v>
      </c>
      <c r="D11" s="62">
        <v>25</v>
      </c>
      <c r="E11" s="62">
        <v>18</v>
      </c>
      <c r="F11" s="12">
        <f t="shared" si="0"/>
        <v>-7</v>
      </c>
      <c r="G11" s="15">
        <f t="shared" si="1"/>
        <v>0.72</v>
      </c>
    </row>
    <row r="12" spans="1:7" x14ac:dyDescent="0.35">
      <c r="A12" s="12">
        <v>6</v>
      </c>
      <c r="B12" s="61" t="s">
        <v>345</v>
      </c>
      <c r="C12" s="12" t="s">
        <v>70</v>
      </c>
      <c r="D12" s="62">
        <v>25</v>
      </c>
      <c r="E12" s="62">
        <v>3</v>
      </c>
      <c r="F12" s="12">
        <f t="shared" si="0"/>
        <v>-22</v>
      </c>
      <c r="G12" s="15">
        <f t="shared" si="1"/>
        <v>0.12</v>
      </c>
    </row>
    <row r="13" spans="1:7" x14ac:dyDescent="0.35">
      <c r="A13" s="12">
        <v>7</v>
      </c>
      <c r="B13" s="61" t="s">
        <v>346</v>
      </c>
      <c r="C13" s="12" t="s">
        <v>68</v>
      </c>
      <c r="D13" s="62">
        <v>35</v>
      </c>
      <c r="E13" s="62">
        <v>2</v>
      </c>
      <c r="F13" s="12">
        <f t="shared" si="0"/>
        <v>-33</v>
      </c>
      <c r="G13" s="15">
        <f t="shared" si="1"/>
        <v>5.7142857142857141E-2</v>
      </c>
    </row>
    <row r="14" spans="1:7" x14ac:dyDescent="0.35">
      <c r="A14" s="12">
        <v>8</v>
      </c>
      <c r="B14" s="61" t="s">
        <v>347</v>
      </c>
      <c r="C14" s="12" t="s">
        <v>70</v>
      </c>
      <c r="D14" s="62">
        <v>25</v>
      </c>
      <c r="E14" s="62">
        <v>28</v>
      </c>
      <c r="F14" s="12">
        <f t="shared" si="0"/>
        <v>3</v>
      </c>
      <c r="G14" s="15">
        <f t="shared" si="1"/>
        <v>1.1200000000000001</v>
      </c>
    </row>
    <row r="15" spans="1:7" x14ac:dyDescent="0.35">
      <c r="A15" s="12">
        <v>9</v>
      </c>
      <c r="B15" s="61" t="s">
        <v>348</v>
      </c>
      <c r="C15" s="12" t="s">
        <v>70</v>
      </c>
      <c r="D15" s="62">
        <v>25</v>
      </c>
      <c r="E15" s="62">
        <v>34</v>
      </c>
      <c r="F15" s="12">
        <f t="shared" si="0"/>
        <v>9</v>
      </c>
      <c r="G15" s="15">
        <f t="shared" si="1"/>
        <v>1.36</v>
      </c>
    </row>
    <row r="16" spans="1:7" x14ac:dyDescent="0.35">
      <c r="A16" s="12">
        <v>10</v>
      </c>
      <c r="B16" s="61" t="s">
        <v>349</v>
      </c>
      <c r="C16" s="12" t="s">
        <v>70</v>
      </c>
      <c r="D16" s="62">
        <v>25</v>
      </c>
      <c r="E16" s="62">
        <v>31</v>
      </c>
      <c r="F16" s="12">
        <f t="shared" si="0"/>
        <v>6</v>
      </c>
      <c r="G16" s="15">
        <f t="shared" si="1"/>
        <v>1.24</v>
      </c>
    </row>
    <row r="17" spans="1:7" x14ac:dyDescent="0.35">
      <c r="A17" s="12">
        <v>11</v>
      </c>
      <c r="B17" s="61" t="s">
        <v>350</v>
      </c>
      <c r="C17" s="12" t="s">
        <v>70</v>
      </c>
      <c r="D17" s="62">
        <v>25</v>
      </c>
      <c r="E17" s="62">
        <v>29</v>
      </c>
      <c r="F17" s="12">
        <f t="shared" si="0"/>
        <v>4</v>
      </c>
      <c r="G17" s="15">
        <f t="shared" si="1"/>
        <v>1.1599999999999999</v>
      </c>
    </row>
    <row r="18" spans="1:7" x14ac:dyDescent="0.35">
      <c r="A18" s="12">
        <v>12</v>
      </c>
      <c r="B18" s="61" t="s">
        <v>351</v>
      </c>
      <c r="C18" s="12" t="s">
        <v>70</v>
      </c>
      <c r="D18" s="62">
        <v>25</v>
      </c>
      <c r="E18" s="62">
        <v>21</v>
      </c>
      <c r="F18" s="12">
        <f t="shared" si="0"/>
        <v>-4</v>
      </c>
      <c r="G18" s="15">
        <f t="shared" si="1"/>
        <v>0.84</v>
      </c>
    </row>
    <row r="19" spans="1:7" x14ac:dyDescent="0.35">
      <c r="A19" s="12">
        <v>13</v>
      </c>
      <c r="B19" s="61" t="s">
        <v>352</v>
      </c>
      <c r="C19" s="12" t="s">
        <v>68</v>
      </c>
      <c r="D19" s="62">
        <v>35</v>
      </c>
      <c r="E19" s="62">
        <v>1</v>
      </c>
      <c r="F19" s="12">
        <f t="shared" si="0"/>
        <v>-34</v>
      </c>
      <c r="G19" s="15">
        <f t="shared" si="1"/>
        <v>2.8571428571428571E-2</v>
      </c>
    </row>
    <row r="20" spans="1:7" x14ac:dyDescent="0.35">
      <c r="A20" s="12">
        <v>14</v>
      </c>
      <c r="B20" s="61" t="s">
        <v>353</v>
      </c>
      <c r="C20" s="12" t="s">
        <v>70</v>
      </c>
      <c r="D20" s="62">
        <v>25</v>
      </c>
      <c r="E20" s="62">
        <v>25</v>
      </c>
      <c r="F20" s="12">
        <f t="shared" si="0"/>
        <v>0</v>
      </c>
      <c r="G20" s="15">
        <f t="shared" si="1"/>
        <v>1</v>
      </c>
    </row>
    <row r="21" spans="1:7" x14ac:dyDescent="0.35">
      <c r="A21" s="12">
        <v>15</v>
      </c>
      <c r="B21" s="61" t="s">
        <v>354</v>
      </c>
      <c r="C21" s="12" t="s">
        <v>70</v>
      </c>
      <c r="D21" s="62">
        <v>25</v>
      </c>
      <c r="E21" s="62">
        <v>32</v>
      </c>
      <c r="F21" s="12">
        <f t="shared" si="0"/>
        <v>7</v>
      </c>
      <c r="G21" s="15">
        <f t="shared" si="1"/>
        <v>1.28</v>
      </c>
    </row>
    <row r="22" spans="1:7" x14ac:dyDescent="0.35">
      <c r="A22" s="12">
        <v>16</v>
      </c>
      <c r="B22" s="61" t="s">
        <v>355</v>
      </c>
      <c r="C22" s="12" t="s">
        <v>70</v>
      </c>
      <c r="D22" s="62">
        <v>25</v>
      </c>
      <c r="E22" s="62">
        <v>32</v>
      </c>
      <c r="F22" s="12">
        <f t="shared" si="0"/>
        <v>7</v>
      </c>
      <c r="G22" s="15">
        <f t="shared" si="1"/>
        <v>1.28</v>
      </c>
    </row>
    <row r="23" spans="1:7" x14ac:dyDescent="0.35">
      <c r="A23" s="12">
        <v>17</v>
      </c>
      <c r="B23" s="61" t="s">
        <v>356</v>
      </c>
      <c r="C23" s="12" t="s">
        <v>70</v>
      </c>
      <c r="D23" s="62">
        <v>25</v>
      </c>
      <c r="E23" s="62">
        <v>36</v>
      </c>
      <c r="F23" s="12">
        <f t="shared" si="0"/>
        <v>11</v>
      </c>
      <c r="G23" s="15">
        <f t="shared" si="1"/>
        <v>1.44</v>
      </c>
    </row>
    <row r="24" spans="1:7" x14ac:dyDescent="0.35">
      <c r="A24" s="12">
        <v>18</v>
      </c>
      <c r="B24" s="61" t="s">
        <v>357</v>
      </c>
      <c r="C24" s="12" t="s">
        <v>70</v>
      </c>
      <c r="D24" s="62">
        <v>25</v>
      </c>
      <c r="E24" s="62">
        <v>25</v>
      </c>
      <c r="F24" s="12">
        <f t="shared" si="0"/>
        <v>0</v>
      </c>
      <c r="G24" s="15">
        <f t="shared" si="1"/>
        <v>1</v>
      </c>
    </row>
    <row r="25" spans="1:7" x14ac:dyDescent="0.35">
      <c r="A25" s="12">
        <v>19</v>
      </c>
      <c r="B25" s="61" t="s">
        <v>358</v>
      </c>
      <c r="C25" s="12" t="s">
        <v>70</v>
      </c>
      <c r="D25" s="62">
        <v>25</v>
      </c>
      <c r="E25" s="62">
        <v>28</v>
      </c>
      <c r="F25" s="12">
        <f t="shared" si="0"/>
        <v>3</v>
      </c>
      <c r="G25" s="15">
        <f t="shared" si="1"/>
        <v>1.1200000000000001</v>
      </c>
    </row>
    <row r="26" spans="1:7" x14ac:dyDescent="0.35">
      <c r="A26" s="12">
        <v>20</v>
      </c>
      <c r="B26" s="61" t="s">
        <v>359</v>
      </c>
      <c r="C26" s="12" t="s">
        <v>70</v>
      </c>
      <c r="D26" s="62">
        <v>25</v>
      </c>
      <c r="E26" s="62">
        <v>34</v>
      </c>
      <c r="F26" s="12">
        <f t="shared" si="0"/>
        <v>9</v>
      </c>
      <c r="G26" s="15">
        <f t="shared" si="1"/>
        <v>1.36</v>
      </c>
    </row>
    <row r="27" spans="1:7" x14ac:dyDescent="0.35">
      <c r="A27" s="12"/>
      <c r="B27" s="12" t="s">
        <v>55</v>
      </c>
      <c r="C27" s="12"/>
      <c r="D27" s="12">
        <v>490</v>
      </c>
      <c r="E27" s="12">
        <f>SUM(E7:E26)</f>
        <v>471</v>
      </c>
      <c r="F27" s="12">
        <f t="shared" si="0"/>
        <v>-19</v>
      </c>
      <c r="G27" s="15">
        <f t="shared" si="1"/>
        <v>0.96122448979591835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B5F8-D26F-4A41-B8BE-9DBFCD9593E4}">
  <dimension ref="A1:G13"/>
  <sheetViews>
    <sheetView workbookViewId="0">
      <selection activeCell="B1" sqref="B1:B3"/>
    </sheetView>
  </sheetViews>
  <sheetFormatPr defaultRowHeight="14.5" x14ac:dyDescent="0.35"/>
  <cols>
    <col min="1" max="1" width="5.1796875" customWidth="1"/>
    <col min="2" max="2" width="30.36328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684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360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361</v>
      </c>
      <c r="C8" s="12" t="s">
        <v>70</v>
      </c>
      <c r="D8" s="62">
        <v>25</v>
      </c>
      <c r="E8" s="62">
        <v>38</v>
      </c>
      <c r="F8" s="12">
        <f t="shared" ref="F8:F13" si="0">E8-D8</f>
        <v>13</v>
      </c>
      <c r="G8" s="15">
        <f t="shared" ref="G8:G13" si="1">E8/D8*100%</f>
        <v>1.52</v>
      </c>
    </row>
    <row r="9" spans="1:7" x14ac:dyDescent="0.35">
      <c r="A9" s="12">
        <v>3</v>
      </c>
      <c r="B9" s="61" t="s">
        <v>362</v>
      </c>
      <c r="C9" s="12" t="s">
        <v>70</v>
      </c>
      <c r="D9" s="62">
        <v>25</v>
      </c>
      <c r="E9" s="62">
        <v>15</v>
      </c>
      <c r="F9" s="12">
        <f t="shared" si="0"/>
        <v>-10</v>
      </c>
      <c r="G9" s="15">
        <f t="shared" si="1"/>
        <v>0.6</v>
      </c>
    </row>
    <row r="10" spans="1:7" x14ac:dyDescent="0.35">
      <c r="A10" s="12">
        <v>4</v>
      </c>
      <c r="B10" s="61" t="s">
        <v>363</v>
      </c>
      <c r="C10" s="12" t="s">
        <v>70</v>
      </c>
      <c r="D10" s="62">
        <v>25</v>
      </c>
      <c r="E10" s="62">
        <v>36</v>
      </c>
      <c r="F10" s="12">
        <f t="shared" si="0"/>
        <v>11</v>
      </c>
      <c r="G10" s="15">
        <f t="shared" si="1"/>
        <v>1.44</v>
      </c>
    </row>
    <row r="11" spans="1:7" x14ac:dyDescent="0.35">
      <c r="A11" s="12">
        <v>5</v>
      </c>
      <c r="B11" s="61" t="s">
        <v>364</v>
      </c>
      <c r="C11" s="12" t="s">
        <v>70</v>
      </c>
      <c r="D11" s="62">
        <v>25</v>
      </c>
      <c r="E11" s="62">
        <v>22</v>
      </c>
      <c r="F11" s="12">
        <f t="shared" si="0"/>
        <v>-3</v>
      </c>
      <c r="G11" s="15">
        <f t="shared" si="1"/>
        <v>0.88</v>
      </c>
    </row>
    <row r="12" spans="1:7" x14ac:dyDescent="0.35">
      <c r="A12" s="12">
        <v>6</v>
      </c>
      <c r="B12" s="61" t="s">
        <v>365</v>
      </c>
      <c r="C12" s="12" t="s">
        <v>70</v>
      </c>
      <c r="D12" s="62">
        <v>25</v>
      </c>
      <c r="E12" s="62">
        <v>15</v>
      </c>
      <c r="F12" s="12">
        <f t="shared" si="0"/>
        <v>-10</v>
      </c>
      <c r="G12" s="15">
        <f t="shared" si="1"/>
        <v>0.6</v>
      </c>
    </row>
    <row r="13" spans="1:7" x14ac:dyDescent="0.35">
      <c r="A13" s="12"/>
      <c r="B13" s="12" t="s">
        <v>55</v>
      </c>
      <c r="C13" s="12"/>
      <c r="D13" s="62">
        <v>150</v>
      </c>
      <c r="E13" s="12">
        <f>SUM(E7:E12)</f>
        <v>126</v>
      </c>
      <c r="F13" s="12">
        <f t="shared" si="0"/>
        <v>-24</v>
      </c>
      <c r="G13" s="15">
        <f t="shared" si="1"/>
        <v>0.84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2DB9-58CF-48F8-AB82-2D197C42E3F2}">
  <dimension ref="A1:G27"/>
  <sheetViews>
    <sheetView workbookViewId="0">
      <selection activeCell="B1" sqref="B1:B3"/>
    </sheetView>
  </sheetViews>
  <sheetFormatPr defaultRowHeight="14.5" x14ac:dyDescent="0.35"/>
  <cols>
    <col min="1" max="1" width="5.6328125" customWidth="1"/>
    <col min="2" max="2" width="29.36328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684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366</v>
      </c>
      <c r="C7" s="12" t="s">
        <v>68</v>
      </c>
      <c r="D7" s="62">
        <v>35</v>
      </c>
      <c r="E7" s="62">
        <v>2</v>
      </c>
      <c r="F7" s="12">
        <f>E7-D7</f>
        <v>-33</v>
      </c>
      <c r="G7" s="15">
        <f>E7/D7*100%</f>
        <v>5.7142857142857141E-2</v>
      </c>
    </row>
    <row r="8" spans="1:7" x14ac:dyDescent="0.35">
      <c r="A8" s="12">
        <v>2</v>
      </c>
      <c r="B8" s="61" t="s">
        <v>367</v>
      </c>
      <c r="C8" s="12" t="s">
        <v>70</v>
      </c>
      <c r="D8" s="62">
        <v>25</v>
      </c>
      <c r="E8" s="62">
        <v>33</v>
      </c>
      <c r="F8" s="12">
        <f t="shared" ref="F8:F27" si="0">E8-D8</f>
        <v>8</v>
      </c>
      <c r="G8" s="15">
        <f t="shared" ref="G8:G27" si="1">E8/D8*100%</f>
        <v>1.32</v>
      </c>
    </row>
    <row r="9" spans="1:7" x14ac:dyDescent="0.35">
      <c r="A9" s="12">
        <v>3</v>
      </c>
      <c r="B9" s="61" t="s">
        <v>368</v>
      </c>
      <c r="C9" s="12" t="s">
        <v>70</v>
      </c>
      <c r="D9" s="62">
        <v>25</v>
      </c>
      <c r="E9" s="62">
        <v>21</v>
      </c>
      <c r="F9" s="12">
        <f t="shared" si="0"/>
        <v>-4</v>
      </c>
      <c r="G9" s="15">
        <f t="shared" si="1"/>
        <v>0.84</v>
      </c>
    </row>
    <row r="10" spans="1:7" x14ac:dyDescent="0.35">
      <c r="A10" s="12">
        <v>4</v>
      </c>
      <c r="B10" s="61" t="s">
        <v>369</v>
      </c>
      <c r="C10" s="12" t="s">
        <v>70</v>
      </c>
      <c r="D10" s="62">
        <v>25</v>
      </c>
      <c r="E10" s="62">
        <v>17</v>
      </c>
      <c r="F10" s="12">
        <f t="shared" si="0"/>
        <v>-8</v>
      </c>
      <c r="G10" s="15">
        <f t="shared" si="1"/>
        <v>0.68</v>
      </c>
    </row>
    <row r="11" spans="1:7" x14ac:dyDescent="0.35">
      <c r="A11" s="12">
        <v>5</v>
      </c>
      <c r="B11" s="61" t="s">
        <v>370</v>
      </c>
      <c r="C11" s="12" t="s">
        <v>70</v>
      </c>
      <c r="D11" s="62">
        <v>25</v>
      </c>
      <c r="E11" s="62">
        <v>25</v>
      </c>
      <c r="F11" s="12">
        <f t="shared" si="0"/>
        <v>0</v>
      </c>
      <c r="G11" s="15">
        <f t="shared" si="1"/>
        <v>1</v>
      </c>
    </row>
    <row r="12" spans="1:7" x14ac:dyDescent="0.35">
      <c r="A12" s="12">
        <v>6</v>
      </c>
      <c r="B12" s="61" t="s">
        <v>371</v>
      </c>
      <c r="C12" s="12" t="s">
        <v>70</v>
      </c>
      <c r="D12" s="62">
        <v>25</v>
      </c>
      <c r="E12" s="62">
        <v>27</v>
      </c>
      <c r="F12" s="12">
        <f t="shared" si="0"/>
        <v>2</v>
      </c>
      <c r="G12" s="15">
        <f t="shared" si="1"/>
        <v>1.08</v>
      </c>
    </row>
    <row r="13" spans="1:7" x14ac:dyDescent="0.35">
      <c r="A13" s="12">
        <v>7</v>
      </c>
      <c r="B13" s="61" t="s">
        <v>372</v>
      </c>
      <c r="C13" s="12" t="s">
        <v>70</v>
      </c>
      <c r="D13" s="62">
        <v>25</v>
      </c>
      <c r="E13" s="62">
        <v>18</v>
      </c>
      <c r="F13" s="12">
        <f t="shared" si="0"/>
        <v>-7</v>
      </c>
      <c r="G13" s="15">
        <f t="shared" si="1"/>
        <v>0.72</v>
      </c>
    </row>
    <row r="14" spans="1:7" x14ac:dyDescent="0.35">
      <c r="A14" s="12">
        <v>8</v>
      </c>
      <c r="B14" s="61" t="s">
        <v>373</v>
      </c>
      <c r="C14" s="12" t="s">
        <v>70</v>
      </c>
      <c r="D14" s="62">
        <v>25</v>
      </c>
      <c r="E14" s="62">
        <v>31</v>
      </c>
      <c r="F14" s="12">
        <f t="shared" si="0"/>
        <v>6</v>
      </c>
      <c r="G14" s="15">
        <f t="shared" si="1"/>
        <v>1.24</v>
      </c>
    </row>
    <row r="15" spans="1:7" x14ac:dyDescent="0.35">
      <c r="A15" s="12">
        <v>9</v>
      </c>
      <c r="B15" s="61" t="s">
        <v>374</v>
      </c>
      <c r="C15" s="12" t="s">
        <v>68</v>
      </c>
      <c r="D15" s="62">
        <v>35</v>
      </c>
      <c r="E15" s="62">
        <v>0</v>
      </c>
      <c r="F15" s="12">
        <f t="shared" si="0"/>
        <v>-35</v>
      </c>
      <c r="G15" s="15">
        <f t="shared" si="1"/>
        <v>0</v>
      </c>
    </row>
    <row r="16" spans="1:7" x14ac:dyDescent="0.35">
      <c r="A16" s="12">
        <v>10</v>
      </c>
      <c r="B16" s="61" t="s">
        <v>375</v>
      </c>
      <c r="C16" s="12" t="s">
        <v>70</v>
      </c>
      <c r="D16" s="62">
        <v>25</v>
      </c>
      <c r="E16" s="62">
        <v>29</v>
      </c>
      <c r="F16" s="12">
        <f t="shared" si="0"/>
        <v>4</v>
      </c>
      <c r="G16" s="15">
        <f t="shared" si="1"/>
        <v>1.1599999999999999</v>
      </c>
    </row>
    <row r="17" spans="1:7" x14ac:dyDescent="0.35">
      <c r="A17" s="12">
        <v>11</v>
      </c>
      <c r="B17" s="61" t="s">
        <v>376</v>
      </c>
      <c r="C17" s="12" t="s">
        <v>70</v>
      </c>
      <c r="D17" s="62">
        <v>25</v>
      </c>
      <c r="E17" s="62">
        <v>29</v>
      </c>
      <c r="F17" s="12">
        <f t="shared" si="0"/>
        <v>4</v>
      </c>
      <c r="G17" s="15">
        <f t="shared" si="1"/>
        <v>1.1599999999999999</v>
      </c>
    </row>
    <row r="18" spans="1:7" x14ac:dyDescent="0.35">
      <c r="A18" s="12">
        <v>12</v>
      </c>
      <c r="B18" s="61" t="s">
        <v>377</v>
      </c>
      <c r="C18" s="12" t="s">
        <v>70</v>
      </c>
      <c r="D18" s="62">
        <v>25</v>
      </c>
      <c r="E18" s="62">
        <v>41</v>
      </c>
      <c r="F18" s="12">
        <f t="shared" si="0"/>
        <v>16</v>
      </c>
      <c r="G18" s="15">
        <f t="shared" si="1"/>
        <v>1.64</v>
      </c>
    </row>
    <row r="19" spans="1:7" x14ac:dyDescent="0.35">
      <c r="A19" s="12">
        <v>13</v>
      </c>
      <c r="B19" s="61" t="s">
        <v>378</v>
      </c>
      <c r="C19" s="12" t="s">
        <v>70</v>
      </c>
      <c r="D19" s="62">
        <v>25</v>
      </c>
      <c r="E19" s="62">
        <v>26</v>
      </c>
      <c r="F19" s="12">
        <f t="shared" si="0"/>
        <v>1</v>
      </c>
      <c r="G19" s="15">
        <f t="shared" si="1"/>
        <v>1.04</v>
      </c>
    </row>
    <row r="20" spans="1:7" x14ac:dyDescent="0.35">
      <c r="A20" s="12">
        <v>14</v>
      </c>
      <c r="B20" s="61" t="s">
        <v>379</v>
      </c>
      <c r="C20" s="12" t="s">
        <v>70</v>
      </c>
      <c r="D20" s="62">
        <v>25</v>
      </c>
      <c r="E20" s="62">
        <v>21</v>
      </c>
      <c r="F20" s="12">
        <f t="shared" si="0"/>
        <v>-4</v>
      </c>
      <c r="G20" s="15">
        <f t="shared" si="1"/>
        <v>0.84</v>
      </c>
    </row>
    <row r="21" spans="1:7" x14ac:dyDescent="0.35">
      <c r="A21" s="12">
        <v>15</v>
      </c>
      <c r="B21" s="61" t="s">
        <v>380</v>
      </c>
      <c r="C21" s="12" t="s">
        <v>68</v>
      </c>
      <c r="D21" s="62">
        <v>35</v>
      </c>
      <c r="E21" s="62">
        <v>3</v>
      </c>
      <c r="F21" s="12">
        <f t="shared" si="0"/>
        <v>-32</v>
      </c>
      <c r="G21" s="15">
        <f t="shared" si="1"/>
        <v>8.5714285714285715E-2</v>
      </c>
    </row>
    <row r="22" spans="1:7" x14ac:dyDescent="0.35">
      <c r="A22" s="12">
        <v>16</v>
      </c>
      <c r="B22" s="61" t="s">
        <v>381</v>
      </c>
      <c r="C22" s="12" t="s">
        <v>70</v>
      </c>
      <c r="D22" s="62">
        <v>25</v>
      </c>
      <c r="E22" s="62">
        <v>20</v>
      </c>
      <c r="F22" s="12">
        <f t="shared" si="0"/>
        <v>-5</v>
      </c>
      <c r="G22" s="15">
        <f t="shared" si="1"/>
        <v>0.8</v>
      </c>
    </row>
    <row r="23" spans="1:7" x14ac:dyDescent="0.35">
      <c r="A23" s="12">
        <v>17</v>
      </c>
      <c r="B23" s="61" t="s">
        <v>382</v>
      </c>
      <c r="C23" s="12" t="s">
        <v>70</v>
      </c>
      <c r="D23" s="62">
        <v>25</v>
      </c>
      <c r="E23" s="62">
        <v>22</v>
      </c>
      <c r="F23" s="12">
        <f t="shared" si="0"/>
        <v>-3</v>
      </c>
      <c r="G23" s="15">
        <f t="shared" si="1"/>
        <v>0.88</v>
      </c>
    </row>
    <row r="24" spans="1:7" x14ac:dyDescent="0.35">
      <c r="A24" s="12">
        <v>18</v>
      </c>
      <c r="B24" s="61" t="s">
        <v>383</v>
      </c>
      <c r="C24" s="12" t="s">
        <v>70</v>
      </c>
      <c r="D24" s="62">
        <v>25</v>
      </c>
      <c r="E24" s="62">
        <v>23</v>
      </c>
      <c r="F24" s="12">
        <f t="shared" si="0"/>
        <v>-2</v>
      </c>
      <c r="G24" s="15">
        <f t="shared" si="1"/>
        <v>0.92</v>
      </c>
    </row>
    <row r="25" spans="1:7" x14ac:dyDescent="0.35">
      <c r="A25" s="12">
        <v>19</v>
      </c>
      <c r="B25" s="61" t="s">
        <v>384</v>
      </c>
      <c r="C25" s="12" t="s">
        <v>70</v>
      </c>
      <c r="D25" s="62">
        <v>25</v>
      </c>
      <c r="E25" s="62">
        <v>21</v>
      </c>
      <c r="F25" s="12">
        <f t="shared" si="0"/>
        <v>-4</v>
      </c>
      <c r="G25" s="15">
        <f t="shared" si="1"/>
        <v>0.84</v>
      </c>
    </row>
    <row r="26" spans="1:7" x14ac:dyDescent="0.35">
      <c r="A26" s="12">
        <v>20</v>
      </c>
      <c r="B26" s="61" t="s">
        <v>385</v>
      </c>
      <c r="C26" s="12" t="s">
        <v>70</v>
      </c>
      <c r="D26" s="62">
        <v>25</v>
      </c>
      <c r="E26" s="62">
        <v>25</v>
      </c>
      <c r="F26" s="12">
        <f t="shared" si="0"/>
        <v>0</v>
      </c>
      <c r="G26" s="15">
        <f t="shared" si="1"/>
        <v>1</v>
      </c>
    </row>
    <row r="27" spans="1:7" x14ac:dyDescent="0.35">
      <c r="A27" s="12"/>
      <c r="B27" s="12" t="s">
        <v>55</v>
      </c>
      <c r="C27" s="12"/>
      <c r="D27" s="12">
        <v>490</v>
      </c>
      <c r="E27" s="12">
        <f>SUM(E7:E26)</f>
        <v>434</v>
      </c>
      <c r="F27" s="12">
        <f t="shared" si="0"/>
        <v>-56</v>
      </c>
      <c r="G27" s="15">
        <f t="shared" si="1"/>
        <v>0.88571428571428568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06F8-4953-4A33-8285-1AF991C778BA}">
  <dimension ref="A1:G27"/>
  <sheetViews>
    <sheetView workbookViewId="0">
      <selection activeCell="B1" sqref="B1:B3"/>
    </sheetView>
  </sheetViews>
  <sheetFormatPr defaultRowHeight="14.5" x14ac:dyDescent="0.35"/>
  <cols>
    <col min="1" max="1" width="5.1796875" customWidth="1"/>
    <col min="2" max="2" width="31.542968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685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386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387</v>
      </c>
      <c r="C8" s="12" t="s">
        <v>70</v>
      </c>
      <c r="D8" s="62">
        <v>25</v>
      </c>
      <c r="E8" s="62">
        <v>24</v>
      </c>
      <c r="F8" s="12">
        <f t="shared" ref="F8:F27" si="0">E8-D8</f>
        <v>-1</v>
      </c>
      <c r="G8" s="15">
        <f t="shared" ref="G8:G27" si="1">E8/D8*100%</f>
        <v>0.96</v>
      </c>
    </row>
    <row r="9" spans="1:7" x14ac:dyDescent="0.35">
      <c r="A9" s="12">
        <v>3</v>
      </c>
      <c r="B9" s="61" t="s">
        <v>388</v>
      </c>
      <c r="C9" s="12" t="s">
        <v>70</v>
      </c>
      <c r="D9" s="62">
        <v>25</v>
      </c>
      <c r="E9" s="62">
        <v>17</v>
      </c>
      <c r="F9" s="12">
        <f t="shared" si="0"/>
        <v>-8</v>
      </c>
      <c r="G9" s="15">
        <f t="shared" si="1"/>
        <v>0.68</v>
      </c>
    </row>
    <row r="10" spans="1:7" x14ac:dyDescent="0.35">
      <c r="A10" s="12">
        <v>4</v>
      </c>
      <c r="B10" s="61" t="s">
        <v>389</v>
      </c>
      <c r="C10" s="12" t="s">
        <v>70</v>
      </c>
      <c r="D10" s="62">
        <v>25</v>
      </c>
      <c r="E10" s="62">
        <v>25</v>
      </c>
      <c r="F10" s="12">
        <f t="shared" si="0"/>
        <v>0</v>
      </c>
      <c r="G10" s="15">
        <f t="shared" si="1"/>
        <v>1</v>
      </c>
    </row>
    <row r="11" spans="1:7" x14ac:dyDescent="0.35">
      <c r="A11" s="12">
        <v>5</v>
      </c>
      <c r="B11" s="61" t="s">
        <v>390</v>
      </c>
      <c r="C11" s="12" t="s">
        <v>70</v>
      </c>
      <c r="D11" s="62">
        <v>25</v>
      </c>
      <c r="E11" s="62">
        <v>21</v>
      </c>
      <c r="F11" s="12">
        <f t="shared" si="0"/>
        <v>-4</v>
      </c>
      <c r="G11" s="15">
        <f t="shared" si="1"/>
        <v>0.84</v>
      </c>
    </row>
    <row r="12" spans="1:7" x14ac:dyDescent="0.35">
      <c r="A12" s="12">
        <v>6</v>
      </c>
      <c r="B12" s="61" t="s">
        <v>391</v>
      </c>
      <c r="C12" s="12" t="s">
        <v>70</v>
      </c>
      <c r="D12" s="62">
        <v>25</v>
      </c>
      <c r="E12" s="62">
        <v>30</v>
      </c>
      <c r="F12" s="12">
        <f t="shared" si="0"/>
        <v>5</v>
      </c>
      <c r="G12" s="15">
        <f t="shared" si="1"/>
        <v>1.2</v>
      </c>
    </row>
    <row r="13" spans="1:7" x14ac:dyDescent="0.35">
      <c r="A13" s="12">
        <v>7</v>
      </c>
      <c r="B13" s="61" t="s">
        <v>392</v>
      </c>
      <c r="C13" s="12" t="s">
        <v>70</v>
      </c>
      <c r="D13" s="62">
        <v>25</v>
      </c>
      <c r="E13" s="62">
        <v>12</v>
      </c>
      <c r="F13" s="12">
        <f t="shared" si="0"/>
        <v>-13</v>
      </c>
      <c r="G13" s="15">
        <f t="shared" si="1"/>
        <v>0.48</v>
      </c>
    </row>
    <row r="14" spans="1:7" x14ac:dyDescent="0.35">
      <c r="A14" s="12">
        <v>8</v>
      </c>
      <c r="B14" s="61" t="s">
        <v>393</v>
      </c>
      <c r="C14" s="12" t="s">
        <v>70</v>
      </c>
      <c r="D14" s="62">
        <v>25</v>
      </c>
      <c r="E14" s="62">
        <v>28</v>
      </c>
      <c r="F14" s="12">
        <f t="shared" si="0"/>
        <v>3</v>
      </c>
      <c r="G14" s="15">
        <f t="shared" si="1"/>
        <v>1.1200000000000001</v>
      </c>
    </row>
    <row r="15" spans="1:7" x14ac:dyDescent="0.35">
      <c r="A15" s="12">
        <v>9</v>
      </c>
      <c r="B15" s="61" t="s">
        <v>394</v>
      </c>
      <c r="C15" s="12" t="s">
        <v>68</v>
      </c>
      <c r="D15" s="62">
        <v>35</v>
      </c>
      <c r="E15" s="62">
        <v>0</v>
      </c>
      <c r="F15" s="12">
        <f t="shared" si="0"/>
        <v>-35</v>
      </c>
      <c r="G15" s="15">
        <f t="shared" si="1"/>
        <v>0</v>
      </c>
    </row>
    <row r="16" spans="1:7" x14ac:dyDescent="0.35">
      <c r="A16" s="12">
        <v>10</v>
      </c>
      <c r="B16" s="61" t="s">
        <v>395</v>
      </c>
      <c r="C16" s="12" t="s">
        <v>70</v>
      </c>
      <c r="D16" s="62">
        <v>25</v>
      </c>
      <c r="E16" s="62">
        <v>19</v>
      </c>
      <c r="F16" s="12">
        <f t="shared" si="0"/>
        <v>-6</v>
      </c>
      <c r="G16" s="15">
        <f t="shared" si="1"/>
        <v>0.76</v>
      </c>
    </row>
    <row r="17" spans="1:7" x14ac:dyDescent="0.35">
      <c r="A17" s="12">
        <v>11</v>
      </c>
      <c r="B17" s="61" t="s">
        <v>396</v>
      </c>
      <c r="C17" s="12" t="s">
        <v>70</v>
      </c>
      <c r="D17" s="62">
        <v>25</v>
      </c>
      <c r="E17" s="62">
        <v>26</v>
      </c>
      <c r="F17" s="12">
        <f t="shared" si="0"/>
        <v>1</v>
      </c>
      <c r="G17" s="15">
        <f t="shared" si="1"/>
        <v>1.04</v>
      </c>
    </row>
    <row r="18" spans="1:7" x14ac:dyDescent="0.35">
      <c r="A18" s="12">
        <v>12</v>
      </c>
      <c r="B18" s="61" t="s">
        <v>397</v>
      </c>
      <c r="C18" s="12" t="s">
        <v>70</v>
      </c>
      <c r="D18" s="62">
        <v>25</v>
      </c>
      <c r="E18" s="62">
        <v>19</v>
      </c>
      <c r="F18" s="12">
        <f t="shared" si="0"/>
        <v>-6</v>
      </c>
      <c r="G18" s="15">
        <f t="shared" si="1"/>
        <v>0.76</v>
      </c>
    </row>
    <row r="19" spans="1:7" x14ac:dyDescent="0.35">
      <c r="A19" s="12">
        <v>13</v>
      </c>
      <c r="B19" s="61" t="s">
        <v>398</v>
      </c>
      <c r="C19" s="12" t="s">
        <v>70</v>
      </c>
      <c r="D19" s="62">
        <v>25</v>
      </c>
      <c r="E19" s="62">
        <v>22</v>
      </c>
      <c r="F19" s="12">
        <f t="shared" si="0"/>
        <v>-3</v>
      </c>
      <c r="G19" s="15">
        <f t="shared" si="1"/>
        <v>0.88</v>
      </c>
    </row>
    <row r="20" spans="1:7" x14ac:dyDescent="0.35">
      <c r="A20" s="12">
        <v>14</v>
      </c>
      <c r="B20" s="61" t="s">
        <v>399</v>
      </c>
      <c r="C20" s="12" t="s">
        <v>70</v>
      </c>
      <c r="D20" s="62">
        <v>25</v>
      </c>
      <c r="E20" s="62">
        <v>19</v>
      </c>
      <c r="F20" s="12">
        <f t="shared" si="0"/>
        <v>-6</v>
      </c>
      <c r="G20" s="15">
        <f t="shared" si="1"/>
        <v>0.76</v>
      </c>
    </row>
    <row r="21" spans="1:7" x14ac:dyDescent="0.35">
      <c r="A21" s="12">
        <v>15</v>
      </c>
      <c r="B21" s="61" t="s">
        <v>400</v>
      </c>
      <c r="C21" s="12" t="s">
        <v>68</v>
      </c>
      <c r="D21" s="62">
        <v>35</v>
      </c>
      <c r="E21" s="62">
        <v>0</v>
      </c>
      <c r="F21" s="12">
        <f t="shared" si="0"/>
        <v>-35</v>
      </c>
      <c r="G21" s="15">
        <f t="shared" si="1"/>
        <v>0</v>
      </c>
    </row>
    <row r="22" spans="1:7" x14ac:dyDescent="0.35">
      <c r="A22" s="12">
        <v>16</v>
      </c>
      <c r="B22" s="61" t="s">
        <v>401</v>
      </c>
      <c r="C22" s="12" t="s">
        <v>70</v>
      </c>
      <c r="D22" s="62">
        <v>25</v>
      </c>
      <c r="E22" s="62">
        <v>27</v>
      </c>
      <c r="F22" s="12">
        <f t="shared" si="0"/>
        <v>2</v>
      </c>
      <c r="G22" s="15">
        <f t="shared" si="1"/>
        <v>1.08</v>
      </c>
    </row>
    <row r="23" spans="1:7" x14ac:dyDescent="0.35">
      <c r="A23" s="12">
        <v>17</v>
      </c>
      <c r="B23" s="61" t="s">
        <v>402</v>
      </c>
      <c r="C23" s="12" t="s">
        <v>70</v>
      </c>
      <c r="D23" s="62">
        <v>25</v>
      </c>
      <c r="E23" s="62">
        <v>21</v>
      </c>
      <c r="F23" s="12">
        <f t="shared" si="0"/>
        <v>-4</v>
      </c>
      <c r="G23" s="15">
        <f t="shared" si="1"/>
        <v>0.84</v>
      </c>
    </row>
    <row r="24" spans="1:7" x14ac:dyDescent="0.35">
      <c r="A24" s="12">
        <v>18</v>
      </c>
      <c r="B24" s="61" t="s">
        <v>403</v>
      </c>
      <c r="C24" s="12" t="s">
        <v>70</v>
      </c>
      <c r="D24" s="62">
        <v>25</v>
      </c>
      <c r="E24" s="62">
        <v>20</v>
      </c>
      <c r="F24" s="12">
        <f t="shared" si="0"/>
        <v>-5</v>
      </c>
      <c r="G24" s="15">
        <f t="shared" si="1"/>
        <v>0.8</v>
      </c>
    </row>
    <row r="25" spans="1:7" x14ac:dyDescent="0.35">
      <c r="A25" s="12">
        <v>19</v>
      </c>
      <c r="B25" s="61" t="s">
        <v>404</v>
      </c>
      <c r="C25" s="12" t="s">
        <v>70</v>
      </c>
      <c r="D25" s="62">
        <v>25</v>
      </c>
      <c r="E25" s="62">
        <v>17</v>
      </c>
      <c r="F25" s="12">
        <f t="shared" si="0"/>
        <v>-8</v>
      </c>
      <c r="G25" s="15">
        <f t="shared" si="1"/>
        <v>0.68</v>
      </c>
    </row>
    <row r="26" spans="1:7" x14ac:dyDescent="0.35">
      <c r="A26" s="12">
        <v>20</v>
      </c>
      <c r="B26" s="61" t="s">
        <v>405</v>
      </c>
      <c r="C26" s="12" t="s">
        <v>70</v>
      </c>
      <c r="D26" s="62">
        <v>25</v>
      </c>
      <c r="E26" s="62">
        <v>24</v>
      </c>
      <c r="F26" s="12">
        <f t="shared" si="0"/>
        <v>-1</v>
      </c>
      <c r="G26" s="15">
        <f t="shared" si="1"/>
        <v>0.96</v>
      </c>
    </row>
    <row r="27" spans="1:7" x14ac:dyDescent="0.35">
      <c r="A27" s="12"/>
      <c r="B27" s="12" t="s">
        <v>55</v>
      </c>
      <c r="C27" s="12"/>
      <c r="D27" s="12">
        <v>490</v>
      </c>
      <c r="E27" s="12">
        <f>SUM(E7:E26)</f>
        <v>371</v>
      </c>
      <c r="F27" s="12">
        <f t="shared" si="0"/>
        <v>-119</v>
      </c>
      <c r="G27" s="15">
        <f t="shared" si="1"/>
        <v>0.75714285714285712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09EA-BE99-4FFE-969C-29E0221B4388}">
  <dimension ref="A1:G19"/>
  <sheetViews>
    <sheetView workbookViewId="0">
      <selection activeCell="B1" sqref="B1:B3"/>
    </sheetView>
  </sheetViews>
  <sheetFormatPr defaultRowHeight="14.5" x14ac:dyDescent="0.35"/>
  <cols>
    <col min="1" max="1" width="5" customWidth="1"/>
    <col min="2" max="2" width="31.36328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685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406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407</v>
      </c>
      <c r="C8" s="12" t="s">
        <v>70</v>
      </c>
      <c r="D8" s="62">
        <v>25</v>
      </c>
      <c r="E8" s="62">
        <v>40</v>
      </c>
      <c r="F8" s="12">
        <f t="shared" ref="F8:F19" si="0">E8-D8</f>
        <v>15</v>
      </c>
      <c r="G8" s="15">
        <f t="shared" ref="G8:G19" si="1">E8/D8*100%</f>
        <v>1.6</v>
      </c>
    </row>
    <row r="9" spans="1:7" x14ac:dyDescent="0.35">
      <c r="A9" s="12">
        <v>3</v>
      </c>
      <c r="B9" s="61" t="s">
        <v>408</v>
      </c>
      <c r="C9" s="12" t="s">
        <v>70</v>
      </c>
      <c r="D9" s="62">
        <v>25</v>
      </c>
      <c r="E9" s="62">
        <v>28</v>
      </c>
      <c r="F9" s="12">
        <f t="shared" si="0"/>
        <v>3</v>
      </c>
      <c r="G9" s="15">
        <f t="shared" si="1"/>
        <v>1.1200000000000001</v>
      </c>
    </row>
    <row r="10" spans="1:7" x14ac:dyDescent="0.35">
      <c r="A10" s="12">
        <v>4</v>
      </c>
      <c r="B10" s="61" t="s">
        <v>409</v>
      </c>
      <c r="C10" s="12" t="s">
        <v>70</v>
      </c>
      <c r="D10" s="62">
        <v>25</v>
      </c>
      <c r="E10" s="62">
        <v>25</v>
      </c>
      <c r="F10" s="12">
        <f t="shared" si="0"/>
        <v>0</v>
      </c>
      <c r="G10" s="15">
        <f t="shared" si="1"/>
        <v>1</v>
      </c>
    </row>
    <row r="11" spans="1:7" x14ac:dyDescent="0.35">
      <c r="A11" s="12">
        <v>5</v>
      </c>
      <c r="B11" s="61" t="s">
        <v>410</v>
      </c>
      <c r="C11" s="12" t="s">
        <v>70</v>
      </c>
      <c r="D11" s="62">
        <v>25</v>
      </c>
      <c r="E11" s="62">
        <v>15</v>
      </c>
      <c r="F11" s="12">
        <f t="shared" si="0"/>
        <v>-10</v>
      </c>
      <c r="G11" s="15">
        <f t="shared" si="1"/>
        <v>0.6</v>
      </c>
    </row>
    <row r="12" spans="1:7" x14ac:dyDescent="0.35">
      <c r="A12" s="12">
        <v>6</v>
      </c>
      <c r="B12" s="61" t="s">
        <v>411</v>
      </c>
      <c r="C12" s="12" t="s">
        <v>70</v>
      </c>
      <c r="D12" s="62">
        <v>25</v>
      </c>
      <c r="E12" s="62">
        <v>18</v>
      </c>
      <c r="F12" s="12">
        <f t="shared" si="0"/>
        <v>-7</v>
      </c>
      <c r="G12" s="15">
        <f t="shared" si="1"/>
        <v>0.72</v>
      </c>
    </row>
    <row r="13" spans="1:7" x14ac:dyDescent="0.35">
      <c r="A13" s="12">
        <v>7</v>
      </c>
      <c r="B13" s="61" t="s">
        <v>412</v>
      </c>
      <c r="C13" s="12" t="s">
        <v>68</v>
      </c>
      <c r="D13" s="62">
        <v>35</v>
      </c>
      <c r="E13" s="62">
        <v>3</v>
      </c>
      <c r="F13" s="12">
        <f t="shared" si="0"/>
        <v>-32</v>
      </c>
      <c r="G13" s="15">
        <f t="shared" si="1"/>
        <v>8.5714285714285715E-2</v>
      </c>
    </row>
    <row r="14" spans="1:7" x14ac:dyDescent="0.35">
      <c r="A14" s="12">
        <v>8</v>
      </c>
      <c r="B14" s="61" t="s">
        <v>413</v>
      </c>
      <c r="C14" s="12" t="s">
        <v>70</v>
      </c>
      <c r="D14" s="62">
        <v>25</v>
      </c>
      <c r="E14" s="62">
        <v>24</v>
      </c>
      <c r="F14" s="12">
        <f t="shared" si="0"/>
        <v>-1</v>
      </c>
      <c r="G14" s="15">
        <f t="shared" si="1"/>
        <v>0.96</v>
      </c>
    </row>
    <row r="15" spans="1:7" x14ac:dyDescent="0.35">
      <c r="A15" s="12">
        <v>9</v>
      </c>
      <c r="B15" s="61" t="s">
        <v>414</v>
      </c>
      <c r="C15" s="12" t="s">
        <v>70</v>
      </c>
      <c r="D15" s="62">
        <v>25</v>
      </c>
      <c r="E15" s="62">
        <v>30</v>
      </c>
      <c r="F15" s="12">
        <f t="shared" si="0"/>
        <v>5</v>
      </c>
      <c r="G15" s="15">
        <f t="shared" si="1"/>
        <v>1.2</v>
      </c>
    </row>
    <row r="16" spans="1:7" x14ac:dyDescent="0.35">
      <c r="A16" s="12">
        <v>10</v>
      </c>
      <c r="B16" s="61" t="s">
        <v>415</v>
      </c>
      <c r="C16" s="12" t="s">
        <v>70</v>
      </c>
      <c r="D16" s="62">
        <v>25</v>
      </c>
      <c r="E16" s="62">
        <v>17</v>
      </c>
      <c r="F16" s="12">
        <f t="shared" si="0"/>
        <v>-8</v>
      </c>
      <c r="G16" s="15">
        <f t="shared" si="1"/>
        <v>0.68</v>
      </c>
    </row>
    <row r="17" spans="1:7" x14ac:dyDescent="0.35">
      <c r="A17" s="12">
        <v>11</v>
      </c>
      <c r="B17" s="61" t="s">
        <v>416</v>
      </c>
      <c r="C17" s="12" t="s">
        <v>70</v>
      </c>
      <c r="D17" s="62">
        <v>25</v>
      </c>
      <c r="E17" s="62">
        <v>34</v>
      </c>
      <c r="F17" s="12">
        <f t="shared" si="0"/>
        <v>9</v>
      </c>
      <c r="G17" s="15">
        <f t="shared" si="1"/>
        <v>1.36</v>
      </c>
    </row>
    <row r="18" spans="1:7" x14ac:dyDescent="0.35">
      <c r="A18" s="12">
        <v>12</v>
      </c>
      <c r="B18" s="61" t="s">
        <v>417</v>
      </c>
      <c r="C18" s="12" t="s">
        <v>70</v>
      </c>
      <c r="D18" s="62">
        <v>25</v>
      </c>
      <c r="E18" s="62">
        <v>16</v>
      </c>
      <c r="F18" s="12">
        <f t="shared" si="0"/>
        <v>-9</v>
      </c>
      <c r="G18" s="15">
        <f t="shared" si="1"/>
        <v>0.64</v>
      </c>
    </row>
    <row r="19" spans="1:7" x14ac:dyDescent="0.35">
      <c r="A19" s="12"/>
      <c r="B19" s="12"/>
      <c r="C19" s="12"/>
      <c r="D19" s="12">
        <v>300</v>
      </c>
      <c r="E19" s="12">
        <f>SUM(E7:E18)</f>
        <v>250</v>
      </c>
      <c r="F19" s="12">
        <f t="shared" si="0"/>
        <v>-50</v>
      </c>
      <c r="G19" s="15">
        <f t="shared" si="1"/>
        <v>0.83333333333333337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0082-B3C8-4C20-9F91-DA4F4CDBE075}">
  <dimension ref="A1:G15"/>
  <sheetViews>
    <sheetView workbookViewId="0">
      <selection activeCell="B1" sqref="B1:B3"/>
    </sheetView>
  </sheetViews>
  <sheetFormatPr defaultRowHeight="14.5" x14ac:dyDescent="0.35"/>
  <cols>
    <col min="1" max="1" width="6.36328125" customWidth="1"/>
    <col min="2" max="2" width="31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685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418</v>
      </c>
      <c r="C7" s="12" t="s">
        <v>68</v>
      </c>
      <c r="D7" s="62">
        <v>35</v>
      </c>
      <c r="E7" s="62">
        <v>1</v>
      </c>
      <c r="F7" s="12">
        <f>E7-D7</f>
        <v>-34</v>
      </c>
      <c r="G7" s="15">
        <f>E7/D7*100%</f>
        <v>2.8571428571428571E-2</v>
      </c>
    </row>
    <row r="8" spans="1:7" x14ac:dyDescent="0.35">
      <c r="A8" s="12">
        <v>2</v>
      </c>
      <c r="B8" s="61" t="s">
        <v>419</v>
      </c>
      <c r="C8" s="12" t="s">
        <v>70</v>
      </c>
      <c r="D8" s="62">
        <v>25</v>
      </c>
      <c r="E8" s="62">
        <v>9</v>
      </c>
      <c r="F8" s="12">
        <f t="shared" ref="F8:F15" si="0">E8-D8</f>
        <v>-16</v>
      </c>
      <c r="G8" s="15">
        <f t="shared" ref="G8:G15" si="1">E8/D8*100%</f>
        <v>0.36</v>
      </c>
    </row>
    <row r="9" spans="1:7" x14ac:dyDescent="0.35">
      <c r="A9" s="12">
        <v>3</v>
      </c>
      <c r="B9" s="61" t="s">
        <v>420</v>
      </c>
      <c r="C9" s="12" t="s">
        <v>70</v>
      </c>
      <c r="D9" s="62">
        <v>25</v>
      </c>
      <c r="E9" s="62">
        <v>14</v>
      </c>
      <c r="F9" s="12">
        <f t="shared" si="0"/>
        <v>-11</v>
      </c>
      <c r="G9" s="15">
        <f t="shared" si="1"/>
        <v>0.56000000000000005</v>
      </c>
    </row>
    <row r="10" spans="1:7" x14ac:dyDescent="0.35">
      <c r="A10" s="12">
        <v>4</v>
      </c>
      <c r="B10" s="61" t="s">
        <v>421</v>
      </c>
      <c r="C10" s="12" t="s">
        <v>70</v>
      </c>
      <c r="D10" s="62">
        <v>25</v>
      </c>
      <c r="E10" s="62">
        <v>19</v>
      </c>
      <c r="F10" s="12">
        <f t="shared" si="0"/>
        <v>-6</v>
      </c>
      <c r="G10" s="15">
        <f t="shared" si="1"/>
        <v>0.76</v>
      </c>
    </row>
    <row r="11" spans="1:7" x14ac:dyDescent="0.35">
      <c r="A11" s="12">
        <v>5</v>
      </c>
      <c r="B11" s="61" t="s">
        <v>422</v>
      </c>
      <c r="C11" s="12" t="s">
        <v>70</v>
      </c>
      <c r="D11" s="62">
        <v>25</v>
      </c>
      <c r="E11" s="62">
        <v>26</v>
      </c>
      <c r="F11" s="12">
        <f t="shared" si="0"/>
        <v>1</v>
      </c>
      <c r="G11" s="15">
        <f t="shared" si="1"/>
        <v>1.04</v>
      </c>
    </row>
    <row r="12" spans="1:7" x14ac:dyDescent="0.35">
      <c r="A12" s="12">
        <v>6</v>
      </c>
      <c r="B12" s="61" t="s">
        <v>423</v>
      </c>
      <c r="C12" s="12" t="s">
        <v>70</v>
      </c>
      <c r="D12" s="62">
        <v>25</v>
      </c>
      <c r="E12" s="62">
        <v>39</v>
      </c>
      <c r="F12" s="12">
        <f t="shared" si="0"/>
        <v>14</v>
      </c>
      <c r="G12" s="15">
        <f t="shared" si="1"/>
        <v>1.56</v>
      </c>
    </row>
    <row r="13" spans="1:7" x14ac:dyDescent="0.35">
      <c r="A13" s="12">
        <v>7</v>
      </c>
      <c r="B13" s="61" t="s">
        <v>424</v>
      </c>
      <c r="C13" s="12" t="s">
        <v>70</v>
      </c>
      <c r="D13" s="62">
        <v>25</v>
      </c>
      <c r="E13" s="62">
        <v>31</v>
      </c>
      <c r="F13" s="12">
        <f t="shared" si="0"/>
        <v>6</v>
      </c>
      <c r="G13" s="15">
        <f t="shared" si="1"/>
        <v>1.24</v>
      </c>
    </row>
    <row r="14" spans="1:7" x14ac:dyDescent="0.35">
      <c r="A14" s="12">
        <v>8</v>
      </c>
      <c r="B14" s="61" t="s">
        <v>425</v>
      </c>
      <c r="C14" s="12" t="s">
        <v>70</v>
      </c>
      <c r="D14" s="62">
        <v>25</v>
      </c>
      <c r="E14" s="62">
        <v>21</v>
      </c>
      <c r="F14" s="12">
        <f t="shared" si="0"/>
        <v>-4</v>
      </c>
      <c r="G14" s="15">
        <f t="shared" si="1"/>
        <v>0.84</v>
      </c>
    </row>
    <row r="15" spans="1:7" x14ac:dyDescent="0.35">
      <c r="A15" s="12"/>
      <c r="B15" s="12" t="s">
        <v>55</v>
      </c>
      <c r="C15" s="12"/>
      <c r="D15" s="62">
        <v>190</v>
      </c>
      <c r="E15" s="12">
        <f>SUM(E7:E14)</f>
        <v>160</v>
      </c>
      <c r="F15" s="12">
        <f t="shared" si="0"/>
        <v>-30</v>
      </c>
      <c r="G15" s="15">
        <f t="shared" si="1"/>
        <v>0.84210526315789469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B58A-D631-4804-8D60-7EFE88C28585}">
  <dimension ref="A1:G15"/>
  <sheetViews>
    <sheetView workbookViewId="0">
      <selection activeCell="K10" sqref="K10"/>
    </sheetView>
  </sheetViews>
  <sheetFormatPr defaultRowHeight="14.5" x14ac:dyDescent="0.35"/>
  <cols>
    <col min="1" max="1" width="5.08984375" customWidth="1"/>
    <col min="2" max="2" width="31.17968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685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426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427</v>
      </c>
      <c r="C8" s="12" t="s">
        <v>70</v>
      </c>
      <c r="D8" s="62">
        <v>25</v>
      </c>
      <c r="E8" s="62">
        <v>20</v>
      </c>
      <c r="F8" s="12">
        <f t="shared" ref="F8:F15" si="0">E8-D8</f>
        <v>-5</v>
      </c>
      <c r="G8" s="15">
        <f t="shared" ref="G8:G15" si="1">E8/D8*100%</f>
        <v>0.8</v>
      </c>
    </row>
    <row r="9" spans="1:7" x14ac:dyDescent="0.35">
      <c r="A9" s="12">
        <v>3</v>
      </c>
      <c r="B9" s="61" t="s">
        <v>428</v>
      </c>
      <c r="C9" s="12" t="s">
        <v>70</v>
      </c>
      <c r="D9" s="62">
        <v>25</v>
      </c>
      <c r="E9" s="62">
        <v>28</v>
      </c>
      <c r="F9" s="12">
        <f t="shared" si="0"/>
        <v>3</v>
      </c>
      <c r="G9" s="15">
        <f t="shared" si="1"/>
        <v>1.1200000000000001</v>
      </c>
    </row>
    <row r="10" spans="1:7" x14ac:dyDescent="0.35">
      <c r="A10" s="12">
        <v>4</v>
      </c>
      <c r="B10" s="61" t="s">
        <v>429</v>
      </c>
      <c r="C10" s="12" t="s">
        <v>70</v>
      </c>
      <c r="D10" s="62">
        <v>25</v>
      </c>
      <c r="E10" s="62">
        <v>56</v>
      </c>
      <c r="F10" s="12">
        <f t="shared" si="0"/>
        <v>31</v>
      </c>
      <c r="G10" s="15">
        <f t="shared" si="1"/>
        <v>2.2400000000000002</v>
      </c>
    </row>
    <row r="11" spans="1:7" x14ac:dyDescent="0.35">
      <c r="A11" s="12">
        <v>5</v>
      </c>
      <c r="B11" s="61" t="s">
        <v>430</v>
      </c>
      <c r="C11" s="12" t="s">
        <v>70</v>
      </c>
      <c r="D11" s="62">
        <v>25</v>
      </c>
      <c r="E11" s="62">
        <v>61</v>
      </c>
      <c r="F11" s="12">
        <f t="shared" si="0"/>
        <v>36</v>
      </c>
      <c r="G11" s="15">
        <f t="shared" si="1"/>
        <v>2.44</v>
      </c>
    </row>
    <row r="12" spans="1:7" x14ac:dyDescent="0.35">
      <c r="A12" s="12">
        <v>6</v>
      </c>
      <c r="B12" s="61" t="s">
        <v>431</v>
      </c>
      <c r="C12" s="12" t="s">
        <v>70</v>
      </c>
      <c r="D12" s="62">
        <v>25</v>
      </c>
      <c r="E12" s="62">
        <v>28</v>
      </c>
      <c r="F12" s="12">
        <f t="shared" si="0"/>
        <v>3</v>
      </c>
      <c r="G12" s="15">
        <f t="shared" si="1"/>
        <v>1.1200000000000001</v>
      </c>
    </row>
    <row r="13" spans="1:7" x14ac:dyDescent="0.35">
      <c r="A13" s="12">
        <v>7</v>
      </c>
      <c r="B13" s="61" t="s">
        <v>432</v>
      </c>
      <c r="C13" s="12" t="s">
        <v>70</v>
      </c>
      <c r="D13" s="62">
        <v>25</v>
      </c>
      <c r="E13" s="62">
        <v>35</v>
      </c>
      <c r="F13" s="12">
        <f t="shared" si="0"/>
        <v>10</v>
      </c>
      <c r="G13" s="15">
        <f t="shared" si="1"/>
        <v>1.4</v>
      </c>
    </row>
    <row r="14" spans="1:7" x14ac:dyDescent="0.35">
      <c r="A14" s="12">
        <v>8</v>
      </c>
      <c r="B14" s="61" t="s">
        <v>433</v>
      </c>
      <c r="C14" s="12" t="s">
        <v>70</v>
      </c>
      <c r="D14" s="62">
        <v>25</v>
      </c>
      <c r="E14" s="62">
        <v>9</v>
      </c>
      <c r="F14" s="12">
        <f t="shared" si="0"/>
        <v>-16</v>
      </c>
      <c r="G14" s="15">
        <f t="shared" si="1"/>
        <v>0.36</v>
      </c>
    </row>
    <row r="15" spans="1:7" x14ac:dyDescent="0.35">
      <c r="A15" s="12"/>
      <c r="B15" s="12" t="s">
        <v>55</v>
      </c>
      <c r="C15" s="12"/>
      <c r="D15" s="62">
        <v>190</v>
      </c>
      <c r="E15" s="12">
        <f>SUM(E7:E14)</f>
        <v>237</v>
      </c>
      <c r="F15" s="12">
        <f t="shared" si="0"/>
        <v>47</v>
      </c>
      <c r="G15" s="15">
        <f t="shared" si="1"/>
        <v>1.2473684210526317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4135-F18C-40F1-84FE-D5A21486425B}">
  <dimension ref="A1:G12"/>
  <sheetViews>
    <sheetView workbookViewId="0">
      <selection activeCell="K10" sqref="K10"/>
    </sheetView>
  </sheetViews>
  <sheetFormatPr defaultRowHeight="14.5" x14ac:dyDescent="0.35"/>
  <cols>
    <col min="1" max="1" width="4.453125" customWidth="1"/>
    <col min="2" max="2" width="32.089843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683</v>
      </c>
    </row>
    <row r="3" spans="1:7" x14ac:dyDescent="0.35">
      <c r="B3" s="149" t="s">
        <v>685</v>
      </c>
    </row>
    <row r="4" spans="1:7" x14ac:dyDescent="0.35">
      <c r="A4" s="137" t="s">
        <v>58</v>
      </c>
      <c r="B4" s="138" t="s">
        <v>59</v>
      </c>
      <c r="C4" s="139" t="s">
        <v>66</v>
      </c>
      <c r="D4" s="140"/>
      <c r="E4" s="140"/>
      <c r="F4" s="140"/>
      <c r="G4" s="140"/>
    </row>
    <row r="5" spans="1:7" x14ac:dyDescent="0.35">
      <c r="A5" s="137"/>
      <c r="B5" s="138"/>
      <c r="C5" s="141" t="s">
        <v>60</v>
      </c>
      <c r="D5" s="141" t="s">
        <v>61</v>
      </c>
      <c r="E5" s="141" t="s">
        <v>62</v>
      </c>
      <c r="F5" s="141" t="s">
        <v>63</v>
      </c>
      <c r="G5" s="143" t="s">
        <v>6</v>
      </c>
    </row>
    <row r="6" spans="1:7" x14ac:dyDescent="0.35">
      <c r="A6" s="137"/>
      <c r="B6" s="138"/>
      <c r="C6" s="142"/>
      <c r="D6" s="142"/>
      <c r="E6" s="142"/>
      <c r="F6" s="142"/>
      <c r="G6" s="144"/>
    </row>
    <row r="7" spans="1:7" x14ac:dyDescent="0.35">
      <c r="A7" s="12">
        <v>1</v>
      </c>
      <c r="B7" s="61" t="s">
        <v>434</v>
      </c>
      <c r="C7" s="12" t="s">
        <v>68</v>
      </c>
      <c r="D7" s="62">
        <v>35</v>
      </c>
      <c r="E7" s="62">
        <v>0</v>
      </c>
      <c r="F7" s="12">
        <f>E7-D7</f>
        <v>-35</v>
      </c>
      <c r="G7" s="15">
        <f>E7/D7*100%</f>
        <v>0</v>
      </c>
    </row>
    <row r="8" spans="1:7" x14ac:dyDescent="0.35">
      <c r="A8" s="12">
        <v>2</v>
      </c>
      <c r="B8" s="61" t="s">
        <v>435</v>
      </c>
      <c r="C8" s="12" t="s">
        <v>70</v>
      </c>
      <c r="D8" s="62">
        <v>25</v>
      </c>
      <c r="E8" s="62">
        <v>22</v>
      </c>
      <c r="F8" s="12">
        <f t="shared" ref="F8:F12" si="0">E8-D8</f>
        <v>-3</v>
      </c>
      <c r="G8" s="15">
        <f t="shared" ref="G8:G12" si="1">E8/D8*100%</f>
        <v>0.88</v>
      </c>
    </row>
    <row r="9" spans="1:7" x14ac:dyDescent="0.35">
      <c r="A9" s="12">
        <v>3</v>
      </c>
      <c r="B9" s="61" t="s">
        <v>436</v>
      </c>
      <c r="C9" s="12" t="s">
        <v>70</v>
      </c>
      <c r="D9" s="62">
        <v>25</v>
      </c>
      <c r="E9" s="62">
        <v>14</v>
      </c>
      <c r="F9" s="12">
        <f t="shared" si="0"/>
        <v>-11</v>
      </c>
      <c r="G9" s="15">
        <f t="shared" si="1"/>
        <v>0.56000000000000005</v>
      </c>
    </row>
    <row r="10" spans="1:7" x14ac:dyDescent="0.35">
      <c r="A10" s="12">
        <v>4</v>
      </c>
      <c r="B10" s="61" t="s">
        <v>437</v>
      </c>
      <c r="C10" s="12" t="s">
        <v>70</v>
      </c>
      <c r="D10" s="62">
        <v>25</v>
      </c>
      <c r="E10" s="62">
        <v>17</v>
      </c>
      <c r="F10" s="12">
        <f t="shared" si="0"/>
        <v>-8</v>
      </c>
      <c r="G10" s="15">
        <f t="shared" si="1"/>
        <v>0.68</v>
      </c>
    </row>
    <row r="11" spans="1:7" x14ac:dyDescent="0.35">
      <c r="A11" s="12">
        <v>5</v>
      </c>
      <c r="B11" s="61" t="s">
        <v>438</v>
      </c>
      <c r="C11" s="12" t="s">
        <v>70</v>
      </c>
      <c r="D11" s="62">
        <v>25</v>
      </c>
      <c r="E11" s="62">
        <v>25</v>
      </c>
      <c r="F11" s="12">
        <f t="shared" si="0"/>
        <v>0</v>
      </c>
      <c r="G11" s="15">
        <f t="shared" si="1"/>
        <v>1</v>
      </c>
    </row>
    <row r="12" spans="1:7" x14ac:dyDescent="0.35">
      <c r="A12" s="12"/>
      <c r="B12" s="12" t="s">
        <v>55</v>
      </c>
      <c r="C12" s="12"/>
      <c r="D12" s="62">
        <v>150</v>
      </c>
      <c r="E12" s="12">
        <f>SUM(E7:E11)</f>
        <v>78</v>
      </c>
      <c r="F12" s="12">
        <f t="shared" si="0"/>
        <v>-72</v>
      </c>
      <c r="G12" s="15">
        <f t="shared" si="1"/>
        <v>0.52</v>
      </c>
    </row>
  </sheetData>
  <mergeCells count="8">
    <mergeCell ref="A4:A6"/>
    <mergeCell ref="B4:B6"/>
    <mergeCell ref="C4:G4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865B-A8D0-40FB-AB9E-C405F6CFB44A}">
  <dimension ref="A1:G23"/>
  <sheetViews>
    <sheetView workbookViewId="0">
      <selection activeCell="B1" sqref="B1:B2"/>
    </sheetView>
  </sheetViews>
  <sheetFormatPr defaultRowHeight="14.5" x14ac:dyDescent="0.35"/>
  <cols>
    <col min="1" max="1" width="5.453125" customWidth="1"/>
    <col min="2" max="2" width="31.453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34" t="s">
        <v>439</v>
      </c>
      <c r="C6" s="35" t="s">
        <v>68</v>
      </c>
      <c r="D6" s="35">
        <v>35</v>
      </c>
      <c r="E6" s="35">
        <v>2</v>
      </c>
      <c r="F6" s="28">
        <f>E6-D6</f>
        <v>-33</v>
      </c>
      <c r="G6" s="38">
        <f>E6/D6*100%</f>
        <v>5.7142857142857141E-2</v>
      </c>
    </row>
    <row r="7" spans="1:7" x14ac:dyDescent="0.35">
      <c r="A7" s="28">
        <v>2</v>
      </c>
      <c r="B7" s="36" t="s">
        <v>440</v>
      </c>
      <c r="C7" s="35" t="s">
        <v>70</v>
      </c>
      <c r="D7" s="35">
        <v>25</v>
      </c>
      <c r="E7" s="35">
        <v>17</v>
      </c>
      <c r="F7" s="28">
        <f t="shared" ref="F7:F23" si="0">E7-D7</f>
        <v>-8</v>
      </c>
      <c r="G7" s="38">
        <f t="shared" ref="G7:G23" si="1">E7/D7*100%</f>
        <v>0.68</v>
      </c>
    </row>
    <row r="8" spans="1:7" x14ac:dyDescent="0.35">
      <c r="A8" s="28">
        <v>3</v>
      </c>
      <c r="B8" s="36" t="s">
        <v>441</v>
      </c>
      <c r="C8" s="35" t="s">
        <v>70</v>
      </c>
      <c r="D8" s="35">
        <v>25</v>
      </c>
      <c r="E8" s="35">
        <v>16</v>
      </c>
      <c r="F8" s="28">
        <f t="shared" si="0"/>
        <v>-9</v>
      </c>
      <c r="G8" s="38">
        <f t="shared" si="1"/>
        <v>0.64</v>
      </c>
    </row>
    <row r="9" spans="1:7" x14ac:dyDescent="0.35">
      <c r="A9" s="28">
        <v>4</v>
      </c>
      <c r="B9" s="36" t="s">
        <v>442</v>
      </c>
      <c r="C9" s="37" t="s">
        <v>70</v>
      </c>
      <c r="D9" s="37">
        <v>25</v>
      </c>
      <c r="E9" s="35">
        <v>14</v>
      </c>
      <c r="F9" s="28">
        <f t="shared" si="0"/>
        <v>-11</v>
      </c>
      <c r="G9" s="38">
        <f t="shared" si="1"/>
        <v>0.56000000000000005</v>
      </c>
    </row>
    <row r="10" spans="1:7" x14ac:dyDescent="0.35">
      <c r="A10" s="28">
        <v>5</v>
      </c>
      <c r="B10" s="34" t="s">
        <v>443</v>
      </c>
      <c r="C10" s="35" t="s">
        <v>70</v>
      </c>
      <c r="D10" s="35">
        <v>25</v>
      </c>
      <c r="E10" s="35">
        <v>17</v>
      </c>
      <c r="F10" s="28">
        <f t="shared" si="0"/>
        <v>-8</v>
      </c>
      <c r="G10" s="38">
        <f t="shared" si="1"/>
        <v>0.68</v>
      </c>
    </row>
    <row r="11" spans="1:7" x14ac:dyDescent="0.35">
      <c r="A11" s="28">
        <v>6</v>
      </c>
      <c r="B11" s="36" t="s">
        <v>444</v>
      </c>
      <c r="C11" s="35" t="s">
        <v>70</v>
      </c>
      <c r="D11" s="35">
        <v>25</v>
      </c>
      <c r="E11" s="35">
        <v>1</v>
      </c>
      <c r="F11" s="28">
        <f t="shared" si="0"/>
        <v>-24</v>
      </c>
      <c r="G11" s="38">
        <f t="shared" si="1"/>
        <v>0.04</v>
      </c>
    </row>
    <row r="12" spans="1:7" x14ac:dyDescent="0.35">
      <c r="A12" s="28">
        <v>7</v>
      </c>
      <c r="B12" s="36" t="s">
        <v>445</v>
      </c>
      <c r="C12" s="35" t="s">
        <v>70</v>
      </c>
      <c r="D12" s="37">
        <v>25</v>
      </c>
      <c r="E12" s="35">
        <v>5</v>
      </c>
      <c r="F12" s="28">
        <f t="shared" si="0"/>
        <v>-20</v>
      </c>
      <c r="G12" s="38">
        <f t="shared" si="1"/>
        <v>0.2</v>
      </c>
    </row>
    <row r="13" spans="1:7" x14ac:dyDescent="0.35">
      <c r="A13" s="28">
        <v>8</v>
      </c>
      <c r="B13" s="36" t="s">
        <v>446</v>
      </c>
      <c r="C13" s="35" t="s">
        <v>70</v>
      </c>
      <c r="D13" s="35">
        <v>25</v>
      </c>
      <c r="E13" s="35">
        <v>1</v>
      </c>
      <c r="F13" s="28">
        <f t="shared" si="0"/>
        <v>-24</v>
      </c>
      <c r="G13" s="38">
        <f t="shared" si="1"/>
        <v>0.04</v>
      </c>
    </row>
    <row r="14" spans="1:7" x14ac:dyDescent="0.35">
      <c r="A14" s="28">
        <v>9</v>
      </c>
      <c r="B14" s="36" t="s">
        <v>447</v>
      </c>
      <c r="C14" s="35" t="s">
        <v>70</v>
      </c>
      <c r="D14" s="35">
        <v>25</v>
      </c>
      <c r="E14" s="35">
        <v>0</v>
      </c>
      <c r="F14" s="28">
        <f t="shared" si="0"/>
        <v>-25</v>
      </c>
      <c r="G14" s="38">
        <f t="shared" si="1"/>
        <v>0</v>
      </c>
    </row>
    <row r="15" spans="1:7" x14ac:dyDescent="0.35">
      <c r="A15" s="28">
        <v>10</v>
      </c>
      <c r="B15" s="34" t="s">
        <v>448</v>
      </c>
      <c r="C15" s="35" t="s">
        <v>68</v>
      </c>
      <c r="D15" s="35">
        <v>35</v>
      </c>
      <c r="E15" s="35">
        <v>1</v>
      </c>
      <c r="F15" s="28">
        <f t="shared" si="0"/>
        <v>-34</v>
      </c>
      <c r="G15" s="38">
        <f t="shared" si="1"/>
        <v>2.8571428571428571E-2</v>
      </c>
    </row>
    <row r="16" spans="1:7" x14ac:dyDescent="0.35">
      <c r="A16" s="28">
        <v>11</v>
      </c>
      <c r="B16" s="36" t="s">
        <v>449</v>
      </c>
      <c r="C16" s="35" t="s">
        <v>70</v>
      </c>
      <c r="D16" s="35">
        <v>25</v>
      </c>
      <c r="E16" s="35">
        <v>17</v>
      </c>
      <c r="F16" s="28">
        <f t="shared" si="0"/>
        <v>-8</v>
      </c>
      <c r="G16" s="38">
        <f t="shared" si="1"/>
        <v>0.68</v>
      </c>
    </row>
    <row r="17" spans="1:7" x14ac:dyDescent="0.35">
      <c r="A17" s="28">
        <v>12</v>
      </c>
      <c r="B17" s="36" t="s">
        <v>450</v>
      </c>
      <c r="C17" s="35" t="s">
        <v>70</v>
      </c>
      <c r="D17" s="35">
        <v>25</v>
      </c>
      <c r="E17" s="35">
        <v>6</v>
      </c>
      <c r="F17" s="28">
        <f t="shared" si="0"/>
        <v>-19</v>
      </c>
      <c r="G17" s="38">
        <f t="shared" si="1"/>
        <v>0.24</v>
      </c>
    </row>
    <row r="18" spans="1:7" x14ac:dyDescent="0.35">
      <c r="A18" s="28">
        <v>13</v>
      </c>
      <c r="B18" s="36" t="s">
        <v>451</v>
      </c>
      <c r="C18" s="37" t="s">
        <v>70</v>
      </c>
      <c r="D18" s="37">
        <v>25</v>
      </c>
      <c r="E18" s="35">
        <v>9</v>
      </c>
      <c r="F18" s="28">
        <f t="shared" si="0"/>
        <v>-16</v>
      </c>
      <c r="G18" s="38">
        <f t="shared" si="1"/>
        <v>0.36</v>
      </c>
    </row>
    <row r="19" spans="1:7" x14ac:dyDescent="0.35">
      <c r="A19" s="28">
        <v>14</v>
      </c>
      <c r="B19" s="34" t="s">
        <v>452</v>
      </c>
      <c r="C19" s="35" t="s">
        <v>70</v>
      </c>
      <c r="D19" s="35">
        <v>25</v>
      </c>
      <c r="E19" s="35">
        <v>7</v>
      </c>
      <c r="F19" s="28">
        <f t="shared" si="0"/>
        <v>-18</v>
      </c>
      <c r="G19" s="38">
        <f t="shared" si="1"/>
        <v>0.28000000000000003</v>
      </c>
    </row>
    <row r="20" spans="1:7" x14ac:dyDescent="0.35">
      <c r="A20" s="28">
        <v>15</v>
      </c>
      <c r="B20" s="36" t="s">
        <v>453</v>
      </c>
      <c r="C20" s="35" t="s">
        <v>70</v>
      </c>
      <c r="D20" s="35">
        <v>25</v>
      </c>
      <c r="E20" s="35">
        <v>7</v>
      </c>
      <c r="F20" s="28">
        <f t="shared" si="0"/>
        <v>-18</v>
      </c>
      <c r="G20" s="38">
        <f t="shared" si="1"/>
        <v>0.28000000000000003</v>
      </c>
    </row>
    <row r="21" spans="1:7" x14ac:dyDescent="0.35">
      <c r="A21" s="28">
        <v>16</v>
      </c>
      <c r="B21" s="36" t="s">
        <v>454</v>
      </c>
      <c r="C21" s="35" t="s">
        <v>70</v>
      </c>
      <c r="D21" s="35">
        <v>25</v>
      </c>
      <c r="E21" s="35">
        <v>10</v>
      </c>
      <c r="F21" s="28">
        <f t="shared" si="0"/>
        <v>-15</v>
      </c>
      <c r="G21" s="38">
        <f t="shared" si="1"/>
        <v>0.4</v>
      </c>
    </row>
    <row r="22" spans="1:7" x14ac:dyDescent="0.35">
      <c r="A22" s="28">
        <v>17</v>
      </c>
      <c r="B22" s="36" t="s">
        <v>455</v>
      </c>
      <c r="C22" s="35" t="s">
        <v>70</v>
      </c>
      <c r="D22" s="35">
        <v>25</v>
      </c>
      <c r="E22" s="35">
        <v>17</v>
      </c>
      <c r="F22" s="28">
        <f t="shared" si="0"/>
        <v>-8</v>
      </c>
      <c r="G22" s="38">
        <f t="shared" si="1"/>
        <v>0.68</v>
      </c>
    </row>
    <row r="23" spans="1:7" x14ac:dyDescent="0.35">
      <c r="A23" s="28"/>
      <c r="B23" s="28" t="s">
        <v>55</v>
      </c>
      <c r="C23" s="28"/>
      <c r="D23" s="35">
        <v>420</v>
      </c>
      <c r="E23" s="28">
        <f>SUM(E6:E22)</f>
        <v>147</v>
      </c>
      <c r="F23" s="28">
        <f t="shared" si="0"/>
        <v>-273</v>
      </c>
      <c r="G23" s="38">
        <f t="shared" si="1"/>
        <v>0.35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BE36-3624-4EBF-917F-4E841677F503}">
  <dimension ref="A1:G13"/>
  <sheetViews>
    <sheetView workbookViewId="0">
      <selection activeCell="B1" sqref="B1:B2"/>
    </sheetView>
  </sheetViews>
  <sheetFormatPr defaultRowHeight="14.5" x14ac:dyDescent="0.35"/>
  <cols>
    <col min="1" max="1" width="5.7265625" customWidth="1"/>
    <col min="2" max="2" width="29.26953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63" t="s">
        <v>456</v>
      </c>
      <c r="C6" s="64" t="s">
        <v>68</v>
      </c>
      <c r="D6" s="65">
        <v>35</v>
      </c>
      <c r="E6" s="65">
        <v>1</v>
      </c>
      <c r="F6" s="12">
        <f>E6-D6</f>
        <v>-34</v>
      </c>
      <c r="G6" s="15">
        <f>E6/D6*100%</f>
        <v>2.8571428571428571E-2</v>
      </c>
    </row>
    <row r="7" spans="1:7" x14ac:dyDescent="0.35">
      <c r="A7" s="12">
        <v>2</v>
      </c>
      <c r="B7" s="66" t="s">
        <v>457</v>
      </c>
      <c r="C7" s="67" t="s">
        <v>70</v>
      </c>
      <c r="D7" s="65">
        <v>25</v>
      </c>
      <c r="E7" s="65">
        <v>4</v>
      </c>
      <c r="F7" s="12">
        <f t="shared" ref="F7:F13" si="0">E7-D7</f>
        <v>-21</v>
      </c>
      <c r="G7" s="15">
        <f t="shared" ref="G7:G13" si="1">E7/D7*100%</f>
        <v>0.16</v>
      </c>
    </row>
    <row r="8" spans="1:7" x14ac:dyDescent="0.35">
      <c r="A8" s="12">
        <v>3</v>
      </c>
      <c r="B8" s="66" t="s">
        <v>458</v>
      </c>
      <c r="C8" s="67" t="s">
        <v>70</v>
      </c>
      <c r="D8" s="65">
        <v>25</v>
      </c>
      <c r="E8" s="65">
        <v>3</v>
      </c>
      <c r="F8" s="12">
        <f t="shared" si="0"/>
        <v>-22</v>
      </c>
      <c r="G8" s="15">
        <f t="shared" si="1"/>
        <v>0.12</v>
      </c>
    </row>
    <row r="9" spans="1:7" x14ac:dyDescent="0.35">
      <c r="A9" s="12">
        <v>4</v>
      </c>
      <c r="B9" s="66" t="s">
        <v>459</v>
      </c>
      <c r="C9" s="67" t="s">
        <v>70</v>
      </c>
      <c r="D9" s="65">
        <v>25</v>
      </c>
      <c r="E9" s="65">
        <v>4</v>
      </c>
      <c r="F9" s="12">
        <f t="shared" si="0"/>
        <v>-21</v>
      </c>
      <c r="G9" s="15">
        <f t="shared" si="1"/>
        <v>0.16</v>
      </c>
    </row>
    <row r="10" spans="1:7" x14ac:dyDescent="0.35">
      <c r="A10" s="12">
        <v>5</v>
      </c>
      <c r="B10" s="66" t="s">
        <v>460</v>
      </c>
      <c r="C10" s="67" t="s">
        <v>70</v>
      </c>
      <c r="D10" s="65">
        <v>25</v>
      </c>
      <c r="E10" s="65">
        <v>1</v>
      </c>
      <c r="F10" s="12">
        <f t="shared" si="0"/>
        <v>-24</v>
      </c>
      <c r="G10" s="15">
        <f t="shared" si="1"/>
        <v>0.04</v>
      </c>
    </row>
    <row r="11" spans="1:7" x14ac:dyDescent="0.35">
      <c r="A11" s="12">
        <v>6</v>
      </c>
      <c r="B11" s="66" t="s">
        <v>461</v>
      </c>
      <c r="C11" s="67" t="s">
        <v>70</v>
      </c>
      <c r="D11" s="65">
        <v>25</v>
      </c>
      <c r="E11" s="65">
        <v>1</v>
      </c>
      <c r="F11" s="12">
        <f t="shared" si="0"/>
        <v>-24</v>
      </c>
      <c r="G11" s="15">
        <f t="shared" si="1"/>
        <v>0.04</v>
      </c>
    </row>
    <row r="12" spans="1:7" x14ac:dyDescent="0.35">
      <c r="A12" s="12">
        <v>7</v>
      </c>
      <c r="B12" s="66" t="s">
        <v>462</v>
      </c>
      <c r="C12" s="67" t="s">
        <v>70</v>
      </c>
      <c r="D12" s="65">
        <v>25</v>
      </c>
      <c r="E12" s="65">
        <v>6</v>
      </c>
      <c r="F12" s="12">
        <f t="shared" si="0"/>
        <v>-19</v>
      </c>
      <c r="G12" s="15">
        <f t="shared" si="1"/>
        <v>0.24</v>
      </c>
    </row>
    <row r="13" spans="1:7" x14ac:dyDescent="0.35">
      <c r="A13" s="12"/>
      <c r="B13" s="12" t="s">
        <v>55</v>
      </c>
      <c r="C13" s="12"/>
      <c r="D13" s="65">
        <v>190</v>
      </c>
      <c r="E13" s="12">
        <f>SUM(E6:E12)</f>
        <v>20</v>
      </c>
      <c r="F13" s="12">
        <f t="shared" si="0"/>
        <v>-170</v>
      </c>
      <c r="G13" s="15">
        <f t="shared" si="1"/>
        <v>0.10526315789473684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7B31-1060-49B1-856A-B1641F2BC8CD}">
  <dimension ref="A1:G9"/>
  <sheetViews>
    <sheetView workbookViewId="0">
      <selection activeCell="B1" sqref="B1:B2"/>
    </sheetView>
  </sheetViews>
  <sheetFormatPr defaultRowHeight="14.5" x14ac:dyDescent="0.35"/>
  <cols>
    <col min="1" max="1" width="5.1796875" customWidth="1"/>
    <col min="2" max="2" width="28.36328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70" t="s">
        <v>464</v>
      </c>
      <c r="C6" s="69" t="s">
        <v>68</v>
      </c>
      <c r="D6" s="69">
        <v>35</v>
      </c>
      <c r="E6" s="69">
        <v>4</v>
      </c>
      <c r="F6" s="28">
        <f>E6-D6</f>
        <v>-31</v>
      </c>
      <c r="G6" s="38">
        <f>E6/D6*100%</f>
        <v>0.11428571428571428</v>
      </c>
    </row>
    <row r="7" spans="1:7" x14ac:dyDescent="0.35">
      <c r="A7" s="28">
        <v>2</v>
      </c>
      <c r="B7" s="70" t="s">
        <v>465</v>
      </c>
      <c r="C7" s="69" t="s">
        <v>70</v>
      </c>
      <c r="D7" s="69">
        <v>25</v>
      </c>
      <c r="E7" s="69">
        <v>11</v>
      </c>
      <c r="F7" s="28">
        <f t="shared" ref="F7:F9" si="0">E7-D7</f>
        <v>-14</v>
      </c>
      <c r="G7" s="38">
        <f t="shared" ref="G7:G9" si="1">E7/D7*100%</f>
        <v>0.44</v>
      </c>
    </row>
    <row r="8" spans="1:7" x14ac:dyDescent="0.35">
      <c r="A8" s="28">
        <v>3</v>
      </c>
      <c r="B8" s="70" t="s">
        <v>463</v>
      </c>
      <c r="C8" s="69" t="s">
        <v>70</v>
      </c>
      <c r="D8" s="69">
        <v>25</v>
      </c>
      <c r="E8" s="69">
        <v>1</v>
      </c>
      <c r="F8" s="28">
        <f t="shared" si="0"/>
        <v>-24</v>
      </c>
      <c r="G8" s="38">
        <f t="shared" si="1"/>
        <v>0.04</v>
      </c>
    </row>
    <row r="9" spans="1:7" x14ac:dyDescent="0.35">
      <c r="A9" s="28"/>
      <c r="B9" s="28" t="s">
        <v>55</v>
      </c>
      <c r="C9" s="28"/>
      <c r="D9" s="28">
        <v>150</v>
      </c>
      <c r="E9" s="28">
        <f>SUM(E6:E8)</f>
        <v>16</v>
      </c>
      <c r="F9" s="28">
        <f t="shared" si="0"/>
        <v>-134</v>
      </c>
      <c r="G9" s="38">
        <f t="shared" si="1"/>
        <v>0.10666666666666667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1B9B-6236-449C-B464-AF0122A5C6CA}">
  <dimension ref="A1:G12"/>
  <sheetViews>
    <sheetView workbookViewId="0">
      <selection activeCell="B1" sqref="B1:B2"/>
    </sheetView>
  </sheetViews>
  <sheetFormatPr defaultRowHeight="14.5" x14ac:dyDescent="0.35"/>
  <cols>
    <col min="1" max="1" width="4.26953125" customWidth="1"/>
    <col min="2" max="2" width="30.6328125" customWidth="1"/>
    <col min="7" max="7" width="8.7265625" style="10"/>
  </cols>
  <sheetData>
    <row r="1" spans="1:7" x14ac:dyDescent="0.35">
      <c r="B1" s="149" t="s">
        <v>676</v>
      </c>
    </row>
    <row r="2" spans="1:7" x14ac:dyDescent="0.35">
      <c r="B2" s="149" t="s">
        <v>682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90" t="s">
        <v>524</v>
      </c>
      <c r="C6" s="91" t="s">
        <v>70</v>
      </c>
      <c r="D6" s="92">
        <v>25</v>
      </c>
      <c r="E6" s="92">
        <v>10</v>
      </c>
      <c r="F6" s="12">
        <f>E6-D6</f>
        <v>-15</v>
      </c>
      <c r="G6" s="15">
        <f>E6/D6*100%</f>
        <v>0.4</v>
      </c>
    </row>
    <row r="7" spans="1:7" x14ac:dyDescent="0.35">
      <c r="A7" s="12">
        <v>2</v>
      </c>
      <c r="B7" s="94" t="s">
        <v>525</v>
      </c>
      <c r="C7" s="91" t="s">
        <v>70</v>
      </c>
      <c r="D7" s="92">
        <v>25</v>
      </c>
      <c r="E7" s="92">
        <v>3</v>
      </c>
      <c r="F7" s="12">
        <f t="shared" ref="F7:F12" si="0">E7-D7</f>
        <v>-22</v>
      </c>
      <c r="G7" s="15">
        <f t="shared" ref="G7:G12" si="1">E7/D7*100%</f>
        <v>0.12</v>
      </c>
    </row>
    <row r="8" spans="1:7" x14ac:dyDescent="0.35">
      <c r="A8" s="12">
        <v>3</v>
      </c>
      <c r="B8" s="93" t="s">
        <v>526</v>
      </c>
      <c r="C8" s="91" t="s">
        <v>70</v>
      </c>
      <c r="D8" s="92">
        <v>25</v>
      </c>
      <c r="E8" s="92">
        <v>1</v>
      </c>
      <c r="F8" s="12">
        <f t="shared" si="0"/>
        <v>-24</v>
      </c>
      <c r="G8" s="15">
        <f t="shared" si="1"/>
        <v>0.04</v>
      </c>
    </row>
    <row r="9" spans="1:7" x14ac:dyDescent="0.35">
      <c r="A9" s="12">
        <v>4</v>
      </c>
      <c r="B9" s="93" t="s">
        <v>527</v>
      </c>
      <c r="C9" s="91" t="s">
        <v>70</v>
      </c>
      <c r="D9" s="92">
        <v>25</v>
      </c>
      <c r="E9" s="92">
        <v>1</v>
      </c>
      <c r="F9" s="12">
        <f t="shared" si="0"/>
        <v>-24</v>
      </c>
      <c r="G9" s="15">
        <f t="shared" si="1"/>
        <v>0.04</v>
      </c>
    </row>
    <row r="10" spans="1:7" x14ac:dyDescent="0.35">
      <c r="A10" s="12">
        <v>5</v>
      </c>
      <c r="B10" s="93" t="s">
        <v>528</v>
      </c>
      <c r="C10" s="91" t="s">
        <v>70</v>
      </c>
      <c r="D10" s="92">
        <v>25</v>
      </c>
      <c r="E10" s="92">
        <v>1</v>
      </c>
      <c r="F10" s="12">
        <f t="shared" si="0"/>
        <v>-24</v>
      </c>
      <c r="G10" s="15">
        <f t="shared" si="1"/>
        <v>0.04</v>
      </c>
    </row>
    <row r="11" spans="1:7" x14ac:dyDescent="0.35">
      <c r="A11" s="12">
        <v>6</v>
      </c>
      <c r="B11" s="93" t="s">
        <v>529</v>
      </c>
      <c r="C11" s="91" t="s">
        <v>70</v>
      </c>
      <c r="D11" s="92">
        <v>25</v>
      </c>
      <c r="E11" s="92">
        <v>0</v>
      </c>
      <c r="F11" s="12">
        <f t="shared" si="0"/>
        <v>-25</v>
      </c>
      <c r="G11" s="15">
        <f t="shared" si="1"/>
        <v>0</v>
      </c>
    </row>
    <row r="12" spans="1:7" x14ac:dyDescent="0.35">
      <c r="A12" s="12"/>
      <c r="B12" s="12" t="s">
        <v>55</v>
      </c>
      <c r="C12" s="12"/>
      <c r="D12" s="12">
        <v>150</v>
      </c>
      <c r="E12" s="12">
        <f>SUM(E6:E11)</f>
        <v>16</v>
      </c>
      <c r="F12" s="12">
        <f t="shared" si="0"/>
        <v>-134</v>
      </c>
      <c r="G12" s="15">
        <f t="shared" si="1"/>
        <v>0.10666666666666667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D49B-DBDD-49D3-B75A-BFAAFA8F8779}">
  <dimension ref="A1:G27"/>
  <sheetViews>
    <sheetView workbookViewId="0">
      <selection activeCell="C2" sqref="C2"/>
    </sheetView>
  </sheetViews>
  <sheetFormatPr defaultRowHeight="14.5" x14ac:dyDescent="0.35"/>
  <cols>
    <col min="1" max="1" width="3.90625" customWidth="1"/>
    <col min="2" max="2" width="32.90625" customWidth="1"/>
    <col min="7" max="7" width="8.7265625" style="10"/>
  </cols>
  <sheetData>
    <row r="1" spans="1:7" x14ac:dyDescent="0.35">
      <c r="B1" s="149" t="s">
        <v>686</v>
      </c>
    </row>
    <row r="2" spans="1:7" x14ac:dyDescent="0.35">
      <c r="B2" s="149" t="s">
        <v>687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40" t="s">
        <v>466</v>
      </c>
      <c r="C6" s="39" t="s">
        <v>68</v>
      </c>
      <c r="D6" s="39">
        <v>15</v>
      </c>
      <c r="E6" s="39">
        <v>10</v>
      </c>
      <c r="F6" s="12">
        <f>E6-D6</f>
        <v>-5</v>
      </c>
      <c r="G6" s="15">
        <f>E6/D6*100%</f>
        <v>0.66666666666666663</v>
      </c>
    </row>
    <row r="7" spans="1:7" x14ac:dyDescent="0.35">
      <c r="A7" s="12">
        <v>2</v>
      </c>
      <c r="B7" s="40" t="s">
        <v>467</v>
      </c>
      <c r="C7" s="39" t="s">
        <v>468</v>
      </c>
      <c r="D7" s="39">
        <v>25</v>
      </c>
      <c r="E7" s="39">
        <v>23</v>
      </c>
      <c r="F7" s="12">
        <f t="shared" ref="F7:F27" si="0">E7-D7</f>
        <v>-2</v>
      </c>
      <c r="G7" s="15">
        <f t="shared" ref="G7:G27" si="1">E7/D7*100%</f>
        <v>0.92</v>
      </c>
    </row>
    <row r="8" spans="1:7" x14ac:dyDescent="0.35">
      <c r="A8" s="12">
        <v>3</v>
      </c>
      <c r="B8" s="36" t="s">
        <v>469</v>
      </c>
      <c r="C8" s="35" t="s">
        <v>468</v>
      </c>
      <c r="D8" s="39">
        <v>25</v>
      </c>
      <c r="E8" s="39">
        <v>28</v>
      </c>
      <c r="F8" s="12">
        <f t="shared" si="0"/>
        <v>3</v>
      </c>
      <c r="G8" s="15">
        <f t="shared" si="1"/>
        <v>1.1200000000000001</v>
      </c>
    </row>
    <row r="9" spans="1:7" x14ac:dyDescent="0.35">
      <c r="A9" s="12">
        <v>4</v>
      </c>
      <c r="B9" s="36" t="s">
        <v>470</v>
      </c>
      <c r="C9" s="35" t="s">
        <v>468</v>
      </c>
      <c r="D9" s="39">
        <v>25</v>
      </c>
      <c r="E9" s="39">
        <v>6</v>
      </c>
      <c r="F9" s="12">
        <f t="shared" si="0"/>
        <v>-19</v>
      </c>
      <c r="G9" s="15">
        <f t="shared" si="1"/>
        <v>0.24</v>
      </c>
    </row>
    <row r="10" spans="1:7" x14ac:dyDescent="0.35">
      <c r="A10" s="12">
        <v>5</v>
      </c>
      <c r="B10" s="36" t="s">
        <v>471</v>
      </c>
      <c r="C10" s="35" t="s">
        <v>468</v>
      </c>
      <c r="D10" s="39">
        <v>25</v>
      </c>
      <c r="E10" s="39">
        <v>17</v>
      </c>
      <c r="F10" s="12">
        <f t="shared" si="0"/>
        <v>-8</v>
      </c>
      <c r="G10" s="15">
        <f t="shared" si="1"/>
        <v>0.68</v>
      </c>
    </row>
    <row r="11" spans="1:7" x14ac:dyDescent="0.35">
      <c r="A11" s="12">
        <v>6</v>
      </c>
      <c r="B11" s="41" t="s">
        <v>472</v>
      </c>
      <c r="C11" s="35" t="s">
        <v>468</v>
      </c>
      <c r="D11" s="39">
        <v>25</v>
      </c>
      <c r="E11" s="39">
        <v>0</v>
      </c>
      <c r="F11" s="12">
        <f t="shared" si="0"/>
        <v>-25</v>
      </c>
      <c r="G11" s="15">
        <f t="shared" si="1"/>
        <v>0</v>
      </c>
    </row>
    <row r="12" spans="1:7" x14ac:dyDescent="0.35">
      <c r="A12" s="12">
        <v>7</v>
      </c>
      <c r="B12" s="41" t="s">
        <v>473</v>
      </c>
      <c r="C12" s="35" t="s">
        <v>468</v>
      </c>
      <c r="D12" s="39">
        <v>25</v>
      </c>
      <c r="E12" s="39">
        <v>0</v>
      </c>
      <c r="F12" s="12">
        <f t="shared" si="0"/>
        <v>-25</v>
      </c>
      <c r="G12" s="15">
        <f t="shared" si="1"/>
        <v>0</v>
      </c>
    </row>
    <row r="13" spans="1:7" x14ac:dyDescent="0.35">
      <c r="A13" s="12">
        <v>8</v>
      </c>
      <c r="B13" s="41" t="s">
        <v>474</v>
      </c>
      <c r="C13" s="35" t="s">
        <v>468</v>
      </c>
      <c r="D13" s="39">
        <v>25</v>
      </c>
      <c r="E13" s="39">
        <v>2</v>
      </c>
      <c r="F13" s="12">
        <f t="shared" si="0"/>
        <v>-23</v>
      </c>
      <c r="G13" s="15">
        <f t="shared" si="1"/>
        <v>0.08</v>
      </c>
    </row>
    <row r="14" spans="1:7" x14ac:dyDescent="0.35">
      <c r="A14" s="12">
        <v>9</v>
      </c>
      <c r="B14" s="40" t="s">
        <v>475</v>
      </c>
      <c r="C14" s="39" t="s">
        <v>68</v>
      </c>
      <c r="D14" s="39">
        <v>15</v>
      </c>
      <c r="E14" s="39">
        <v>2</v>
      </c>
      <c r="F14" s="12">
        <f t="shared" si="0"/>
        <v>-13</v>
      </c>
      <c r="G14" s="15">
        <f t="shared" si="1"/>
        <v>0.13333333333333333</v>
      </c>
    </row>
    <row r="15" spans="1:7" x14ac:dyDescent="0.35">
      <c r="A15" s="12">
        <v>10</v>
      </c>
      <c r="B15" s="40" t="s">
        <v>476</v>
      </c>
      <c r="C15" s="39" t="s">
        <v>468</v>
      </c>
      <c r="D15" s="39">
        <v>25</v>
      </c>
      <c r="E15" s="39">
        <v>25</v>
      </c>
      <c r="F15" s="12">
        <f t="shared" si="0"/>
        <v>0</v>
      </c>
      <c r="G15" s="15">
        <f t="shared" si="1"/>
        <v>1</v>
      </c>
    </row>
    <row r="16" spans="1:7" x14ac:dyDescent="0.35">
      <c r="A16" s="12">
        <v>11</v>
      </c>
      <c r="B16" s="36" t="s">
        <v>477</v>
      </c>
      <c r="C16" s="35" t="s">
        <v>468</v>
      </c>
      <c r="D16" s="39">
        <v>25</v>
      </c>
      <c r="E16" s="39">
        <v>37</v>
      </c>
      <c r="F16" s="12">
        <f t="shared" si="0"/>
        <v>12</v>
      </c>
      <c r="G16" s="15">
        <f t="shared" si="1"/>
        <v>1.48</v>
      </c>
    </row>
    <row r="17" spans="1:7" x14ac:dyDescent="0.35">
      <c r="A17" s="12">
        <v>12</v>
      </c>
      <c r="B17" s="36" t="s">
        <v>478</v>
      </c>
      <c r="C17" s="35" t="s">
        <v>468</v>
      </c>
      <c r="D17" s="39">
        <v>25</v>
      </c>
      <c r="E17" s="39">
        <v>15</v>
      </c>
      <c r="F17" s="12">
        <f t="shared" si="0"/>
        <v>-10</v>
      </c>
      <c r="G17" s="15">
        <f t="shared" si="1"/>
        <v>0.6</v>
      </c>
    </row>
    <row r="18" spans="1:7" x14ac:dyDescent="0.35">
      <c r="A18" s="12">
        <v>13</v>
      </c>
      <c r="B18" s="36" t="s">
        <v>479</v>
      </c>
      <c r="C18" s="35" t="s">
        <v>468</v>
      </c>
      <c r="D18" s="39">
        <v>25</v>
      </c>
      <c r="E18" s="39">
        <v>8</v>
      </c>
      <c r="F18" s="12">
        <f t="shared" si="0"/>
        <v>-17</v>
      </c>
      <c r="G18" s="15">
        <f t="shared" si="1"/>
        <v>0.32</v>
      </c>
    </row>
    <row r="19" spans="1:7" x14ac:dyDescent="0.35">
      <c r="A19" s="12">
        <v>14</v>
      </c>
      <c r="B19" s="36" t="s">
        <v>480</v>
      </c>
      <c r="C19" s="35" t="s">
        <v>468</v>
      </c>
      <c r="D19" s="39">
        <v>25</v>
      </c>
      <c r="E19" s="39">
        <v>8</v>
      </c>
      <c r="F19" s="12">
        <f t="shared" si="0"/>
        <v>-17</v>
      </c>
      <c r="G19" s="15">
        <f t="shared" si="1"/>
        <v>0.32</v>
      </c>
    </row>
    <row r="20" spans="1:7" x14ac:dyDescent="0.35">
      <c r="A20" s="12">
        <v>15</v>
      </c>
      <c r="B20" s="36" t="s">
        <v>481</v>
      </c>
      <c r="C20" s="35" t="s">
        <v>468</v>
      </c>
      <c r="D20" s="39">
        <v>25</v>
      </c>
      <c r="E20" s="39">
        <v>7</v>
      </c>
      <c r="F20" s="12">
        <f t="shared" si="0"/>
        <v>-18</v>
      </c>
      <c r="G20" s="15">
        <f t="shared" si="1"/>
        <v>0.28000000000000003</v>
      </c>
    </row>
    <row r="21" spans="1:7" x14ac:dyDescent="0.35">
      <c r="A21" s="12">
        <v>16</v>
      </c>
      <c r="B21" s="36" t="s">
        <v>482</v>
      </c>
      <c r="C21" s="35" t="s">
        <v>468</v>
      </c>
      <c r="D21" s="39">
        <v>25</v>
      </c>
      <c r="E21" s="39">
        <v>4</v>
      </c>
      <c r="F21" s="12">
        <f t="shared" si="0"/>
        <v>-21</v>
      </c>
      <c r="G21" s="15">
        <f t="shared" si="1"/>
        <v>0.16</v>
      </c>
    </row>
    <row r="22" spans="1:7" x14ac:dyDescent="0.35">
      <c r="A22" s="12">
        <v>17</v>
      </c>
      <c r="B22" s="40" t="s">
        <v>483</v>
      </c>
      <c r="C22" s="39" t="s">
        <v>68</v>
      </c>
      <c r="D22" s="39">
        <v>25</v>
      </c>
      <c r="E22" s="39">
        <v>0</v>
      </c>
      <c r="F22" s="12">
        <f t="shared" si="0"/>
        <v>-25</v>
      </c>
      <c r="G22" s="15">
        <f t="shared" si="1"/>
        <v>0</v>
      </c>
    </row>
    <row r="23" spans="1:7" x14ac:dyDescent="0.35">
      <c r="A23" s="12">
        <v>18</v>
      </c>
      <c r="B23" s="40" t="s">
        <v>484</v>
      </c>
      <c r="C23" s="39" t="s">
        <v>468</v>
      </c>
      <c r="D23" s="39">
        <v>25</v>
      </c>
      <c r="E23" s="39">
        <v>30</v>
      </c>
      <c r="F23" s="12">
        <f t="shared" si="0"/>
        <v>5</v>
      </c>
      <c r="G23" s="15">
        <f t="shared" si="1"/>
        <v>1.2</v>
      </c>
    </row>
    <row r="24" spans="1:7" x14ac:dyDescent="0.35">
      <c r="A24" s="12">
        <v>19</v>
      </c>
      <c r="B24" s="36" t="s">
        <v>485</v>
      </c>
      <c r="C24" s="35" t="s">
        <v>468</v>
      </c>
      <c r="D24" s="39">
        <v>25</v>
      </c>
      <c r="E24" s="39">
        <v>5</v>
      </c>
      <c r="F24" s="12">
        <f t="shared" si="0"/>
        <v>-20</v>
      </c>
      <c r="G24" s="15">
        <f t="shared" si="1"/>
        <v>0.2</v>
      </c>
    </row>
    <row r="25" spans="1:7" x14ac:dyDescent="0.35">
      <c r="A25" s="12">
        <v>20</v>
      </c>
      <c r="B25" s="36" t="s">
        <v>486</v>
      </c>
      <c r="C25" s="35" t="s">
        <v>468</v>
      </c>
      <c r="D25" s="39">
        <v>25</v>
      </c>
      <c r="E25" s="39">
        <v>2</v>
      </c>
      <c r="F25" s="12">
        <f t="shared" si="0"/>
        <v>-23</v>
      </c>
      <c r="G25" s="15">
        <f t="shared" si="1"/>
        <v>0.08</v>
      </c>
    </row>
    <row r="26" spans="1:7" x14ac:dyDescent="0.35">
      <c r="A26" s="12">
        <v>21</v>
      </c>
      <c r="B26" s="36" t="s">
        <v>487</v>
      </c>
      <c r="C26" s="35" t="s">
        <v>468</v>
      </c>
      <c r="D26" s="39">
        <v>25</v>
      </c>
      <c r="E26" s="39">
        <v>1</v>
      </c>
      <c r="F26" s="12">
        <f t="shared" si="0"/>
        <v>-24</v>
      </c>
      <c r="G26" s="15">
        <f t="shared" si="1"/>
        <v>0.04</v>
      </c>
    </row>
    <row r="27" spans="1:7" x14ac:dyDescent="0.35">
      <c r="A27" s="12"/>
      <c r="B27" s="12"/>
      <c r="C27" s="12"/>
      <c r="D27" s="39">
        <v>530</v>
      </c>
      <c r="E27" s="12">
        <f>SUM(E6:E26)</f>
        <v>230</v>
      </c>
      <c r="F27" s="12">
        <f t="shared" si="0"/>
        <v>-300</v>
      </c>
      <c r="G27" s="15">
        <f t="shared" si="1"/>
        <v>0.43396226415094341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4B95-F940-4B13-8019-379F4B2E5BCA}">
  <dimension ref="A1:G12"/>
  <sheetViews>
    <sheetView workbookViewId="0">
      <selection activeCell="B1" sqref="B1:B2"/>
    </sheetView>
  </sheetViews>
  <sheetFormatPr defaultRowHeight="14.5" x14ac:dyDescent="0.35"/>
  <cols>
    <col min="1" max="1" width="5.453125" customWidth="1"/>
    <col min="2" max="2" width="30.54296875" customWidth="1"/>
  </cols>
  <sheetData>
    <row r="1" spans="1:7" x14ac:dyDescent="0.35">
      <c r="B1" s="149" t="s">
        <v>686</v>
      </c>
    </row>
    <row r="2" spans="1:7" x14ac:dyDescent="0.35">
      <c r="B2" s="149" t="s">
        <v>688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82">
        <v>1</v>
      </c>
      <c r="B6" s="71" t="s">
        <v>492</v>
      </c>
      <c r="C6" s="150" t="s">
        <v>68</v>
      </c>
      <c r="D6" s="77">
        <v>35</v>
      </c>
      <c r="E6" s="77">
        <v>0</v>
      </c>
      <c r="F6" s="77">
        <f>E6-D6</f>
        <v>-35</v>
      </c>
      <c r="G6" s="78">
        <f>E6/D6*100%</f>
        <v>0</v>
      </c>
    </row>
    <row r="7" spans="1:7" x14ac:dyDescent="0.35">
      <c r="A7" s="29">
        <v>2</v>
      </c>
      <c r="B7" s="71" t="s">
        <v>488</v>
      </c>
      <c r="C7" s="98" t="s">
        <v>70</v>
      </c>
      <c r="D7" s="72">
        <v>25</v>
      </c>
      <c r="E7" s="79">
        <v>0</v>
      </c>
      <c r="F7" s="77">
        <f t="shared" ref="F7:F11" si="0">E7-D7</f>
        <v>-25</v>
      </c>
      <c r="G7" s="78">
        <f t="shared" ref="G7:G11" si="1">E7/D7*100%</f>
        <v>0</v>
      </c>
    </row>
    <row r="8" spans="1:7" x14ac:dyDescent="0.35">
      <c r="A8" s="82">
        <v>3</v>
      </c>
      <c r="B8" s="71" t="s">
        <v>489</v>
      </c>
      <c r="C8" s="98" t="s">
        <v>70</v>
      </c>
      <c r="D8" s="72">
        <v>25</v>
      </c>
      <c r="E8" s="79">
        <v>6</v>
      </c>
      <c r="F8" s="77">
        <f t="shared" si="0"/>
        <v>-19</v>
      </c>
      <c r="G8" s="78">
        <f t="shared" si="1"/>
        <v>0.24</v>
      </c>
    </row>
    <row r="9" spans="1:7" x14ac:dyDescent="0.35">
      <c r="A9" s="29">
        <v>4</v>
      </c>
      <c r="B9" s="74" t="s">
        <v>490</v>
      </c>
      <c r="C9" s="98" t="s">
        <v>70</v>
      </c>
      <c r="D9" s="72">
        <v>25</v>
      </c>
      <c r="E9" s="79">
        <v>36</v>
      </c>
      <c r="F9" s="77">
        <f t="shared" si="0"/>
        <v>11</v>
      </c>
      <c r="G9" s="78">
        <f t="shared" si="1"/>
        <v>1.44</v>
      </c>
    </row>
    <row r="10" spans="1:7" x14ac:dyDescent="0.35">
      <c r="A10" s="82">
        <v>5</v>
      </c>
      <c r="B10" s="75" t="s">
        <v>491</v>
      </c>
      <c r="C10" s="98" t="s">
        <v>70</v>
      </c>
      <c r="D10" s="72">
        <v>25</v>
      </c>
      <c r="E10" s="76"/>
      <c r="F10" s="77">
        <f t="shared" si="0"/>
        <v>-25</v>
      </c>
      <c r="G10" s="78">
        <f t="shared" si="1"/>
        <v>0</v>
      </c>
    </row>
    <row r="11" spans="1:7" x14ac:dyDescent="0.35">
      <c r="A11" s="12"/>
      <c r="B11" s="71" t="s">
        <v>55</v>
      </c>
      <c r="C11" s="12"/>
      <c r="D11" s="72">
        <v>150</v>
      </c>
      <c r="E11" s="80">
        <f>SUM(E6:E10)</f>
        <v>42</v>
      </c>
      <c r="F11" s="77">
        <f t="shared" si="0"/>
        <v>-108</v>
      </c>
      <c r="G11" s="78">
        <f t="shared" si="1"/>
        <v>0.28000000000000003</v>
      </c>
    </row>
    <row r="12" spans="1:7" x14ac:dyDescent="0.35">
      <c r="D12" s="81"/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CFF5-458F-49E1-B4A9-D9E239C91D36}">
  <dimension ref="A1:G18"/>
  <sheetViews>
    <sheetView workbookViewId="0">
      <selection activeCell="B1" sqref="B1:B2"/>
    </sheetView>
  </sheetViews>
  <sheetFormatPr defaultRowHeight="14.5" x14ac:dyDescent="0.35"/>
  <cols>
    <col min="1" max="1" width="4.54296875" customWidth="1"/>
    <col min="2" max="2" width="30.54296875" customWidth="1"/>
    <col min="7" max="7" width="8.7265625" style="10"/>
  </cols>
  <sheetData>
    <row r="1" spans="1:7" x14ac:dyDescent="0.35">
      <c r="B1" s="149" t="s">
        <v>686</v>
      </c>
    </row>
    <row r="2" spans="1:7" x14ac:dyDescent="0.35">
      <c r="B2" s="149" t="s">
        <v>688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71" t="s">
        <v>493</v>
      </c>
      <c r="C6" s="12" t="s">
        <v>68</v>
      </c>
      <c r="D6" s="12">
        <v>35</v>
      </c>
      <c r="E6" s="98">
        <v>0</v>
      </c>
      <c r="F6" s="12">
        <f>E6-D6</f>
        <v>-35</v>
      </c>
      <c r="G6" s="15">
        <f>E6/D6*100%</f>
        <v>0</v>
      </c>
    </row>
    <row r="7" spans="1:7" x14ac:dyDescent="0.35">
      <c r="A7" s="12">
        <v>2</v>
      </c>
      <c r="B7" s="71" t="s">
        <v>494</v>
      </c>
      <c r="C7" s="12" t="s">
        <v>70</v>
      </c>
      <c r="D7" s="12">
        <v>25</v>
      </c>
      <c r="E7" s="73">
        <v>28</v>
      </c>
      <c r="F7" s="12">
        <f t="shared" ref="F7:F18" si="0">E7-D7</f>
        <v>3</v>
      </c>
      <c r="G7" s="15">
        <f t="shared" ref="G7:G18" si="1">E7/D7*100%</f>
        <v>1.1200000000000001</v>
      </c>
    </row>
    <row r="8" spans="1:7" x14ac:dyDescent="0.35">
      <c r="A8" s="12">
        <v>3</v>
      </c>
      <c r="B8" s="71" t="s">
        <v>495</v>
      </c>
      <c r="C8" s="12" t="s">
        <v>70</v>
      </c>
      <c r="D8" s="12">
        <v>25</v>
      </c>
      <c r="E8" s="73">
        <v>44</v>
      </c>
      <c r="F8" s="12">
        <f t="shared" si="0"/>
        <v>19</v>
      </c>
      <c r="G8" s="15">
        <f t="shared" si="1"/>
        <v>1.76</v>
      </c>
    </row>
    <row r="9" spans="1:7" x14ac:dyDescent="0.35">
      <c r="A9" s="12">
        <v>4</v>
      </c>
      <c r="B9" s="71" t="s">
        <v>496</v>
      </c>
      <c r="C9" s="12" t="s">
        <v>70</v>
      </c>
      <c r="D9" s="12">
        <v>25</v>
      </c>
      <c r="E9" s="73">
        <v>26</v>
      </c>
      <c r="F9" s="12">
        <f t="shared" si="0"/>
        <v>1</v>
      </c>
      <c r="G9" s="15">
        <f t="shared" si="1"/>
        <v>1.04</v>
      </c>
    </row>
    <row r="10" spans="1:7" x14ac:dyDescent="0.35">
      <c r="A10" s="12">
        <v>5</v>
      </c>
      <c r="B10" s="71" t="s">
        <v>497</v>
      </c>
      <c r="C10" s="12" t="s">
        <v>70</v>
      </c>
      <c r="D10" s="12">
        <v>25</v>
      </c>
      <c r="E10" s="73">
        <v>8</v>
      </c>
      <c r="F10" s="12">
        <f t="shared" si="0"/>
        <v>-17</v>
      </c>
      <c r="G10" s="15">
        <f t="shared" si="1"/>
        <v>0.32</v>
      </c>
    </row>
    <row r="11" spans="1:7" x14ac:dyDescent="0.35">
      <c r="A11" s="12">
        <v>6</v>
      </c>
      <c r="B11" s="71" t="s">
        <v>498</v>
      </c>
      <c r="C11" s="12" t="s">
        <v>70</v>
      </c>
      <c r="D11" s="12">
        <v>25</v>
      </c>
      <c r="E11" s="73">
        <v>7</v>
      </c>
      <c r="F11" s="12">
        <f t="shared" si="0"/>
        <v>-18</v>
      </c>
      <c r="G11" s="15">
        <f t="shared" si="1"/>
        <v>0.28000000000000003</v>
      </c>
    </row>
    <row r="12" spans="1:7" x14ac:dyDescent="0.35">
      <c r="A12" s="12">
        <v>7</v>
      </c>
      <c r="B12" s="71" t="s">
        <v>499</v>
      </c>
      <c r="C12" s="12" t="s">
        <v>68</v>
      </c>
      <c r="D12" s="12">
        <v>35</v>
      </c>
      <c r="E12" s="73">
        <v>0</v>
      </c>
      <c r="F12" s="12">
        <f t="shared" si="0"/>
        <v>-35</v>
      </c>
      <c r="G12" s="15">
        <f t="shared" si="1"/>
        <v>0</v>
      </c>
    </row>
    <row r="13" spans="1:7" x14ac:dyDescent="0.35">
      <c r="A13" s="12">
        <v>8</v>
      </c>
      <c r="B13" s="71" t="s">
        <v>500</v>
      </c>
      <c r="C13" s="12" t="s">
        <v>70</v>
      </c>
      <c r="D13" s="12">
        <v>25</v>
      </c>
      <c r="E13" s="73">
        <v>27</v>
      </c>
      <c r="F13" s="12">
        <f t="shared" si="0"/>
        <v>2</v>
      </c>
      <c r="G13" s="15">
        <f t="shared" si="1"/>
        <v>1.08</v>
      </c>
    </row>
    <row r="14" spans="1:7" x14ac:dyDescent="0.35">
      <c r="A14" s="12">
        <v>9</v>
      </c>
      <c r="B14" s="71" t="s">
        <v>501</v>
      </c>
      <c r="C14" s="12" t="s">
        <v>70</v>
      </c>
      <c r="D14" s="12">
        <v>25</v>
      </c>
      <c r="E14" s="73">
        <v>17</v>
      </c>
      <c r="F14" s="12">
        <f t="shared" si="0"/>
        <v>-8</v>
      </c>
      <c r="G14" s="15">
        <f t="shared" si="1"/>
        <v>0.68</v>
      </c>
    </row>
    <row r="15" spans="1:7" x14ac:dyDescent="0.35">
      <c r="A15" s="12">
        <v>10</v>
      </c>
      <c r="B15" s="71" t="s">
        <v>502</v>
      </c>
      <c r="C15" s="12" t="s">
        <v>70</v>
      </c>
      <c r="D15" s="12">
        <v>25</v>
      </c>
      <c r="E15" s="73">
        <v>0</v>
      </c>
      <c r="F15" s="12">
        <f t="shared" si="0"/>
        <v>-25</v>
      </c>
      <c r="G15" s="15">
        <f t="shared" si="1"/>
        <v>0</v>
      </c>
    </row>
    <row r="16" spans="1:7" x14ac:dyDescent="0.35">
      <c r="A16" s="12">
        <v>11</v>
      </c>
      <c r="B16" s="71" t="s">
        <v>503</v>
      </c>
      <c r="C16" s="12" t="s">
        <v>70</v>
      </c>
      <c r="D16" s="12">
        <v>25</v>
      </c>
      <c r="E16" s="73">
        <v>0</v>
      </c>
      <c r="F16" s="12">
        <f t="shared" si="0"/>
        <v>-25</v>
      </c>
      <c r="G16" s="15">
        <f t="shared" si="1"/>
        <v>0</v>
      </c>
    </row>
    <row r="17" spans="1:7" x14ac:dyDescent="0.35">
      <c r="A17" s="12">
        <v>12</v>
      </c>
      <c r="B17" s="71" t="s">
        <v>504</v>
      </c>
      <c r="C17" s="12" t="s">
        <v>70</v>
      </c>
      <c r="D17" s="12">
        <v>25</v>
      </c>
      <c r="E17" s="73">
        <v>0</v>
      </c>
      <c r="F17" s="12">
        <f t="shared" si="0"/>
        <v>-25</v>
      </c>
      <c r="G17" s="15">
        <f t="shared" si="1"/>
        <v>0</v>
      </c>
    </row>
    <row r="18" spans="1:7" x14ac:dyDescent="0.35">
      <c r="A18" s="12"/>
      <c r="B18" s="12" t="s">
        <v>55</v>
      </c>
      <c r="C18" s="12"/>
      <c r="D18" s="12">
        <v>300</v>
      </c>
      <c r="E18" s="12">
        <f>SUM(E6:E17)</f>
        <v>157</v>
      </c>
      <c r="F18" s="12">
        <f t="shared" si="0"/>
        <v>-143</v>
      </c>
      <c r="G18" s="15">
        <f t="shared" si="1"/>
        <v>0.52333333333333332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F50B-B156-4A0F-8556-68827EE92864}">
  <dimension ref="A1:G28"/>
  <sheetViews>
    <sheetView workbookViewId="0">
      <selection activeCell="I5" sqref="I5"/>
    </sheetView>
  </sheetViews>
  <sheetFormatPr defaultRowHeight="14.5" x14ac:dyDescent="0.35"/>
  <cols>
    <col min="1" max="1" width="3.7265625" customWidth="1"/>
    <col min="2" max="2" width="31.54296875" customWidth="1"/>
    <col min="7" max="7" width="8.7265625" style="10"/>
  </cols>
  <sheetData>
    <row r="1" spans="1:7" x14ac:dyDescent="0.35">
      <c r="B1" s="149" t="s">
        <v>686</v>
      </c>
    </row>
    <row r="2" spans="1:7" x14ac:dyDescent="0.35">
      <c r="B2" s="149" t="s">
        <v>689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28">
        <v>1</v>
      </c>
      <c r="B6" s="86" t="s">
        <v>505</v>
      </c>
      <c r="C6" s="83" t="s">
        <v>68</v>
      </c>
      <c r="D6" s="83">
        <v>35</v>
      </c>
      <c r="E6" s="83">
        <v>0</v>
      </c>
      <c r="F6" s="28">
        <f>E6-D6</f>
        <v>-35</v>
      </c>
      <c r="G6" s="38">
        <f>E6/D6*100%</f>
        <v>0</v>
      </c>
    </row>
    <row r="7" spans="1:7" x14ac:dyDescent="0.35">
      <c r="A7" s="28">
        <v>2</v>
      </c>
      <c r="B7" s="86" t="s">
        <v>506</v>
      </c>
      <c r="C7" s="83" t="s">
        <v>468</v>
      </c>
      <c r="D7" s="83">
        <v>25</v>
      </c>
      <c r="E7" s="83">
        <v>31</v>
      </c>
      <c r="F7" s="28">
        <f t="shared" ref="F7:F28" si="0">E7-D7</f>
        <v>6</v>
      </c>
      <c r="G7" s="38">
        <f t="shared" ref="G7:G28" si="1">E7/D7*100%</f>
        <v>1.24</v>
      </c>
    </row>
    <row r="8" spans="1:7" x14ac:dyDescent="0.35">
      <c r="A8" s="28">
        <v>3</v>
      </c>
      <c r="B8" s="86" t="s">
        <v>507</v>
      </c>
      <c r="C8" s="83" t="s">
        <v>468</v>
      </c>
      <c r="D8" s="83">
        <v>25</v>
      </c>
      <c r="E8" s="83">
        <v>84</v>
      </c>
      <c r="F8" s="28">
        <f t="shared" si="0"/>
        <v>59</v>
      </c>
      <c r="G8" s="38">
        <f t="shared" si="1"/>
        <v>3.36</v>
      </c>
    </row>
    <row r="9" spans="1:7" x14ac:dyDescent="0.35">
      <c r="A9" s="28">
        <v>4</v>
      </c>
      <c r="B9" s="89" t="s">
        <v>508</v>
      </c>
      <c r="C9" s="84" t="s">
        <v>468</v>
      </c>
      <c r="D9" s="84">
        <v>25</v>
      </c>
      <c r="E9" s="84">
        <v>19</v>
      </c>
      <c r="F9" s="28">
        <f t="shared" si="0"/>
        <v>-6</v>
      </c>
      <c r="G9" s="38">
        <f t="shared" si="1"/>
        <v>0.76</v>
      </c>
    </row>
    <row r="10" spans="1:7" x14ac:dyDescent="0.35">
      <c r="A10" s="28">
        <v>5</v>
      </c>
      <c r="B10" s="87" t="s">
        <v>509</v>
      </c>
      <c r="C10" s="85" t="s">
        <v>468</v>
      </c>
      <c r="D10" s="85">
        <v>25</v>
      </c>
      <c r="E10" s="85">
        <v>9</v>
      </c>
      <c r="F10" s="28">
        <f t="shared" si="0"/>
        <v>-16</v>
      </c>
      <c r="G10" s="38">
        <f t="shared" si="1"/>
        <v>0.36</v>
      </c>
    </row>
    <row r="11" spans="1:7" x14ac:dyDescent="0.35">
      <c r="A11" s="28">
        <v>6</v>
      </c>
      <c r="B11" s="87" t="s">
        <v>510</v>
      </c>
      <c r="C11" s="85" t="s">
        <v>468</v>
      </c>
      <c r="D11" s="85">
        <v>25</v>
      </c>
      <c r="E11" s="85">
        <v>2</v>
      </c>
      <c r="F11" s="28">
        <f t="shared" si="0"/>
        <v>-23</v>
      </c>
      <c r="G11" s="38">
        <f t="shared" si="1"/>
        <v>0.08</v>
      </c>
    </row>
    <row r="12" spans="1:7" x14ac:dyDescent="0.35">
      <c r="A12" s="28">
        <v>7</v>
      </c>
      <c r="B12" s="87" t="s">
        <v>511</v>
      </c>
      <c r="C12" s="85" t="s">
        <v>468</v>
      </c>
      <c r="D12" s="85">
        <v>25</v>
      </c>
      <c r="E12" s="85">
        <v>2</v>
      </c>
      <c r="F12" s="28">
        <f t="shared" si="0"/>
        <v>-23</v>
      </c>
      <c r="G12" s="38">
        <f t="shared" si="1"/>
        <v>0.08</v>
      </c>
    </row>
    <row r="13" spans="1:7" x14ac:dyDescent="0.35">
      <c r="A13" s="28">
        <v>8</v>
      </c>
      <c r="B13" s="86" t="s">
        <v>512</v>
      </c>
      <c r="C13" s="83" t="s">
        <v>68</v>
      </c>
      <c r="D13" s="83">
        <v>25</v>
      </c>
      <c r="E13" s="83">
        <v>0</v>
      </c>
      <c r="F13" s="28">
        <f t="shared" si="0"/>
        <v>-25</v>
      </c>
      <c r="G13" s="38">
        <f t="shared" si="1"/>
        <v>0</v>
      </c>
    </row>
    <row r="14" spans="1:7" x14ac:dyDescent="0.35">
      <c r="A14" s="28">
        <v>9</v>
      </c>
      <c r="B14" s="86" t="s">
        <v>513</v>
      </c>
      <c r="C14" s="83" t="s">
        <v>468</v>
      </c>
      <c r="D14" s="83">
        <v>25</v>
      </c>
      <c r="E14" s="83">
        <v>64</v>
      </c>
      <c r="F14" s="28">
        <f t="shared" si="0"/>
        <v>39</v>
      </c>
      <c r="G14" s="38">
        <f t="shared" si="1"/>
        <v>2.56</v>
      </c>
    </row>
    <row r="15" spans="1:7" x14ac:dyDescent="0.35">
      <c r="A15" s="28">
        <v>10</v>
      </c>
      <c r="B15" s="86" t="s">
        <v>514</v>
      </c>
      <c r="C15" s="83" t="s">
        <v>468</v>
      </c>
      <c r="D15" s="83">
        <v>25</v>
      </c>
      <c r="E15" s="83">
        <v>25</v>
      </c>
      <c r="F15" s="28">
        <f t="shared" si="0"/>
        <v>0</v>
      </c>
      <c r="G15" s="38">
        <f t="shared" si="1"/>
        <v>1</v>
      </c>
    </row>
    <row r="16" spans="1:7" x14ac:dyDescent="0.35">
      <c r="A16" s="28">
        <v>11</v>
      </c>
      <c r="B16" s="87" t="s">
        <v>515</v>
      </c>
      <c r="C16" s="85" t="s">
        <v>468</v>
      </c>
      <c r="D16" s="85">
        <v>25</v>
      </c>
      <c r="E16" s="85">
        <v>18</v>
      </c>
      <c r="F16" s="28">
        <f t="shared" si="0"/>
        <v>-7</v>
      </c>
      <c r="G16" s="38">
        <f t="shared" si="1"/>
        <v>0.72</v>
      </c>
    </row>
    <row r="17" spans="1:7" x14ac:dyDescent="0.35">
      <c r="A17" s="28">
        <v>12</v>
      </c>
      <c r="B17" s="86" t="s">
        <v>516</v>
      </c>
      <c r="C17" s="83" t="s">
        <v>468</v>
      </c>
      <c r="D17" s="83">
        <v>25</v>
      </c>
      <c r="E17" s="83">
        <v>21</v>
      </c>
      <c r="F17" s="28">
        <f t="shared" si="0"/>
        <v>-4</v>
      </c>
      <c r="G17" s="38">
        <f t="shared" si="1"/>
        <v>0.84</v>
      </c>
    </row>
    <row r="18" spans="1:7" x14ac:dyDescent="0.35">
      <c r="A18" s="28">
        <v>13</v>
      </c>
      <c r="B18" s="88" t="s">
        <v>517</v>
      </c>
      <c r="C18" s="85" t="s">
        <v>468</v>
      </c>
      <c r="D18" s="85">
        <v>25</v>
      </c>
      <c r="E18" s="85">
        <v>2</v>
      </c>
      <c r="F18" s="28">
        <f t="shared" si="0"/>
        <v>-23</v>
      </c>
      <c r="G18" s="38">
        <f t="shared" si="1"/>
        <v>0.08</v>
      </c>
    </row>
    <row r="19" spans="1:7" x14ac:dyDescent="0.35">
      <c r="A19" s="28">
        <v>14</v>
      </c>
      <c r="B19" s="86" t="s">
        <v>518</v>
      </c>
      <c r="C19" s="83" t="s">
        <v>68</v>
      </c>
      <c r="D19" s="83">
        <v>35</v>
      </c>
      <c r="E19" s="83">
        <v>0</v>
      </c>
      <c r="F19" s="28">
        <f t="shared" si="0"/>
        <v>-35</v>
      </c>
      <c r="G19" s="38">
        <f t="shared" si="1"/>
        <v>0</v>
      </c>
    </row>
    <row r="20" spans="1:7" x14ac:dyDescent="0.35">
      <c r="A20" s="28">
        <v>15</v>
      </c>
      <c r="B20" s="86" t="s">
        <v>519</v>
      </c>
      <c r="C20" s="83" t="s">
        <v>468</v>
      </c>
      <c r="D20" s="83">
        <v>25</v>
      </c>
      <c r="E20" s="83">
        <v>28</v>
      </c>
      <c r="F20" s="28">
        <f t="shared" si="0"/>
        <v>3</v>
      </c>
      <c r="G20" s="38">
        <f t="shared" si="1"/>
        <v>1.1200000000000001</v>
      </c>
    </row>
    <row r="21" spans="1:7" x14ac:dyDescent="0.35">
      <c r="A21" s="28">
        <v>16</v>
      </c>
      <c r="B21" s="86" t="s">
        <v>520</v>
      </c>
      <c r="C21" s="83" t="s">
        <v>468</v>
      </c>
      <c r="D21" s="83">
        <v>25</v>
      </c>
      <c r="E21" s="83">
        <v>51</v>
      </c>
      <c r="F21" s="28">
        <f t="shared" si="0"/>
        <v>26</v>
      </c>
      <c r="G21" s="38">
        <f t="shared" si="1"/>
        <v>2.04</v>
      </c>
    </row>
    <row r="22" spans="1:7" x14ac:dyDescent="0.35">
      <c r="A22" s="28">
        <v>17</v>
      </c>
      <c r="B22" s="87" t="s">
        <v>521</v>
      </c>
      <c r="C22" s="85" t="s">
        <v>468</v>
      </c>
      <c r="D22" s="85">
        <v>25</v>
      </c>
      <c r="E22" s="85">
        <v>7</v>
      </c>
      <c r="F22" s="28">
        <f t="shared" si="0"/>
        <v>-18</v>
      </c>
      <c r="G22" s="38">
        <f t="shared" si="1"/>
        <v>0.28000000000000003</v>
      </c>
    </row>
    <row r="23" spans="1:7" x14ac:dyDescent="0.35">
      <c r="A23" s="28">
        <v>18</v>
      </c>
      <c r="B23" s="86" t="s">
        <v>522</v>
      </c>
      <c r="C23" s="83" t="s">
        <v>468</v>
      </c>
      <c r="D23" s="83">
        <v>25</v>
      </c>
      <c r="E23" s="83">
        <v>29</v>
      </c>
      <c r="F23" s="28">
        <f t="shared" si="0"/>
        <v>4</v>
      </c>
      <c r="G23" s="38">
        <f t="shared" si="1"/>
        <v>1.1599999999999999</v>
      </c>
    </row>
    <row r="24" spans="1:7" x14ac:dyDescent="0.35">
      <c r="A24" s="28">
        <v>19</v>
      </c>
      <c r="B24" s="88" t="s">
        <v>523</v>
      </c>
      <c r="C24" s="85" t="s">
        <v>468</v>
      </c>
      <c r="D24" s="85">
        <v>25</v>
      </c>
      <c r="E24" s="85">
        <v>7</v>
      </c>
      <c r="F24" s="28">
        <f t="shared" si="0"/>
        <v>-18</v>
      </c>
      <c r="G24" s="38">
        <f t="shared" si="1"/>
        <v>0.28000000000000003</v>
      </c>
    </row>
    <row r="25" spans="1:7" x14ac:dyDescent="0.35">
      <c r="A25" s="28">
        <v>20</v>
      </c>
      <c r="B25" s="124" t="s">
        <v>667</v>
      </c>
      <c r="C25" s="125" t="s">
        <v>68</v>
      </c>
      <c r="D25" s="125">
        <v>25</v>
      </c>
      <c r="E25" s="125">
        <v>6</v>
      </c>
      <c r="F25" s="28">
        <f t="shared" si="0"/>
        <v>-19</v>
      </c>
      <c r="G25" s="38">
        <f t="shared" si="1"/>
        <v>0.24</v>
      </c>
    </row>
    <row r="26" spans="1:7" x14ac:dyDescent="0.35">
      <c r="A26" s="28">
        <v>21</v>
      </c>
      <c r="B26" s="126" t="s">
        <v>668</v>
      </c>
      <c r="C26" s="127" t="s">
        <v>468</v>
      </c>
      <c r="D26" s="128">
        <v>25</v>
      </c>
      <c r="E26" s="128">
        <v>20</v>
      </c>
      <c r="F26" s="28">
        <f t="shared" si="0"/>
        <v>-5</v>
      </c>
      <c r="G26" s="38">
        <f t="shared" si="1"/>
        <v>0.8</v>
      </c>
    </row>
    <row r="27" spans="1:7" x14ac:dyDescent="0.35">
      <c r="A27" s="28">
        <v>22</v>
      </c>
      <c r="B27" s="129" t="s">
        <v>669</v>
      </c>
      <c r="C27" s="130" t="s">
        <v>468</v>
      </c>
      <c r="D27" s="131">
        <v>25</v>
      </c>
      <c r="E27" s="131">
        <v>1</v>
      </c>
      <c r="F27" s="28">
        <f t="shared" si="0"/>
        <v>-24</v>
      </c>
      <c r="G27" s="38">
        <f t="shared" si="1"/>
        <v>0.04</v>
      </c>
    </row>
    <row r="28" spans="1:7" x14ac:dyDescent="0.35">
      <c r="A28" s="28"/>
      <c r="B28" s="28"/>
      <c r="C28" s="28"/>
      <c r="D28" s="83">
        <v>640</v>
      </c>
      <c r="E28" s="28">
        <f>SUM(E6:E27)</f>
        <v>426</v>
      </c>
      <c r="F28" s="28">
        <f t="shared" si="0"/>
        <v>-214</v>
      </c>
      <c r="G28" s="38">
        <f t="shared" si="1"/>
        <v>0.66562500000000002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C5E3-8A95-442D-8BA3-F17753F09C34}">
  <dimension ref="A1:G22"/>
  <sheetViews>
    <sheetView tabSelected="1" workbookViewId="0">
      <selection activeCell="L6" sqref="L6"/>
    </sheetView>
  </sheetViews>
  <sheetFormatPr defaultRowHeight="14.5" x14ac:dyDescent="0.35"/>
  <cols>
    <col min="1" max="1" width="5.26953125" customWidth="1"/>
    <col min="2" max="2" width="29.453125" customWidth="1"/>
    <col min="7" max="7" width="8.7265625" style="10"/>
  </cols>
  <sheetData>
    <row r="1" spans="1:7" x14ac:dyDescent="0.35">
      <c r="B1" s="149" t="s">
        <v>690</v>
      </c>
    </row>
    <row r="2" spans="1:7" x14ac:dyDescent="0.35">
      <c r="B2" s="149" t="s">
        <v>691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40" t="s">
        <v>530</v>
      </c>
      <c r="C6" s="39" t="s">
        <v>68</v>
      </c>
      <c r="D6" s="39">
        <v>35</v>
      </c>
      <c r="E6" s="95">
        <v>3</v>
      </c>
      <c r="F6" s="12">
        <f>E6-D6</f>
        <v>-32</v>
      </c>
      <c r="G6" s="15">
        <f>E6/D6*100%</f>
        <v>8.5714285714285715E-2</v>
      </c>
    </row>
    <row r="7" spans="1:7" x14ac:dyDescent="0.35">
      <c r="A7" s="12">
        <v>2</v>
      </c>
      <c r="B7" s="36" t="s">
        <v>531</v>
      </c>
      <c r="C7" s="35" t="s">
        <v>70</v>
      </c>
      <c r="D7" s="39">
        <v>25</v>
      </c>
      <c r="E7" s="95">
        <v>17</v>
      </c>
      <c r="F7" s="12">
        <f t="shared" ref="F7:F22" si="0">E7-D7</f>
        <v>-8</v>
      </c>
      <c r="G7" s="15">
        <f t="shared" ref="G7:G22" si="1">E7/D7*100%</f>
        <v>0.68</v>
      </c>
    </row>
    <row r="8" spans="1:7" x14ac:dyDescent="0.35">
      <c r="A8" s="12">
        <v>3</v>
      </c>
      <c r="B8" s="40" t="s">
        <v>532</v>
      </c>
      <c r="C8" s="35" t="s">
        <v>70</v>
      </c>
      <c r="D8" s="39">
        <v>25</v>
      </c>
      <c r="E8" s="95">
        <v>16</v>
      </c>
      <c r="F8" s="12">
        <f t="shared" si="0"/>
        <v>-9</v>
      </c>
      <c r="G8" s="15">
        <f t="shared" si="1"/>
        <v>0.64</v>
      </c>
    </row>
    <row r="9" spans="1:7" x14ac:dyDescent="0.35">
      <c r="A9" s="12">
        <v>4</v>
      </c>
      <c r="B9" s="40" t="s">
        <v>533</v>
      </c>
      <c r="C9" s="35" t="s">
        <v>70</v>
      </c>
      <c r="D9" s="39">
        <v>25</v>
      </c>
      <c r="E9" s="95">
        <v>6</v>
      </c>
      <c r="F9" s="12">
        <f t="shared" si="0"/>
        <v>-19</v>
      </c>
      <c r="G9" s="15">
        <f t="shared" si="1"/>
        <v>0.24</v>
      </c>
    </row>
    <row r="10" spans="1:7" x14ac:dyDescent="0.35">
      <c r="A10" s="12">
        <v>5</v>
      </c>
      <c r="B10" s="40" t="s">
        <v>534</v>
      </c>
      <c r="C10" s="39" t="s">
        <v>68</v>
      </c>
      <c r="D10" s="39">
        <v>35</v>
      </c>
      <c r="E10" s="95">
        <v>0</v>
      </c>
      <c r="F10" s="12">
        <f t="shared" si="0"/>
        <v>-35</v>
      </c>
      <c r="G10" s="15">
        <f t="shared" si="1"/>
        <v>0</v>
      </c>
    </row>
    <row r="11" spans="1:7" x14ac:dyDescent="0.35">
      <c r="A11" s="12">
        <v>6</v>
      </c>
      <c r="B11" s="40" t="s">
        <v>535</v>
      </c>
      <c r="C11" s="35" t="s">
        <v>70</v>
      </c>
      <c r="D11" s="35">
        <v>25</v>
      </c>
      <c r="E11" s="95">
        <v>9</v>
      </c>
      <c r="F11" s="12">
        <f t="shared" si="0"/>
        <v>-16</v>
      </c>
      <c r="G11" s="15">
        <f t="shared" si="1"/>
        <v>0.36</v>
      </c>
    </row>
    <row r="12" spans="1:7" x14ac:dyDescent="0.35">
      <c r="A12" s="12">
        <v>7</v>
      </c>
      <c r="B12" s="36" t="s">
        <v>536</v>
      </c>
      <c r="C12" s="35" t="s">
        <v>70</v>
      </c>
      <c r="D12" s="35">
        <v>25</v>
      </c>
      <c r="E12" s="95">
        <v>15</v>
      </c>
      <c r="F12" s="12">
        <f t="shared" si="0"/>
        <v>-10</v>
      </c>
      <c r="G12" s="15">
        <f t="shared" si="1"/>
        <v>0.6</v>
      </c>
    </row>
    <row r="13" spans="1:7" x14ac:dyDescent="0.35">
      <c r="A13" s="12">
        <v>8</v>
      </c>
      <c r="B13" s="36" t="s">
        <v>537</v>
      </c>
      <c r="C13" s="35" t="s">
        <v>70</v>
      </c>
      <c r="D13" s="35">
        <v>25</v>
      </c>
      <c r="E13" s="95">
        <v>18</v>
      </c>
      <c r="F13" s="12">
        <f t="shared" si="0"/>
        <v>-7</v>
      </c>
      <c r="G13" s="15">
        <f t="shared" si="1"/>
        <v>0.72</v>
      </c>
    </row>
    <row r="14" spans="1:7" x14ac:dyDescent="0.35">
      <c r="A14" s="12">
        <v>9</v>
      </c>
      <c r="B14" s="36" t="s">
        <v>538</v>
      </c>
      <c r="C14" s="35" t="s">
        <v>70</v>
      </c>
      <c r="D14" s="35">
        <v>25</v>
      </c>
      <c r="E14" s="95">
        <v>19</v>
      </c>
      <c r="F14" s="12">
        <f t="shared" si="0"/>
        <v>-6</v>
      </c>
      <c r="G14" s="15">
        <f t="shared" si="1"/>
        <v>0.76</v>
      </c>
    </row>
    <row r="15" spans="1:7" x14ac:dyDescent="0.35">
      <c r="A15" s="12">
        <v>10</v>
      </c>
      <c r="B15" s="36" t="s">
        <v>539</v>
      </c>
      <c r="C15" s="35" t="s">
        <v>70</v>
      </c>
      <c r="D15" s="35">
        <v>25</v>
      </c>
      <c r="E15" s="95">
        <v>7</v>
      </c>
      <c r="F15" s="12">
        <f t="shared" si="0"/>
        <v>-18</v>
      </c>
      <c r="G15" s="15">
        <f t="shared" si="1"/>
        <v>0.28000000000000003</v>
      </c>
    </row>
    <row r="16" spans="1:7" x14ac:dyDescent="0.35">
      <c r="A16" s="12">
        <v>11</v>
      </c>
      <c r="B16" s="36" t="s">
        <v>540</v>
      </c>
      <c r="C16" s="39" t="s">
        <v>68</v>
      </c>
      <c r="D16" s="39">
        <v>35</v>
      </c>
      <c r="E16" s="95">
        <v>9</v>
      </c>
      <c r="F16" s="12">
        <f t="shared" si="0"/>
        <v>-26</v>
      </c>
      <c r="G16" s="15">
        <f t="shared" si="1"/>
        <v>0.25714285714285712</v>
      </c>
    </row>
    <row r="17" spans="1:7" x14ac:dyDescent="0.35">
      <c r="A17" s="12">
        <v>12</v>
      </c>
      <c r="B17" s="36" t="s">
        <v>541</v>
      </c>
      <c r="C17" s="35" t="s">
        <v>70</v>
      </c>
      <c r="D17" s="35">
        <v>25</v>
      </c>
      <c r="E17" s="95">
        <v>21</v>
      </c>
      <c r="F17" s="12">
        <f t="shared" si="0"/>
        <v>-4</v>
      </c>
      <c r="G17" s="15">
        <f t="shared" si="1"/>
        <v>0.84</v>
      </c>
    </row>
    <row r="18" spans="1:7" x14ac:dyDescent="0.35">
      <c r="A18" s="12">
        <v>13</v>
      </c>
      <c r="B18" s="40" t="s">
        <v>296</v>
      </c>
      <c r="C18" s="35" t="s">
        <v>70</v>
      </c>
      <c r="D18" s="35">
        <v>25</v>
      </c>
      <c r="E18" s="95">
        <v>20</v>
      </c>
      <c r="F18" s="12">
        <f t="shared" si="0"/>
        <v>-5</v>
      </c>
      <c r="G18" s="15">
        <f t="shared" si="1"/>
        <v>0.8</v>
      </c>
    </row>
    <row r="19" spans="1:7" x14ac:dyDescent="0.35">
      <c r="A19" s="12">
        <v>14</v>
      </c>
      <c r="B19" s="36" t="s">
        <v>542</v>
      </c>
      <c r="C19" s="35" t="s">
        <v>70</v>
      </c>
      <c r="D19" s="35">
        <v>25</v>
      </c>
      <c r="E19" s="95">
        <v>33</v>
      </c>
      <c r="F19" s="12">
        <f t="shared" si="0"/>
        <v>8</v>
      </c>
      <c r="G19" s="15">
        <f t="shared" si="1"/>
        <v>1.32</v>
      </c>
    </row>
    <row r="20" spans="1:7" x14ac:dyDescent="0.35">
      <c r="A20" s="12">
        <v>15</v>
      </c>
      <c r="B20" s="36" t="s">
        <v>543</v>
      </c>
      <c r="C20" s="35" t="s">
        <v>70</v>
      </c>
      <c r="D20" s="35">
        <v>25</v>
      </c>
      <c r="E20" s="95">
        <v>22</v>
      </c>
      <c r="F20" s="12">
        <f t="shared" si="0"/>
        <v>-3</v>
      </c>
      <c r="G20" s="15">
        <f t="shared" si="1"/>
        <v>0.88</v>
      </c>
    </row>
    <row r="21" spans="1:7" x14ac:dyDescent="0.35">
      <c r="A21" s="12">
        <v>16</v>
      </c>
      <c r="B21" s="36" t="s">
        <v>544</v>
      </c>
      <c r="C21" s="35" t="s">
        <v>70</v>
      </c>
      <c r="D21" s="35">
        <v>25</v>
      </c>
      <c r="E21" s="95">
        <v>3</v>
      </c>
      <c r="F21" s="12">
        <f t="shared" si="0"/>
        <v>-22</v>
      </c>
      <c r="G21" s="15">
        <f t="shared" si="1"/>
        <v>0.12</v>
      </c>
    </row>
    <row r="22" spans="1:7" x14ac:dyDescent="0.35">
      <c r="A22" s="12"/>
      <c r="B22" s="12" t="s">
        <v>55</v>
      </c>
      <c r="C22" s="12"/>
      <c r="D22" s="35">
        <v>450</v>
      </c>
      <c r="E22" s="12">
        <f>SUM(E6:E21)</f>
        <v>218</v>
      </c>
      <c r="F22" s="12">
        <f t="shared" si="0"/>
        <v>-232</v>
      </c>
      <c r="G22" s="15">
        <f t="shared" si="1"/>
        <v>0.48444444444444446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862C-34EB-488E-AFF2-3E0E65C7020E}">
  <dimension ref="A1:G18"/>
  <sheetViews>
    <sheetView topLeftCell="A19" workbookViewId="0">
      <selection activeCell="D1" sqref="D1"/>
    </sheetView>
  </sheetViews>
  <sheetFormatPr defaultRowHeight="14.5" x14ac:dyDescent="0.35"/>
  <cols>
    <col min="1" max="1" width="5.90625" customWidth="1"/>
    <col min="2" max="2" width="33.6328125" customWidth="1"/>
    <col min="7" max="7" width="8.7265625" style="10"/>
  </cols>
  <sheetData>
    <row r="1" spans="1:7" x14ac:dyDescent="0.35">
      <c r="B1" s="149" t="s">
        <v>690</v>
      </c>
    </row>
    <row r="2" spans="1:7" x14ac:dyDescent="0.35">
      <c r="B2" s="149" t="s">
        <v>692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37"/>
      <c r="B5" s="138"/>
      <c r="C5" s="142"/>
      <c r="D5" s="142"/>
      <c r="E5" s="142"/>
      <c r="F5" s="142"/>
      <c r="G5" s="144"/>
    </row>
    <row r="6" spans="1:7" x14ac:dyDescent="0.35">
      <c r="A6" s="12">
        <v>1</v>
      </c>
      <c r="B6" s="96" t="s">
        <v>599</v>
      </c>
      <c r="C6" s="31" t="s">
        <v>68</v>
      </c>
      <c r="D6" s="31">
        <v>25</v>
      </c>
      <c r="E6" s="97">
        <v>0</v>
      </c>
      <c r="F6" s="98">
        <f>E6-D6</f>
        <v>-25</v>
      </c>
      <c r="G6" s="99">
        <f>E6/D6*100%</f>
        <v>0</v>
      </c>
    </row>
    <row r="7" spans="1:7" x14ac:dyDescent="0.35">
      <c r="A7" s="12">
        <v>2</v>
      </c>
      <c r="B7" s="12" t="s">
        <v>600</v>
      </c>
      <c r="C7" s="33" t="s">
        <v>70</v>
      </c>
      <c r="D7" s="31">
        <v>25</v>
      </c>
      <c r="E7" s="97">
        <v>35</v>
      </c>
      <c r="F7" s="98">
        <f t="shared" ref="F7:F18" si="0">E7-D7</f>
        <v>10</v>
      </c>
      <c r="G7" s="99">
        <f t="shared" ref="G7:G18" si="1">E7/D7*100%</f>
        <v>1.4</v>
      </c>
    </row>
    <row r="8" spans="1:7" x14ac:dyDescent="0.35">
      <c r="A8" s="12">
        <v>3</v>
      </c>
      <c r="B8" s="12" t="s">
        <v>601</v>
      </c>
      <c r="C8" s="33" t="s">
        <v>70</v>
      </c>
      <c r="D8" s="31">
        <v>25</v>
      </c>
      <c r="E8" s="97">
        <v>32</v>
      </c>
      <c r="F8" s="98">
        <f t="shared" si="0"/>
        <v>7</v>
      </c>
      <c r="G8" s="99">
        <f t="shared" si="1"/>
        <v>1.28</v>
      </c>
    </row>
    <row r="9" spans="1:7" x14ac:dyDescent="0.35">
      <c r="A9" s="12">
        <v>4</v>
      </c>
      <c r="B9" s="12" t="s">
        <v>602</v>
      </c>
      <c r="C9" s="33" t="s">
        <v>70</v>
      </c>
      <c r="D9" s="31">
        <v>25</v>
      </c>
      <c r="E9" s="97">
        <v>40</v>
      </c>
      <c r="F9" s="98">
        <f t="shared" si="0"/>
        <v>15</v>
      </c>
      <c r="G9" s="99">
        <f t="shared" si="1"/>
        <v>1.6</v>
      </c>
    </row>
    <row r="10" spans="1:7" x14ac:dyDescent="0.35">
      <c r="A10" s="12">
        <v>5</v>
      </c>
      <c r="B10" s="12" t="s">
        <v>603</v>
      </c>
      <c r="C10" s="33" t="s">
        <v>70</v>
      </c>
      <c r="D10" s="31">
        <v>25</v>
      </c>
      <c r="E10" s="97">
        <v>26</v>
      </c>
      <c r="F10" s="98">
        <f t="shared" si="0"/>
        <v>1</v>
      </c>
      <c r="G10" s="99">
        <f t="shared" si="1"/>
        <v>1.04</v>
      </c>
    </row>
    <row r="11" spans="1:7" x14ac:dyDescent="0.35">
      <c r="A11" s="12">
        <v>6</v>
      </c>
      <c r="B11" s="12" t="s">
        <v>604</v>
      </c>
      <c r="C11" s="33" t="s">
        <v>70</v>
      </c>
      <c r="D11" s="31">
        <v>25</v>
      </c>
      <c r="E11" s="97">
        <v>18</v>
      </c>
      <c r="F11" s="98">
        <f t="shared" si="0"/>
        <v>-7</v>
      </c>
      <c r="G11" s="99">
        <f t="shared" si="1"/>
        <v>0.72</v>
      </c>
    </row>
    <row r="12" spans="1:7" x14ac:dyDescent="0.35">
      <c r="A12" s="12">
        <v>7</v>
      </c>
      <c r="B12" s="96" t="s">
        <v>605</v>
      </c>
      <c r="C12" s="31" t="s">
        <v>68</v>
      </c>
      <c r="D12" s="31">
        <v>25</v>
      </c>
      <c r="E12" s="97">
        <v>0</v>
      </c>
      <c r="F12" s="98">
        <f t="shared" si="0"/>
        <v>-25</v>
      </c>
      <c r="G12" s="99">
        <f t="shared" si="1"/>
        <v>0</v>
      </c>
    </row>
    <row r="13" spans="1:7" x14ac:dyDescent="0.35">
      <c r="A13" s="12">
        <v>8</v>
      </c>
      <c r="B13" s="12" t="s">
        <v>606</v>
      </c>
      <c r="C13" s="33" t="s">
        <v>70</v>
      </c>
      <c r="D13" s="31">
        <v>25</v>
      </c>
      <c r="E13" s="97">
        <v>31</v>
      </c>
      <c r="F13" s="98">
        <f t="shared" si="0"/>
        <v>6</v>
      </c>
      <c r="G13" s="99">
        <f t="shared" si="1"/>
        <v>1.24</v>
      </c>
    </row>
    <row r="14" spans="1:7" x14ac:dyDescent="0.35">
      <c r="A14" s="12">
        <v>9</v>
      </c>
      <c r="B14" s="12" t="s">
        <v>607</v>
      </c>
      <c r="C14" s="33" t="s">
        <v>70</v>
      </c>
      <c r="D14" s="31">
        <v>25</v>
      </c>
      <c r="E14" s="97">
        <v>35</v>
      </c>
      <c r="F14" s="98">
        <f t="shared" si="0"/>
        <v>10</v>
      </c>
      <c r="G14" s="99">
        <f t="shared" si="1"/>
        <v>1.4</v>
      </c>
    </row>
    <row r="15" spans="1:7" x14ac:dyDescent="0.35">
      <c r="A15" s="12">
        <v>10</v>
      </c>
      <c r="B15" s="12" t="s">
        <v>608</v>
      </c>
      <c r="C15" s="33" t="s">
        <v>70</v>
      </c>
      <c r="D15" s="31">
        <v>25</v>
      </c>
      <c r="E15" s="97">
        <v>31</v>
      </c>
      <c r="F15" s="98">
        <f t="shared" si="0"/>
        <v>6</v>
      </c>
      <c r="G15" s="99">
        <f t="shared" si="1"/>
        <v>1.24</v>
      </c>
    </row>
    <row r="16" spans="1:7" x14ac:dyDescent="0.35">
      <c r="A16" s="12">
        <v>11</v>
      </c>
      <c r="B16" s="12" t="s">
        <v>609</v>
      </c>
      <c r="C16" s="33" t="s">
        <v>70</v>
      </c>
      <c r="D16" s="31">
        <v>25</v>
      </c>
      <c r="E16" s="97">
        <v>18</v>
      </c>
      <c r="F16" s="98">
        <f t="shared" si="0"/>
        <v>-7</v>
      </c>
      <c r="G16" s="99">
        <f t="shared" si="1"/>
        <v>0.72</v>
      </c>
    </row>
    <row r="17" spans="1:7" x14ac:dyDescent="0.35">
      <c r="A17" s="12">
        <v>12</v>
      </c>
      <c r="B17" s="12" t="s">
        <v>610</v>
      </c>
      <c r="C17" s="33" t="s">
        <v>70</v>
      </c>
      <c r="D17" s="31">
        <v>25</v>
      </c>
      <c r="E17" s="97">
        <v>16</v>
      </c>
      <c r="F17" s="98">
        <f t="shared" si="0"/>
        <v>-9</v>
      </c>
      <c r="G17" s="99">
        <f t="shared" si="1"/>
        <v>0.64</v>
      </c>
    </row>
    <row r="18" spans="1:7" x14ac:dyDescent="0.35">
      <c r="A18" s="12">
        <v>13</v>
      </c>
      <c r="B18" s="12" t="s">
        <v>55</v>
      </c>
      <c r="C18" s="98"/>
      <c r="D18" s="31">
        <v>300</v>
      </c>
      <c r="E18" s="98">
        <f>SUM(E6:E17)</f>
        <v>282</v>
      </c>
      <c r="F18" s="98">
        <f t="shared" si="0"/>
        <v>-18</v>
      </c>
      <c r="G18" s="99">
        <f t="shared" si="1"/>
        <v>0.94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C6E6-7730-4E28-91E3-08D37676C79D}">
  <dimension ref="A1:G27"/>
  <sheetViews>
    <sheetView workbookViewId="0">
      <selection activeCell="B1" sqref="B1:B2"/>
    </sheetView>
  </sheetViews>
  <sheetFormatPr defaultRowHeight="14.5" x14ac:dyDescent="0.35"/>
  <cols>
    <col min="1" max="1" width="4.6328125" customWidth="1"/>
    <col min="2" max="2" width="33.17968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693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45"/>
      <c r="B5" s="146"/>
      <c r="C5" s="147"/>
      <c r="D5" s="147"/>
      <c r="E5" s="147"/>
      <c r="F5" s="147"/>
      <c r="G5" s="148"/>
    </row>
    <row r="6" spans="1:7" x14ac:dyDescent="0.35">
      <c r="A6" s="12">
        <v>1</v>
      </c>
      <c r="B6" s="61" t="s">
        <v>545</v>
      </c>
      <c r="C6" s="62" t="s">
        <v>68</v>
      </c>
      <c r="D6" s="62">
        <v>35</v>
      </c>
      <c r="E6" s="62">
        <v>0</v>
      </c>
      <c r="F6" s="12">
        <f>E6-D6</f>
        <v>-35</v>
      </c>
      <c r="G6" s="15">
        <f>E6/D6*100%</f>
        <v>0</v>
      </c>
    </row>
    <row r="7" spans="1:7" x14ac:dyDescent="0.35">
      <c r="A7" s="12">
        <v>2</v>
      </c>
      <c r="B7" s="61" t="s">
        <v>546</v>
      </c>
      <c r="C7" s="62" t="s">
        <v>70</v>
      </c>
      <c r="D7" s="62">
        <v>25</v>
      </c>
      <c r="E7" s="62">
        <v>14</v>
      </c>
      <c r="F7" s="12">
        <f t="shared" ref="F7:F27" si="0">E7-D7</f>
        <v>-11</v>
      </c>
      <c r="G7" s="15">
        <f t="shared" ref="G7:G27" si="1">E7/D7*100%</f>
        <v>0.56000000000000005</v>
      </c>
    </row>
    <row r="8" spans="1:7" x14ac:dyDescent="0.35">
      <c r="A8" s="12">
        <v>3</v>
      </c>
      <c r="B8" s="61" t="s">
        <v>547</v>
      </c>
      <c r="C8" s="62" t="s">
        <v>70</v>
      </c>
      <c r="D8" s="62">
        <v>25</v>
      </c>
      <c r="E8" s="62">
        <v>17</v>
      </c>
      <c r="F8" s="12">
        <f t="shared" si="0"/>
        <v>-8</v>
      </c>
      <c r="G8" s="15">
        <f t="shared" si="1"/>
        <v>0.68</v>
      </c>
    </row>
    <row r="9" spans="1:7" x14ac:dyDescent="0.35">
      <c r="A9" s="12">
        <v>4</v>
      </c>
      <c r="B9" s="61" t="s">
        <v>548</v>
      </c>
      <c r="C9" s="62" t="s">
        <v>70</v>
      </c>
      <c r="D9" s="62">
        <v>25</v>
      </c>
      <c r="E9" s="62">
        <v>12</v>
      </c>
      <c r="F9" s="12">
        <f t="shared" si="0"/>
        <v>-13</v>
      </c>
      <c r="G9" s="15">
        <f t="shared" si="1"/>
        <v>0.48</v>
      </c>
    </row>
    <row r="10" spans="1:7" x14ac:dyDescent="0.35">
      <c r="A10" s="12">
        <v>5</v>
      </c>
      <c r="B10" s="61" t="s">
        <v>549</v>
      </c>
      <c r="C10" s="62" t="s">
        <v>70</v>
      </c>
      <c r="D10" s="62">
        <v>25</v>
      </c>
      <c r="E10" s="62">
        <v>9</v>
      </c>
      <c r="F10" s="12">
        <f t="shared" si="0"/>
        <v>-16</v>
      </c>
      <c r="G10" s="15">
        <f t="shared" si="1"/>
        <v>0.36</v>
      </c>
    </row>
    <row r="11" spans="1:7" x14ac:dyDescent="0.35">
      <c r="A11" s="12">
        <v>6</v>
      </c>
      <c r="B11" s="61" t="s">
        <v>550</v>
      </c>
      <c r="C11" s="62" t="s">
        <v>70</v>
      </c>
      <c r="D11" s="62">
        <v>25</v>
      </c>
      <c r="E11" s="62">
        <v>21</v>
      </c>
      <c r="F11" s="12">
        <f t="shared" si="0"/>
        <v>-4</v>
      </c>
      <c r="G11" s="15">
        <f t="shared" si="1"/>
        <v>0.84</v>
      </c>
    </row>
    <row r="12" spans="1:7" x14ac:dyDescent="0.35">
      <c r="A12" s="12">
        <v>7</v>
      </c>
      <c r="B12" s="61" t="s">
        <v>551</v>
      </c>
      <c r="C12" s="62" t="s">
        <v>70</v>
      </c>
      <c r="D12" s="62">
        <v>25</v>
      </c>
      <c r="E12" s="62">
        <v>12</v>
      </c>
      <c r="F12" s="12">
        <f t="shared" si="0"/>
        <v>-13</v>
      </c>
      <c r="G12" s="15">
        <f t="shared" si="1"/>
        <v>0.48</v>
      </c>
    </row>
    <row r="13" spans="1:7" x14ac:dyDescent="0.35">
      <c r="A13" s="12">
        <v>8</v>
      </c>
      <c r="B13" s="61" t="s">
        <v>552</v>
      </c>
      <c r="C13" s="62" t="s">
        <v>70</v>
      </c>
      <c r="D13" s="62">
        <v>25</v>
      </c>
      <c r="E13" s="62">
        <v>8</v>
      </c>
      <c r="F13" s="12">
        <f t="shared" si="0"/>
        <v>-17</v>
      </c>
      <c r="G13" s="15">
        <f t="shared" si="1"/>
        <v>0.32</v>
      </c>
    </row>
    <row r="14" spans="1:7" x14ac:dyDescent="0.35">
      <c r="A14" s="12">
        <v>9</v>
      </c>
      <c r="B14" s="61" t="s">
        <v>553</v>
      </c>
      <c r="C14" s="62" t="s">
        <v>68</v>
      </c>
      <c r="D14" s="62">
        <v>35</v>
      </c>
      <c r="E14" s="62">
        <v>0</v>
      </c>
      <c r="F14" s="12">
        <f t="shared" si="0"/>
        <v>-35</v>
      </c>
      <c r="G14" s="15">
        <f t="shared" si="1"/>
        <v>0</v>
      </c>
    </row>
    <row r="15" spans="1:7" x14ac:dyDescent="0.35">
      <c r="A15" s="12">
        <v>10</v>
      </c>
      <c r="B15" s="61" t="s">
        <v>554</v>
      </c>
      <c r="C15" s="62" t="s">
        <v>70</v>
      </c>
      <c r="D15" s="62">
        <v>25</v>
      </c>
      <c r="E15" s="62">
        <v>40</v>
      </c>
      <c r="F15" s="12">
        <f t="shared" si="0"/>
        <v>15</v>
      </c>
      <c r="G15" s="15">
        <f t="shared" si="1"/>
        <v>1.6</v>
      </c>
    </row>
    <row r="16" spans="1:7" x14ac:dyDescent="0.35">
      <c r="A16" s="12">
        <v>11</v>
      </c>
      <c r="B16" s="61" t="s">
        <v>555</v>
      </c>
      <c r="C16" s="62" t="s">
        <v>70</v>
      </c>
      <c r="D16" s="62">
        <v>25</v>
      </c>
      <c r="E16" s="62">
        <v>49</v>
      </c>
      <c r="F16" s="12">
        <f t="shared" si="0"/>
        <v>24</v>
      </c>
      <c r="G16" s="15">
        <f t="shared" si="1"/>
        <v>1.96</v>
      </c>
    </row>
    <row r="17" spans="1:7" x14ac:dyDescent="0.35">
      <c r="A17" s="12">
        <v>12</v>
      </c>
      <c r="B17" s="61" t="s">
        <v>556</v>
      </c>
      <c r="C17" s="62" t="s">
        <v>70</v>
      </c>
      <c r="D17" s="62">
        <v>25</v>
      </c>
      <c r="E17" s="62">
        <v>55</v>
      </c>
      <c r="F17" s="12">
        <f t="shared" si="0"/>
        <v>30</v>
      </c>
      <c r="G17" s="15">
        <f t="shared" si="1"/>
        <v>2.2000000000000002</v>
      </c>
    </row>
    <row r="18" spans="1:7" x14ac:dyDescent="0.35">
      <c r="A18" s="12">
        <v>13</v>
      </c>
      <c r="B18" s="61" t="s">
        <v>557</v>
      </c>
      <c r="C18" s="62" t="s">
        <v>70</v>
      </c>
      <c r="D18" s="62">
        <v>25</v>
      </c>
      <c r="E18" s="62">
        <v>72</v>
      </c>
      <c r="F18" s="12">
        <f t="shared" si="0"/>
        <v>47</v>
      </c>
      <c r="G18" s="15">
        <f t="shared" si="1"/>
        <v>2.88</v>
      </c>
    </row>
    <row r="19" spans="1:7" x14ac:dyDescent="0.35">
      <c r="A19" s="12">
        <v>14</v>
      </c>
      <c r="B19" s="61" t="s">
        <v>558</v>
      </c>
      <c r="C19" s="62" t="s">
        <v>68</v>
      </c>
      <c r="D19" s="62">
        <v>35</v>
      </c>
      <c r="E19" s="62">
        <v>0</v>
      </c>
      <c r="F19" s="12">
        <f t="shared" si="0"/>
        <v>-35</v>
      </c>
      <c r="G19" s="15">
        <f t="shared" si="1"/>
        <v>0</v>
      </c>
    </row>
    <row r="20" spans="1:7" x14ac:dyDescent="0.35">
      <c r="A20" s="12">
        <v>15</v>
      </c>
      <c r="B20" s="61" t="s">
        <v>559</v>
      </c>
      <c r="C20" s="62" t="s">
        <v>70</v>
      </c>
      <c r="D20" s="62">
        <v>25</v>
      </c>
      <c r="E20" s="62">
        <v>28</v>
      </c>
      <c r="F20" s="12">
        <f t="shared" si="0"/>
        <v>3</v>
      </c>
      <c r="G20" s="15">
        <f t="shared" si="1"/>
        <v>1.1200000000000001</v>
      </c>
    </row>
    <row r="21" spans="1:7" x14ac:dyDescent="0.35">
      <c r="A21" s="12">
        <v>16</v>
      </c>
      <c r="B21" s="61" t="s">
        <v>560</v>
      </c>
      <c r="C21" s="62" t="s">
        <v>70</v>
      </c>
      <c r="D21" s="62">
        <v>25</v>
      </c>
      <c r="E21" s="62">
        <v>15</v>
      </c>
      <c r="F21" s="12">
        <f t="shared" si="0"/>
        <v>-10</v>
      </c>
      <c r="G21" s="15">
        <f t="shared" si="1"/>
        <v>0.6</v>
      </c>
    </row>
    <row r="22" spans="1:7" x14ac:dyDescent="0.35">
      <c r="A22" s="12">
        <v>17</v>
      </c>
      <c r="B22" s="61" t="s">
        <v>561</v>
      </c>
      <c r="C22" s="62" t="s">
        <v>70</v>
      </c>
      <c r="D22" s="62">
        <v>25</v>
      </c>
      <c r="E22" s="62">
        <v>15</v>
      </c>
      <c r="F22" s="12">
        <f t="shared" si="0"/>
        <v>-10</v>
      </c>
      <c r="G22" s="15">
        <f t="shared" si="1"/>
        <v>0.6</v>
      </c>
    </row>
    <row r="23" spans="1:7" x14ac:dyDescent="0.35">
      <c r="A23" s="12">
        <v>18</v>
      </c>
      <c r="B23" s="61" t="s">
        <v>562</v>
      </c>
      <c r="C23" s="62" t="s">
        <v>70</v>
      </c>
      <c r="D23" s="62">
        <v>25</v>
      </c>
      <c r="E23" s="62">
        <v>28</v>
      </c>
      <c r="F23" s="12">
        <f t="shared" si="0"/>
        <v>3</v>
      </c>
      <c r="G23" s="15">
        <f t="shared" si="1"/>
        <v>1.1200000000000001</v>
      </c>
    </row>
    <row r="24" spans="1:7" x14ac:dyDescent="0.35">
      <c r="A24" s="12">
        <v>19</v>
      </c>
      <c r="B24" s="61" t="s">
        <v>563</v>
      </c>
      <c r="C24" s="62" t="s">
        <v>70</v>
      </c>
      <c r="D24" s="62">
        <v>25</v>
      </c>
      <c r="E24" s="62">
        <v>27</v>
      </c>
      <c r="F24" s="12">
        <f t="shared" si="0"/>
        <v>2</v>
      </c>
      <c r="G24" s="15">
        <f t="shared" si="1"/>
        <v>1.08</v>
      </c>
    </row>
    <row r="25" spans="1:7" x14ac:dyDescent="0.35">
      <c r="A25" s="12">
        <v>20</v>
      </c>
      <c r="B25" s="61" t="s">
        <v>564</v>
      </c>
      <c r="C25" s="62" t="s">
        <v>70</v>
      </c>
      <c r="D25" s="62">
        <v>25</v>
      </c>
      <c r="E25" s="62">
        <v>21</v>
      </c>
      <c r="F25" s="12">
        <f t="shared" si="0"/>
        <v>-4</v>
      </c>
      <c r="G25" s="15">
        <f t="shared" si="1"/>
        <v>0.84</v>
      </c>
    </row>
    <row r="26" spans="1:7" x14ac:dyDescent="0.35">
      <c r="A26" s="12">
        <v>21</v>
      </c>
      <c r="B26" s="61" t="s">
        <v>565</v>
      </c>
      <c r="C26" s="62" t="s">
        <v>70</v>
      </c>
      <c r="D26" s="62">
        <v>25</v>
      </c>
      <c r="E26" s="62">
        <v>11</v>
      </c>
      <c r="F26" s="12">
        <f t="shared" si="0"/>
        <v>-14</v>
      </c>
      <c r="G26" s="15">
        <f t="shared" si="1"/>
        <v>0.44</v>
      </c>
    </row>
    <row r="27" spans="1:7" x14ac:dyDescent="0.35">
      <c r="A27" s="12"/>
      <c r="B27" s="12"/>
      <c r="C27" s="12"/>
      <c r="D27" s="62">
        <v>530</v>
      </c>
      <c r="E27" s="12">
        <f>SUM(E6:E26)</f>
        <v>454</v>
      </c>
      <c r="F27" s="12">
        <f t="shared" si="0"/>
        <v>-76</v>
      </c>
      <c r="G27" s="15">
        <f t="shared" si="1"/>
        <v>0.85660377358490569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C05-E191-49D1-841D-98407EEA2D60}">
  <dimension ref="A1:G22"/>
  <sheetViews>
    <sheetView workbookViewId="0">
      <selection activeCell="B1" sqref="B1:B2"/>
    </sheetView>
  </sheetViews>
  <sheetFormatPr defaultRowHeight="14.5" x14ac:dyDescent="0.35"/>
  <cols>
    <col min="1" max="1" width="4" customWidth="1"/>
    <col min="2" max="2" width="28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693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45"/>
      <c r="B5" s="146"/>
      <c r="C5" s="147"/>
      <c r="D5" s="147"/>
      <c r="E5" s="147"/>
      <c r="F5" s="147"/>
      <c r="G5" s="148"/>
    </row>
    <row r="6" spans="1:7" x14ac:dyDescent="0.35">
      <c r="A6" s="12">
        <v>1</v>
      </c>
      <c r="B6" s="61" t="s">
        <v>566</v>
      </c>
      <c r="C6" s="62" t="s">
        <v>68</v>
      </c>
      <c r="D6" s="62">
        <v>35</v>
      </c>
      <c r="E6" s="62">
        <v>0</v>
      </c>
      <c r="F6" s="12">
        <f>E6-D6</f>
        <v>-35</v>
      </c>
      <c r="G6" s="15">
        <f>E6/D6*100%</f>
        <v>0</v>
      </c>
    </row>
    <row r="7" spans="1:7" x14ac:dyDescent="0.35">
      <c r="A7" s="12">
        <v>2</v>
      </c>
      <c r="B7" s="61" t="s">
        <v>567</v>
      </c>
      <c r="C7" s="62" t="s">
        <v>70</v>
      </c>
      <c r="D7" s="62">
        <v>25</v>
      </c>
      <c r="E7" s="62">
        <v>4</v>
      </c>
      <c r="F7" s="12">
        <f t="shared" ref="F7:F22" si="0">E7-D7</f>
        <v>-21</v>
      </c>
      <c r="G7" s="15">
        <f t="shared" ref="G7:G22" si="1">E7/D7*100%</f>
        <v>0.16</v>
      </c>
    </row>
    <row r="8" spans="1:7" x14ac:dyDescent="0.35">
      <c r="A8" s="12">
        <v>3</v>
      </c>
      <c r="B8" s="61" t="s">
        <v>568</v>
      </c>
      <c r="C8" s="62" t="s">
        <v>70</v>
      </c>
      <c r="D8" s="62">
        <v>25</v>
      </c>
      <c r="E8" s="62">
        <v>34</v>
      </c>
      <c r="F8" s="12">
        <f t="shared" si="0"/>
        <v>9</v>
      </c>
      <c r="G8" s="15">
        <f t="shared" si="1"/>
        <v>1.36</v>
      </c>
    </row>
    <row r="9" spans="1:7" x14ac:dyDescent="0.35">
      <c r="A9" s="12">
        <v>4</v>
      </c>
      <c r="B9" s="61" t="s">
        <v>569</v>
      </c>
      <c r="C9" s="62" t="s">
        <v>70</v>
      </c>
      <c r="D9" s="62">
        <v>25</v>
      </c>
      <c r="E9" s="62">
        <v>27</v>
      </c>
      <c r="F9" s="12">
        <f t="shared" si="0"/>
        <v>2</v>
      </c>
      <c r="G9" s="15">
        <f t="shared" si="1"/>
        <v>1.08</v>
      </c>
    </row>
    <row r="10" spans="1:7" x14ac:dyDescent="0.35">
      <c r="A10" s="12">
        <v>5</v>
      </c>
      <c r="B10" s="61" t="s">
        <v>570</v>
      </c>
      <c r="C10" s="62" t="s">
        <v>70</v>
      </c>
      <c r="D10" s="62">
        <v>25</v>
      </c>
      <c r="E10" s="62">
        <v>23</v>
      </c>
      <c r="F10" s="12">
        <f t="shared" si="0"/>
        <v>-2</v>
      </c>
      <c r="G10" s="15">
        <f t="shared" si="1"/>
        <v>0.92</v>
      </c>
    </row>
    <row r="11" spans="1:7" x14ac:dyDescent="0.35">
      <c r="A11" s="12">
        <v>6</v>
      </c>
      <c r="B11" s="61" t="s">
        <v>571</v>
      </c>
      <c r="C11" s="62" t="s">
        <v>70</v>
      </c>
      <c r="D11" s="62">
        <v>25</v>
      </c>
      <c r="E11" s="62">
        <v>33</v>
      </c>
      <c r="F11" s="12">
        <f t="shared" si="0"/>
        <v>8</v>
      </c>
      <c r="G11" s="15">
        <f t="shared" si="1"/>
        <v>1.32</v>
      </c>
    </row>
    <row r="12" spans="1:7" x14ac:dyDescent="0.35">
      <c r="A12" s="12">
        <v>7</v>
      </c>
      <c r="B12" s="61" t="s">
        <v>572</v>
      </c>
      <c r="C12" s="62" t="s">
        <v>70</v>
      </c>
      <c r="D12" s="62">
        <v>25</v>
      </c>
      <c r="E12" s="62">
        <v>7</v>
      </c>
      <c r="F12" s="12">
        <f t="shared" si="0"/>
        <v>-18</v>
      </c>
      <c r="G12" s="15">
        <f t="shared" si="1"/>
        <v>0.28000000000000003</v>
      </c>
    </row>
    <row r="13" spans="1:7" x14ac:dyDescent="0.35">
      <c r="A13" s="12">
        <v>8</v>
      </c>
      <c r="B13" s="61" t="s">
        <v>573</v>
      </c>
      <c r="C13" s="62" t="s">
        <v>70</v>
      </c>
      <c r="D13" s="62">
        <v>25</v>
      </c>
      <c r="E13" s="62">
        <v>3</v>
      </c>
      <c r="F13" s="12">
        <f t="shared" si="0"/>
        <v>-22</v>
      </c>
      <c r="G13" s="15">
        <f t="shared" si="1"/>
        <v>0.12</v>
      </c>
    </row>
    <row r="14" spans="1:7" x14ac:dyDescent="0.35">
      <c r="A14" s="12">
        <v>9</v>
      </c>
      <c r="B14" s="61" t="s">
        <v>574</v>
      </c>
      <c r="C14" s="62" t="s">
        <v>68</v>
      </c>
      <c r="D14" s="62">
        <v>35</v>
      </c>
      <c r="E14" s="62">
        <v>0</v>
      </c>
      <c r="F14" s="12">
        <f t="shared" si="0"/>
        <v>-35</v>
      </c>
      <c r="G14" s="15">
        <f t="shared" si="1"/>
        <v>0</v>
      </c>
    </row>
    <row r="15" spans="1:7" x14ac:dyDescent="0.35">
      <c r="A15" s="12">
        <v>10</v>
      </c>
      <c r="B15" s="61" t="s">
        <v>575</v>
      </c>
      <c r="C15" s="62" t="s">
        <v>70</v>
      </c>
      <c r="D15" s="62">
        <v>25</v>
      </c>
      <c r="E15" s="62">
        <v>13</v>
      </c>
      <c r="F15" s="12">
        <f t="shared" si="0"/>
        <v>-12</v>
      </c>
      <c r="G15" s="15">
        <f t="shared" si="1"/>
        <v>0.52</v>
      </c>
    </row>
    <row r="16" spans="1:7" ht="29" x14ac:dyDescent="0.35">
      <c r="A16" s="12">
        <v>11</v>
      </c>
      <c r="B16" s="61" t="s">
        <v>576</v>
      </c>
      <c r="C16" s="62" t="s">
        <v>70</v>
      </c>
      <c r="D16" s="62">
        <v>25</v>
      </c>
      <c r="E16" s="62">
        <v>23</v>
      </c>
      <c r="F16" s="12">
        <f t="shared" si="0"/>
        <v>-2</v>
      </c>
      <c r="G16" s="15">
        <f t="shared" si="1"/>
        <v>0.92</v>
      </c>
    </row>
    <row r="17" spans="1:7" x14ac:dyDescent="0.35">
      <c r="A17" s="12">
        <v>12</v>
      </c>
      <c r="B17" s="61" t="s">
        <v>577</v>
      </c>
      <c r="C17" s="62" t="s">
        <v>70</v>
      </c>
      <c r="D17" s="62">
        <v>25</v>
      </c>
      <c r="E17" s="62">
        <v>29</v>
      </c>
      <c r="F17" s="12">
        <f t="shared" si="0"/>
        <v>4</v>
      </c>
      <c r="G17" s="15">
        <f t="shared" si="1"/>
        <v>1.1599999999999999</v>
      </c>
    </row>
    <row r="18" spans="1:7" x14ac:dyDescent="0.35">
      <c r="A18" s="12">
        <v>13</v>
      </c>
      <c r="B18" s="61" t="s">
        <v>578</v>
      </c>
      <c r="C18" s="62" t="s">
        <v>70</v>
      </c>
      <c r="D18" s="62">
        <v>25</v>
      </c>
      <c r="E18" s="62">
        <v>24</v>
      </c>
      <c r="F18" s="12">
        <f t="shared" si="0"/>
        <v>-1</v>
      </c>
      <c r="G18" s="15">
        <f t="shared" si="1"/>
        <v>0.96</v>
      </c>
    </row>
    <row r="19" spans="1:7" x14ac:dyDescent="0.35">
      <c r="A19" s="12">
        <v>14</v>
      </c>
      <c r="B19" s="61" t="s">
        <v>579</v>
      </c>
      <c r="C19" s="62" t="s">
        <v>70</v>
      </c>
      <c r="D19" s="62">
        <v>25</v>
      </c>
      <c r="E19" s="62">
        <v>8</v>
      </c>
      <c r="F19" s="12">
        <f t="shared" si="0"/>
        <v>-17</v>
      </c>
      <c r="G19" s="15">
        <f t="shared" si="1"/>
        <v>0.32</v>
      </c>
    </row>
    <row r="20" spans="1:7" x14ac:dyDescent="0.35">
      <c r="A20" s="12">
        <v>15</v>
      </c>
      <c r="B20" s="61" t="s">
        <v>580</v>
      </c>
      <c r="C20" s="62" t="s">
        <v>70</v>
      </c>
      <c r="D20" s="62">
        <v>25</v>
      </c>
      <c r="E20" s="62">
        <v>3</v>
      </c>
      <c r="F20" s="12">
        <f t="shared" si="0"/>
        <v>-22</v>
      </c>
      <c r="G20" s="15">
        <f t="shared" si="1"/>
        <v>0.12</v>
      </c>
    </row>
    <row r="21" spans="1:7" x14ac:dyDescent="0.35">
      <c r="A21" s="12">
        <v>16</v>
      </c>
      <c r="B21" s="61" t="s">
        <v>581</v>
      </c>
      <c r="C21" s="62" t="s">
        <v>70</v>
      </c>
      <c r="D21" s="62">
        <v>25</v>
      </c>
      <c r="E21" s="62">
        <v>0</v>
      </c>
      <c r="F21" s="12">
        <f t="shared" si="0"/>
        <v>-25</v>
      </c>
      <c r="G21" s="15">
        <f t="shared" si="1"/>
        <v>0</v>
      </c>
    </row>
    <row r="22" spans="1:7" x14ac:dyDescent="0.35">
      <c r="A22" s="12"/>
      <c r="B22" s="12"/>
      <c r="C22" s="12"/>
      <c r="D22" s="62">
        <v>380</v>
      </c>
      <c r="E22" s="12">
        <f>SUM(E6:E21)</f>
        <v>231</v>
      </c>
      <c r="F22" s="12">
        <f t="shared" si="0"/>
        <v>-149</v>
      </c>
      <c r="G22" s="15">
        <f t="shared" si="1"/>
        <v>0.60789473684210527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AEDC-2B80-4407-9A8F-C8BC98791427}">
  <dimension ref="A1:G11"/>
  <sheetViews>
    <sheetView workbookViewId="0">
      <selection activeCell="B1" sqref="B1:B2"/>
    </sheetView>
  </sheetViews>
  <sheetFormatPr defaultRowHeight="14.5" x14ac:dyDescent="0.35"/>
  <cols>
    <col min="1" max="1" width="4.6328125" customWidth="1"/>
    <col min="2" max="2" width="30.816406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693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45"/>
      <c r="B5" s="146"/>
      <c r="C5" s="147"/>
      <c r="D5" s="147"/>
      <c r="E5" s="147"/>
      <c r="F5" s="147"/>
      <c r="G5" s="148"/>
    </row>
    <row r="6" spans="1:7" x14ac:dyDescent="0.35">
      <c r="A6" s="12">
        <v>1</v>
      </c>
      <c r="B6" s="61" t="s">
        <v>582</v>
      </c>
      <c r="C6" s="62" t="s">
        <v>68</v>
      </c>
      <c r="D6" s="62">
        <v>35</v>
      </c>
      <c r="E6" s="62">
        <v>0</v>
      </c>
      <c r="F6" s="12">
        <f>E6-D6</f>
        <v>-35</v>
      </c>
      <c r="G6" s="15">
        <f>E6/D6*100%</f>
        <v>0</v>
      </c>
    </row>
    <row r="7" spans="1:7" x14ac:dyDescent="0.35">
      <c r="A7" s="12">
        <v>2</v>
      </c>
      <c r="B7" s="61" t="s">
        <v>583</v>
      </c>
      <c r="C7" s="62" t="s">
        <v>70</v>
      </c>
      <c r="D7" s="62">
        <v>25</v>
      </c>
      <c r="E7" s="62">
        <v>29</v>
      </c>
      <c r="F7" s="12">
        <f t="shared" ref="F7:F11" si="0">E7-D7</f>
        <v>4</v>
      </c>
      <c r="G7" s="15">
        <f t="shared" ref="G7:G11" si="1">E7/D7*100%</f>
        <v>1.1599999999999999</v>
      </c>
    </row>
    <row r="8" spans="1:7" x14ac:dyDescent="0.35">
      <c r="A8" s="12">
        <v>3</v>
      </c>
      <c r="B8" s="61" t="s">
        <v>584</v>
      </c>
      <c r="C8" s="62" t="s">
        <v>70</v>
      </c>
      <c r="D8" s="62">
        <v>25</v>
      </c>
      <c r="E8" s="62">
        <v>29</v>
      </c>
      <c r="F8" s="12">
        <f t="shared" si="0"/>
        <v>4</v>
      </c>
      <c r="G8" s="15">
        <f t="shared" si="1"/>
        <v>1.1599999999999999</v>
      </c>
    </row>
    <row r="9" spans="1:7" x14ac:dyDescent="0.35">
      <c r="A9" s="12">
        <v>4</v>
      </c>
      <c r="B9" s="61" t="s">
        <v>585</v>
      </c>
      <c r="C9" s="62" t="s">
        <v>70</v>
      </c>
      <c r="D9" s="62">
        <v>25</v>
      </c>
      <c r="E9" s="62">
        <v>13</v>
      </c>
      <c r="F9" s="12">
        <f t="shared" si="0"/>
        <v>-12</v>
      </c>
      <c r="G9" s="15">
        <f t="shared" si="1"/>
        <v>0.52</v>
      </c>
    </row>
    <row r="10" spans="1:7" x14ac:dyDescent="0.35">
      <c r="A10" s="12">
        <v>5</v>
      </c>
      <c r="B10" s="61" t="s">
        <v>586</v>
      </c>
      <c r="C10" s="62" t="s">
        <v>70</v>
      </c>
      <c r="D10" s="62">
        <v>25</v>
      </c>
      <c r="E10" s="62">
        <v>12</v>
      </c>
      <c r="F10" s="12">
        <f t="shared" si="0"/>
        <v>-13</v>
      </c>
      <c r="G10" s="15">
        <f t="shared" si="1"/>
        <v>0.48</v>
      </c>
    </row>
    <row r="11" spans="1:7" x14ac:dyDescent="0.35">
      <c r="A11" s="12"/>
      <c r="B11" s="12" t="s">
        <v>55</v>
      </c>
      <c r="C11" s="12"/>
      <c r="D11" s="12">
        <v>150</v>
      </c>
      <c r="E11" s="12">
        <f>SUM(E6:E10)</f>
        <v>83</v>
      </c>
      <c r="F11" s="12">
        <f t="shared" si="0"/>
        <v>-67</v>
      </c>
      <c r="G11" s="15">
        <f t="shared" si="1"/>
        <v>0.55333333333333334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A8A8-F843-4843-AA5C-993944362758}">
  <dimension ref="A1:G12"/>
  <sheetViews>
    <sheetView workbookViewId="0">
      <selection activeCell="H7" sqref="H7"/>
    </sheetView>
  </sheetViews>
  <sheetFormatPr defaultRowHeight="14.5" x14ac:dyDescent="0.35"/>
  <cols>
    <col min="1" max="1" width="4.6328125" customWidth="1"/>
    <col min="2" max="2" width="29.179687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693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45"/>
      <c r="B5" s="146"/>
      <c r="C5" s="147"/>
      <c r="D5" s="147"/>
      <c r="E5" s="147"/>
      <c r="F5" s="147"/>
      <c r="G5" s="148"/>
    </row>
    <row r="6" spans="1:7" x14ac:dyDescent="0.35">
      <c r="A6" s="12">
        <v>1</v>
      </c>
      <c r="B6" s="61" t="s">
        <v>587</v>
      </c>
      <c r="C6" s="62" t="s">
        <v>70</v>
      </c>
      <c r="D6" s="62">
        <v>25</v>
      </c>
      <c r="E6" s="62">
        <v>2</v>
      </c>
      <c r="F6" s="12">
        <f>E6-D6</f>
        <v>-23</v>
      </c>
      <c r="G6" s="15">
        <f>E6/D6*100%</f>
        <v>0.08</v>
      </c>
    </row>
    <row r="7" spans="1:7" x14ac:dyDescent="0.35">
      <c r="A7" s="12">
        <v>2</v>
      </c>
      <c r="B7" s="61" t="s">
        <v>588</v>
      </c>
      <c r="C7" s="62" t="s">
        <v>70</v>
      </c>
      <c r="D7" s="62">
        <v>25</v>
      </c>
      <c r="E7" s="62">
        <v>8</v>
      </c>
      <c r="F7" s="12">
        <f t="shared" ref="F7:F12" si="0">E7-D7</f>
        <v>-17</v>
      </c>
      <c r="G7" s="15">
        <f t="shared" ref="G7:G12" si="1">E7/D7*100%</f>
        <v>0.32</v>
      </c>
    </row>
    <row r="8" spans="1:7" x14ac:dyDescent="0.35">
      <c r="A8" s="12">
        <v>3</v>
      </c>
      <c r="B8" s="61" t="s">
        <v>589</v>
      </c>
      <c r="C8" s="62" t="s">
        <v>70</v>
      </c>
      <c r="D8" s="62">
        <v>25</v>
      </c>
      <c r="E8" s="62">
        <v>4</v>
      </c>
      <c r="F8" s="12">
        <f t="shared" si="0"/>
        <v>-21</v>
      </c>
      <c r="G8" s="15">
        <f t="shared" si="1"/>
        <v>0.16</v>
      </c>
    </row>
    <row r="9" spans="1:7" x14ac:dyDescent="0.35">
      <c r="A9" s="12">
        <v>4</v>
      </c>
      <c r="B9" s="61" t="s">
        <v>590</v>
      </c>
      <c r="C9" s="62" t="s">
        <v>70</v>
      </c>
      <c r="D9" s="62">
        <v>25</v>
      </c>
      <c r="E9" s="62">
        <v>5</v>
      </c>
      <c r="F9" s="12">
        <f t="shared" si="0"/>
        <v>-20</v>
      </c>
      <c r="G9" s="15">
        <f t="shared" si="1"/>
        <v>0.2</v>
      </c>
    </row>
    <row r="10" spans="1:7" x14ac:dyDescent="0.35">
      <c r="A10" s="12">
        <v>5</v>
      </c>
      <c r="B10" s="61" t="s">
        <v>591</v>
      </c>
      <c r="C10" s="62" t="s">
        <v>70</v>
      </c>
      <c r="D10" s="62">
        <v>25</v>
      </c>
      <c r="E10" s="62">
        <v>2</v>
      </c>
      <c r="F10" s="12">
        <f t="shared" si="0"/>
        <v>-23</v>
      </c>
      <c r="G10" s="15">
        <f t="shared" si="1"/>
        <v>0.08</v>
      </c>
    </row>
    <row r="11" spans="1:7" x14ac:dyDescent="0.35">
      <c r="A11" s="12">
        <v>6</v>
      </c>
      <c r="B11" s="61" t="s">
        <v>592</v>
      </c>
      <c r="C11" s="62" t="s">
        <v>70</v>
      </c>
      <c r="D11" s="62">
        <v>25</v>
      </c>
      <c r="E11" s="62">
        <v>5</v>
      </c>
      <c r="F11" s="12">
        <f t="shared" si="0"/>
        <v>-20</v>
      </c>
      <c r="G11" s="15">
        <f t="shared" si="1"/>
        <v>0.2</v>
      </c>
    </row>
    <row r="12" spans="1:7" x14ac:dyDescent="0.35">
      <c r="A12" s="12"/>
      <c r="B12" s="12" t="s">
        <v>55</v>
      </c>
      <c r="C12" s="12"/>
      <c r="D12" s="62">
        <v>150</v>
      </c>
      <c r="E12" s="12">
        <f>SUM(E6:E11)</f>
        <v>26</v>
      </c>
      <c r="F12" s="12">
        <f t="shared" si="0"/>
        <v>-124</v>
      </c>
      <c r="G12" s="15">
        <f t="shared" si="1"/>
        <v>0.17333333333333334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1EEC-0C25-4988-9158-4494576D24A0}">
  <dimension ref="A1:G12"/>
  <sheetViews>
    <sheetView workbookViewId="0">
      <selection activeCell="J6" sqref="J6"/>
    </sheetView>
  </sheetViews>
  <sheetFormatPr defaultRowHeight="14.5" x14ac:dyDescent="0.35"/>
  <cols>
    <col min="1" max="1" width="4.6328125" customWidth="1"/>
    <col min="2" max="2" width="30.453125" customWidth="1"/>
    <col min="7" max="7" width="8.7265625" style="10"/>
  </cols>
  <sheetData>
    <row r="1" spans="1:7" x14ac:dyDescent="0.35">
      <c r="B1" s="149" t="s">
        <v>671</v>
      </c>
    </row>
    <row r="2" spans="1:7" x14ac:dyDescent="0.35">
      <c r="B2" s="149" t="s">
        <v>693</v>
      </c>
    </row>
    <row r="3" spans="1:7" x14ac:dyDescent="0.35">
      <c r="A3" s="137" t="s">
        <v>58</v>
      </c>
      <c r="B3" s="138" t="s">
        <v>59</v>
      </c>
      <c r="C3" s="139" t="s">
        <v>66</v>
      </c>
      <c r="D3" s="140"/>
      <c r="E3" s="140"/>
      <c r="F3" s="140"/>
      <c r="G3" s="140"/>
    </row>
    <row r="4" spans="1:7" x14ac:dyDescent="0.35">
      <c r="A4" s="137"/>
      <c r="B4" s="138"/>
      <c r="C4" s="141" t="s">
        <v>60</v>
      </c>
      <c r="D4" s="141" t="s">
        <v>61</v>
      </c>
      <c r="E4" s="141" t="s">
        <v>62</v>
      </c>
      <c r="F4" s="141" t="s">
        <v>63</v>
      </c>
      <c r="G4" s="143" t="s">
        <v>6</v>
      </c>
    </row>
    <row r="5" spans="1:7" x14ac:dyDescent="0.35">
      <c r="A5" s="145"/>
      <c r="B5" s="146"/>
      <c r="C5" s="147"/>
      <c r="D5" s="147"/>
      <c r="E5" s="147"/>
      <c r="F5" s="147"/>
      <c r="G5" s="148"/>
    </row>
    <row r="6" spans="1:7" x14ac:dyDescent="0.35">
      <c r="A6" s="12">
        <v>1</v>
      </c>
      <c r="B6" s="61" t="s">
        <v>593</v>
      </c>
      <c r="C6" s="62" t="s">
        <v>68</v>
      </c>
      <c r="D6" s="62">
        <v>35</v>
      </c>
      <c r="E6" s="62">
        <v>0</v>
      </c>
      <c r="F6" s="12">
        <f>E6-D6</f>
        <v>-35</v>
      </c>
      <c r="G6" s="15">
        <f>E6/D6*100%</f>
        <v>0</v>
      </c>
    </row>
    <row r="7" spans="1:7" x14ac:dyDescent="0.35">
      <c r="A7" s="12">
        <v>2</v>
      </c>
      <c r="B7" s="61" t="s">
        <v>594</v>
      </c>
      <c r="C7" s="62" t="s">
        <v>70</v>
      </c>
      <c r="D7" s="62">
        <v>25</v>
      </c>
      <c r="E7" s="62">
        <v>15</v>
      </c>
      <c r="F7" s="12">
        <f t="shared" ref="F7:F12" si="0">E7-D7</f>
        <v>-10</v>
      </c>
      <c r="G7" s="15">
        <f t="shared" ref="G7:G12" si="1">E7/D7*100%</f>
        <v>0.6</v>
      </c>
    </row>
    <row r="8" spans="1:7" x14ac:dyDescent="0.35">
      <c r="A8" s="12">
        <v>3</v>
      </c>
      <c r="B8" s="61" t="s">
        <v>595</v>
      </c>
      <c r="C8" s="62" t="s">
        <v>70</v>
      </c>
      <c r="D8" s="62">
        <v>25</v>
      </c>
      <c r="E8" s="62">
        <v>8</v>
      </c>
      <c r="F8" s="12">
        <f t="shared" si="0"/>
        <v>-17</v>
      </c>
      <c r="G8" s="15">
        <f t="shared" si="1"/>
        <v>0.32</v>
      </c>
    </row>
    <row r="9" spans="1:7" x14ac:dyDescent="0.35">
      <c r="A9" s="12">
        <v>4</v>
      </c>
      <c r="B9" s="61" t="s">
        <v>596</v>
      </c>
      <c r="C9" s="62" t="s">
        <v>70</v>
      </c>
      <c r="D9" s="62">
        <v>25</v>
      </c>
      <c r="E9" s="62">
        <v>13</v>
      </c>
      <c r="F9" s="12">
        <f t="shared" si="0"/>
        <v>-12</v>
      </c>
      <c r="G9" s="15">
        <f t="shared" si="1"/>
        <v>0.52</v>
      </c>
    </row>
    <row r="10" spans="1:7" x14ac:dyDescent="0.35">
      <c r="A10" s="12">
        <v>5</v>
      </c>
      <c r="B10" s="61" t="s">
        <v>597</v>
      </c>
      <c r="C10" s="62" t="s">
        <v>70</v>
      </c>
      <c r="D10" s="62">
        <v>25</v>
      </c>
      <c r="E10" s="62">
        <v>18</v>
      </c>
      <c r="F10" s="12">
        <f t="shared" si="0"/>
        <v>-7</v>
      </c>
      <c r="G10" s="15">
        <f t="shared" si="1"/>
        <v>0.72</v>
      </c>
    </row>
    <row r="11" spans="1:7" x14ac:dyDescent="0.35">
      <c r="A11" s="12">
        <v>6</v>
      </c>
      <c r="B11" s="61" t="s">
        <v>598</v>
      </c>
      <c r="C11" s="62" t="s">
        <v>70</v>
      </c>
      <c r="D11" s="62">
        <v>25</v>
      </c>
      <c r="E11" s="62">
        <v>2</v>
      </c>
      <c r="F11" s="12">
        <f t="shared" si="0"/>
        <v>-23</v>
      </c>
      <c r="G11" s="15">
        <f t="shared" si="1"/>
        <v>0.08</v>
      </c>
    </row>
    <row r="12" spans="1:7" x14ac:dyDescent="0.35">
      <c r="A12" s="12"/>
      <c r="B12" s="12" t="s">
        <v>55</v>
      </c>
      <c r="C12" s="12"/>
      <c r="D12" s="62">
        <v>150</v>
      </c>
      <c r="E12" s="12">
        <f>SUM(E6:E11)</f>
        <v>56</v>
      </c>
      <c r="F12" s="12">
        <f t="shared" si="0"/>
        <v>-94</v>
      </c>
      <c r="G12" s="15">
        <f t="shared" si="1"/>
        <v>0.37333333333333335</v>
      </c>
    </row>
  </sheetData>
  <mergeCells count="8">
    <mergeCell ref="A3:A5"/>
    <mergeCell ref="B3:B5"/>
    <mergeCell ref="C3:G3"/>
    <mergeCell ref="C4:C5"/>
    <mergeCell ref="D4:D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PENCAPAIAN KOTA</vt:lpstr>
      <vt:lpstr>BEST DS</vt:lpstr>
      <vt:lpstr>TANGGERANG</vt:lpstr>
      <vt:lpstr>JAKARTA</vt:lpstr>
      <vt:lpstr>DEPOK</vt:lpstr>
      <vt:lpstr>CENGKARENG</vt:lpstr>
      <vt:lpstr>BOGOR</vt:lpstr>
      <vt:lpstr>BANTEN</vt:lpstr>
      <vt:lpstr>SEMARANG</vt:lpstr>
      <vt:lpstr>KENDAL-DEMAK-KUDUS</vt:lpstr>
      <vt:lpstr>CILACAP-KEBUMEN-PURWOKERTO</vt:lpstr>
      <vt:lpstr>TEGAL</vt:lpstr>
      <vt:lpstr>SOLO</vt:lpstr>
      <vt:lpstr>KLATEN</vt:lpstr>
      <vt:lpstr>JOGJA</vt:lpstr>
      <vt:lpstr>TASIKMALAYA</vt:lpstr>
      <vt:lpstr>KAB TASIK</vt:lpstr>
      <vt:lpstr>GARUT</vt:lpstr>
      <vt:lpstr>BANJAR</vt:lpstr>
      <vt:lpstr>CIAMIS</vt:lpstr>
      <vt:lpstr>CIAWI</vt:lpstr>
      <vt:lpstr>BANDUNG RAYA</vt:lpstr>
      <vt:lpstr>CIANJUR</vt:lpstr>
      <vt:lpstr>KEDIRI</vt:lpstr>
      <vt:lpstr>SURABAYA</vt:lpstr>
      <vt:lpstr>PONOROGO</vt:lpstr>
      <vt:lpstr>MALANG</vt:lpstr>
      <vt:lpstr>DENPASAR</vt:lpstr>
      <vt:lpstr>TABANAN</vt:lpstr>
      <vt:lpstr>NEGARA</vt:lpstr>
      <vt:lpstr>BADUNG</vt:lpstr>
      <vt:lpstr>BANGKA BELITUNG</vt:lpstr>
      <vt:lpstr>MEDAN</vt:lpstr>
      <vt:lpstr>CIREBON</vt:lpstr>
      <vt:lpstr>SUBANG</vt:lpstr>
      <vt:lpstr>KARAWANG</vt:lpstr>
      <vt:lpstr>PURWAKARTA</vt:lpstr>
      <vt:lpstr>CISOLOK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2024-08-21T03:17:06Z</dcterms:created>
  <dcterms:modified xsi:type="dcterms:W3CDTF">2024-11-08T03:35:37Z</dcterms:modified>
</cp:coreProperties>
</file>