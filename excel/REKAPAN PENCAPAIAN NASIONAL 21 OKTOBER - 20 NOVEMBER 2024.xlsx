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A9FD0DE-7BA6-4E93-9E80-8CC26F72D94A}" xr6:coauthVersionLast="47" xr6:coauthVersionMax="47" xr10:uidLastSave="{00000000-0000-0000-0000-000000000000}"/>
  <bookViews>
    <workbookView xWindow="-110" yWindow="-110" windowWidth="19420" windowHeight="10300" firstSheet="48" activeTab="52" xr2:uid="{BEB9A0E9-7A56-4B5A-9E6F-3CDAE6DE011F}"/>
  </bookViews>
  <sheets>
    <sheet name="PENCAPAIAN KOTA" sheetId="20" r:id="rId1"/>
    <sheet name="PERSENTASE TIM" sheetId="36" r:id="rId2"/>
    <sheet name="BEST DS DAN SPV" sheetId="35" r:id="rId3"/>
    <sheet name="SERANG" sheetId="10" r:id="rId4"/>
    <sheet name="CILEGON" sheetId="11" r:id="rId5"/>
    <sheet name="KAB.PANDEGLANG" sheetId="12" r:id="rId6"/>
    <sheet name="KOTA TANGGERANG" sheetId="47" r:id="rId7"/>
    <sheet name="TANGSEL(CIPUTAT)" sheetId="45" r:id="rId8"/>
    <sheet name="KAB TANGGERANG" sheetId="46" r:id="rId9"/>
    <sheet name="JAKARTA" sheetId="48" r:id="rId10"/>
    <sheet name="DEPOK" sheetId="49" r:id="rId11"/>
    <sheet name="CENGKARENG" sheetId="50" r:id="rId12"/>
    <sheet name="KLAPANUNGGAL" sheetId="24" r:id="rId13"/>
    <sheet name="CILEUNGSI" sheetId="25" r:id="rId14"/>
    <sheet name="PARUNG" sheetId="26" r:id="rId15"/>
    <sheet name="TAMBUN " sheetId="27" r:id="rId16"/>
    <sheet name="BANDUNG" sheetId="18" r:id="rId17"/>
    <sheet name="CISOLOK" sheetId="19" r:id="rId18"/>
    <sheet name="CIREBON" sheetId="51" r:id="rId19"/>
    <sheet name="SUBANG" sheetId="52" r:id="rId20"/>
    <sheet name="KARAWANG" sheetId="53" r:id="rId21"/>
    <sheet name="PURWAKARTA" sheetId="54" r:id="rId22"/>
    <sheet name="BANJARSARI" sheetId="37" r:id="rId23"/>
    <sheet name="BANJAR" sheetId="38" r:id="rId24"/>
    <sheet name="CIAMIS" sheetId="39" r:id="rId25"/>
    <sheet name="CIAWI" sheetId="40" r:id="rId26"/>
    <sheet name="CIANJUR" sheetId="41" r:id="rId27"/>
    <sheet name="TASIKMALAYA" sheetId="42" r:id="rId28"/>
    <sheet name="KAB TASIK" sheetId="43" r:id="rId29"/>
    <sheet name="GARUT" sheetId="44" r:id="rId30"/>
    <sheet name="SEMARANG" sheetId="33" r:id="rId31"/>
    <sheet name="CILACAP" sheetId="4" r:id="rId32"/>
    <sheet name="KEBUMEN" sheetId="5" r:id="rId33"/>
    <sheet name="PURWOKERTO" sheetId="6" r:id="rId34"/>
    <sheet name="TEGAL" sheetId="7" r:id="rId35"/>
    <sheet name="KENDAL" sheetId="15" r:id="rId36"/>
    <sheet name="DEMAK" sheetId="16" r:id="rId37"/>
    <sheet name="KUDUS" sheetId="17" r:id="rId38"/>
    <sheet name="JOGJA" sheetId="21" r:id="rId39"/>
    <sheet name="KLATEN" sheetId="22" r:id="rId40"/>
    <sheet name="SOLO" sheetId="3" r:id="rId41"/>
    <sheet name="SALATIGA" sheetId="34" r:id="rId42"/>
    <sheet name="SURABAYA" sheetId="31" r:id="rId43"/>
    <sheet name="PONOROGO" sheetId="30" r:id="rId44"/>
    <sheet name="SIDOARJO" sheetId="32" r:id="rId45"/>
    <sheet name="KEDIRI" sheetId="13" r:id="rId46"/>
    <sheet name="MALANG" sheetId="29" r:id="rId47"/>
    <sheet name="DENPASAR" sheetId="55" r:id="rId48"/>
    <sheet name="BADUNG" sheetId="28" r:id="rId49"/>
    <sheet name="TABANAN" sheetId="8" r:id="rId50"/>
    <sheet name="NEGARA" sheetId="9" r:id="rId51"/>
    <sheet name="MEDAN" sheetId="14" r:id="rId52"/>
    <sheet name="BANGKA BELITUNG" sheetId="23" r:id="rId5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35" l="1"/>
  <c r="K4" i="35"/>
  <c r="K3" i="35"/>
  <c r="I2" i="36"/>
  <c r="I110" i="36"/>
  <c r="I109" i="36"/>
  <c r="I108" i="36"/>
  <c r="I107" i="36"/>
  <c r="I106" i="36"/>
  <c r="I105" i="36"/>
  <c r="I104" i="36"/>
  <c r="I103" i="36"/>
  <c r="I102" i="36"/>
  <c r="I101" i="36"/>
  <c r="I100" i="36"/>
  <c r="I99" i="36"/>
  <c r="I98" i="36"/>
  <c r="I97" i="36"/>
  <c r="I96" i="36"/>
  <c r="I95" i="36"/>
  <c r="I94" i="36"/>
  <c r="I93" i="36"/>
  <c r="I92" i="36"/>
  <c r="I91" i="36"/>
  <c r="I90" i="36"/>
  <c r="I89" i="36"/>
  <c r="I88" i="36"/>
  <c r="I87" i="36"/>
  <c r="I86" i="36"/>
  <c r="I85" i="36"/>
  <c r="I84" i="36"/>
  <c r="I83" i="36"/>
  <c r="I82" i="36"/>
  <c r="I81" i="36"/>
  <c r="I80" i="36"/>
  <c r="I79" i="36"/>
  <c r="I78" i="36"/>
  <c r="I77" i="36"/>
  <c r="I76" i="36"/>
  <c r="I75" i="36"/>
  <c r="I74" i="36"/>
  <c r="I73" i="36"/>
  <c r="I72" i="36"/>
  <c r="I71" i="36"/>
  <c r="I70" i="36"/>
  <c r="I69" i="36"/>
  <c r="I68" i="36"/>
  <c r="I67" i="36"/>
  <c r="I66" i="36"/>
  <c r="I65" i="36"/>
  <c r="I64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4" i="36"/>
  <c r="I25" i="36"/>
  <c r="I23" i="36"/>
  <c r="I22" i="36"/>
  <c r="I21" i="36"/>
  <c r="I20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13" i="49"/>
  <c r="I12" i="49"/>
  <c r="M6" i="49"/>
  <c r="M5" i="49"/>
  <c r="H54" i="20"/>
  <c r="M7" i="55"/>
  <c r="M6" i="55"/>
  <c r="M5" i="55"/>
  <c r="E26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7" i="55"/>
  <c r="E11" i="54"/>
  <c r="G8" i="54"/>
  <c r="G9" i="54"/>
  <c r="G10" i="54"/>
  <c r="G11" i="54"/>
  <c r="G7" i="54"/>
  <c r="F8" i="54"/>
  <c r="F9" i="54"/>
  <c r="F10" i="54"/>
  <c r="F11" i="54"/>
  <c r="F7" i="54"/>
  <c r="E11" i="53"/>
  <c r="G8" i="53"/>
  <c r="G9" i="53"/>
  <c r="G10" i="53"/>
  <c r="G11" i="53"/>
  <c r="G7" i="53"/>
  <c r="F8" i="53"/>
  <c r="F9" i="53"/>
  <c r="F10" i="53"/>
  <c r="F11" i="53"/>
  <c r="F7" i="53"/>
  <c r="M6" i="52"/>
  <c r="M5" i="52"/>
  <c r="E23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F23" i="52"/>
  <c r="F7" i="52"/>
  <c r="M7" i="51"/>
  <c r="M6" i="51"/>
  <c r="M5" i="51"/>
  <c r="J6" i="20"/>
  <c r="I6" i="20"/>
  <c r="E29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28" i="51"/>
  <c r="F29" i="51"/>
  <c r="F7" i="51"/>
  <c r="E12" i="50"/>
  <c r="G8" i="50"/>
  <c r="G9" i="50"/>
  <c r="G10" i="50"/>
  <c r="G11" i="50"/>
  <c r="G12" i="50"/>
  <c r="G7" i="50"/>
  <c r="F8" i="50"/>
  <c r="F9" i="50"/>
  <c r="F10" i="50"/>
  <c r="F11" i="50"/>
  <c r="F12" i="50"/>
  <c r="F7" i="50"/>
  <c r="E22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7" i="49"/>
  <c r="G45" i="48"/>
  <c r="G38" i="48"/>
  <c r="G39" i="48"/>
  <c r="G40" i="48"/>
  <c r="G41" i="48"/>
  <c r="G42" i="48"/>
  <c r="G43" i="48"/>
  <c r="G44" i="48"/>
  <c r="F38" i="48"/>
  <c r="F39" i="48"/>
  <c r="F40" i="48"/>
  <c r="F41" i="48"/>
  <c r="F42" i="48"/>
  <c r="F43" i="48"/>
  <c r="F44" i="48"/>
  <c r="E45" i="48"/>
  <c r="J33" i="48"/>
  <c r="J14" i="48"/>
  <c r="J13" i="48"/>
  <c r="J12" i="48"/>
  <c r="K10" i="48"/>
  <c r="L10" i="48"/>
  <c r="M9" i="48"/>
  <c r="M8" i="48"/>
  <c r="M7" i="48"/>
  <c r="M6" i="48"/>
  <c r="M5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45" i="48"/>
  <c r="F7" i="48"/>
  <c r="E14" i="47"/>
  <c r="G9" i="47"/>
  <c r="G10" i="47"/>
  <c r="G11" i="47"/>
  <c r="G12" i="47"/>
  <c r="G13" i="47"/>
  <c r="G14" i="47"/>
  <c r="G8" i="47"/>
  <c r="F9" i="47"/>
  <c r="F10" i="47"/>
  <c r="F11" i="47"/>
  <c r="F12" i="47"/>
  <c r="F13" i="47"/>
  <c r="F14" i="47"/>
  <c r="F8" i="47"/>
  <c r="E13" i="46"/>
  <c r="G9" i="46"/>
  <c r="G10" i="46"/>
  <c r="G11" i="46"/>
  <c r="G12" i="46"/>
  <c r="G13" i="46"/>
  <c r="G8" i="46"/>
  <c r="F9" i="46"/>
  <c r="F10" i="46"/>
  <c r="F11" i="46"/>
  <c r="F12" i="46"/>
  <c r="F13" i="46"/>
  <c r="F8" i="46"/>
  <c r="E23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8" i="45"/>
  <c r="M7" i="45"/>
  <c r="M6" i="45"/>
  <c r="E31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7" i="44"/>
  <c r="M7" i="44"/>
  <c r="M6" i="44"/>
  <c r="M5" i="44"/>
  <c r="M6" i="43"/>
  <c r="M5" i="43"/>
  <c r="E20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7" i="43"/>
  <c r="F8" i="43"/>
  <c r="F9" i="43"/>
  <c r="F10" i="43"/>
  <c r="F11" i="43"/>
  <c r="F12" i="43"/>
  <c r="F13" i="43"/>
  <c r="F14" i="43"/>
  <c r="F15" i="43"/>
  <c r="F16" i="43"/>
  <c r="F17" i="43"/>
  <c r="F18" i="43"/>
  <c r="F19" i="43"/>
  <c r="F20" i="43"/>
  <c r="F7" i="43"/>
  <c r="M7" i="42"/>
  <c r="M6" i="42"/>
  <c r="M5" i="42"/>
  <c r="E33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G32" i="42"/>
  <c r="G33" i="42"/>
  <c r="G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7" i="42"/>
  <c r="E14" i="41"/>
  <c r="G8" i="41"/>
  <c r="G9" i="41"/>
  <c r="G10" i="41"/>
  <c r="G11" i="41"/>
  <c r="G12" i="41"/>
  <c r="G13" i="41"/>
  <c r="G14" i="41"/>
  <c r="G7" i="41"/>
  <c r="F8" i="41"/>
  <c r="F9" i="41"/>
  <c r="F10" i="41"/>
  <c r="F11" i="41"/>
  <c r="F12" i="41"/>
  <c r="F13" i="41"/>
  <c r="F14" i="41"/>
  <c r="F7" i="41"/>
  <c r="M6" i="40"/>
  <c r="M5" i="40"/>
  <c r="E19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7" i="40"/>
  <c r="M7" i="39"/>
  <c r="M6" i="39"/>
  <c r="M5" i="39"/>
  <c r="J30" i="20"/>
  <c r="I30" i="20"/>
  <c r="E25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7" i="39"/>
  <c r="M7" i="38"/>
  <c r="M6" i="38"/>
  <c r="M5" i="38"/>
  <c r="E26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7" i="38"/>
  <c r="E12" i="37"/>
  <c r="G8" i="37"/>
  <c r="G9" i="37"/>
  <c r="G10" i="37"/>
  <c r="G11" i="37"/>
  <c r="G12" i="37"/>
  <c r="G7" i="37"/>
  <c r="F8" i="37"/>
  <c r="F9" i="37"/>
  <c r="F10" i="37"/>
  <c r="F11" i="37"/>
  <c r="F12" i="37"/>
  <c r="F7" i="37"/>
  <c r="I53" i="20"/>
  <c r="J53" i="20"/>
  <c r="G54" i="20"/>
  <c r="G7" i="34"/>
  <c r="F7" i="34"/>
  <c r="E60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7" i="33"/>
  <c r="M12" i="33"/>
  <c r="M11" i="33"/>
  <c r="M10" i="33"/>
  <c r="M9" i="33"/>
  <c r="M8" i="33"/>
  <c r="M7" i="33"/>
  <c r="M6" i="33"/>
  <c r="M5" i="33"/>
  <c r="E9" i="32"/>
  <c r="G7" i="32"/>
  <c r="G8" i="32"/>
  <c r="G9" i="32"/>
  <c r="G6" i="32"/>
  <c r="F7" i="32"/>
  <c r="F8" i="32"/>
  <c r="F9" i="32"/>
  <c r="F6" i="32"/>
  <c r="M5" i="31"/>
  <c r="M4" i="31"/>
  <c r="E20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6" i="31"/>
  <c r="E9" i="30"/>
  <c r="G7" i="30"/>
  <c r="G8" i="30"/>
  <c r="G9" i="30"/>
  <c r="G6" i="30"/>
  <c r="F7" i="30"/>
  <c r="F8" i="30"/>
  <c r="F9" i="30"/>
  <c r="F6" i="30"/>
  <c r="G8" i="29"/>
  <c r="G7" i="29"/>
  <c r="G6" i="29"/>
  <c r="F7" i="29"/>
  <c r="F6" i="29"/>
  <c r="E8" i="29"/>
  <c r="M8" i="28"/>
  <c r="M7" i="28"/>
  <c r="M6" i="28"/>
  <c r="M5" i="28"/>
  <c r="E30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7" i="28"/>
  <c r="M7" i="27"/>
  <c r="M6" i="27"/>
  <c r="E21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8" i="27"/>
  <c r="E13" i="26"/>
  <c r="G9" i="26"/>
  <c r="G10" i="26"/>
  <c r="G11" i="26"/>
  <c r="G12" i="26"/>
  <c r="G13" i="26"/>
  <c r="G8" i="26"/>
  <c r="F9" i="26"/>
  <c r="F10" i="26"/>
  <c r="F11" i="26"/>
  <c r="F12" i="26"/>
  <c r="F13" i="26"/>
  <c r="F8" i="26"/>
  <c r="E15" i="25"/>
  <c r="G9" i="25"/>
  <c r="G10" i="25"/>
  <c r="G11" i="25"/>
  <c r="G12" i="25"/>
  <c r="G13" i="25"/>
  <c r="G14" i="25"/>
  <c r="G15" i="25"/>
  <c r="G8" i="25"/>
  <c r="F9" i="25"/>
  <c r="F10" i="25"/>
  <c r="F11" i="25"/>
  <c r="F12" i="25"/>
  <c r="F13" i="25"/>
  <c r="F14" i="25"/>
  <c r="F15" i="25"/>
  <c r="F8" i="25"/>
  <c r="E16" i="24"/>
  <c r="G9" i="24"/>
  <c r="G10" i="24"/>
  <c r="G11" i="24"/>
  <c r="G12" i="24"/>
  <c r="G13" i="24"/>
  <c r="G14" i="24"/>
  <c r="G15" i="24"/>
  <c r="G16" i="24"/>
  <c r="G8" i="24"/>
  <c r="F9" i="24"/>
  <c r="F10" i="24"/>
  <c r="F11" i="24"/>
  <c r="F12" i="24"/>
  <c r="F13" i="24"/>
  <c r="F14" i="24"/>
  <c r="F15" i="24"/>
  <c r="F16" i="24"/>
  <c r="F8" i="24"/>
  <c r="E22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7" i="23"/>
  <c r="M7" i="23"/>
  <c r="M6" i="23"/>
  <c r="M5" i="23"/>
  <c r="E14" i="22"/>
  <c r="G8" i="22"/>
  <c r="G9" i="22"/>
  <c r="G10" i="22"/>
  <c r="G11" i="22"/>
  <c r="G12" i="22"/>
  <c r="G13" i="22"/>
  <c r="G14" i="22"/>
  <c r="G7" i="22"/>
  <c r="F8" i="22"/>
  <c r="F9" i="22"/>
  <c r="F10" i="22"/>
  <c r="F11" i="22"/>
  <c r="F12" i="22"/>
  <c r="F13" i="22"/>
  <c r="F14" i="22"/>
  <c r="F7" i="22"/>
  <c r="E2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8" i="21"/>
  <c r="M8" i="21"/>
  <c r="M7" i="21"/>
  <c r="M6" i="21"/>
  <c r="E11" i="17"/>
  <c r="G8" i="17"/>
  <c r="G9" i="17"/>
  <c r="G10" i="17"/>
  <c r="G11" i="17"/>
  <c r="G7" i="17"/>
  <c r="F8" i="17"/>
  <c r="F9" i="17"/>
  <c r="F10" i="17"/>
  <c r="F11" i="17"/>
  <c r="F7" i="17"/>
  <c r="J52" i="20"/>
  <c r="I52" i="20"/>
  <c r="J51" i="20"/>
  <c r="I51" i="20"/>
  <c r="J50" i="20"/>
  <c r="I50" i="20"/>
  <c r="J49" i="20"/>
  <c r="I49" i="20"/>
  <c r="J48" i="20"/>
  <c r="I48" i="20"/>
  <c r="J47" i="20"/>
  <c r="I47" i="20"/>
  <c r="J46" i="20"/>
  <c r="I46" i="20"/>
  <c r="J45" i="20"/>
  <c r="I45" i="20"/>
  <c r="J44" i="20"/>
  <c r="I44" i="20"/>
  <c r="J43" i="20"/>
  <c r="I43" i="20"/>
  <c r="J42" i="20"/>
  <c r="I42" i="20"/>
  <c r="J41" i="20"/>
  <c r="I41" i="20"/>
  <c r="J40" i="20"/>
  <c r="I40" i="20"/>
  <c r="J39" i="20"/>
  <c r="I39" i="20"/>
  <c r="J38" i="20"/>
  <c r="I38" i="20"/>
  <c r="J37" i="20"/>
  <c r="I37" i="20"/>
  <c r="J36" i="20"/>
  <c r="I36" i="20"/>
  <c r="J35" i="20"/>
  <c r="I35" i="20"/>
  <c r="J34" i="20"/>
  <c r="I34" i="20"/>
  <c r="J33" i="20"/>
  <c r="I33" i="20"/>
  <c r="J32" i="20"/>
  <c r="I32" i="20"/>
  <c r="J31" i="20"/>
  <c r="I31" i="20"/>
  <c r="J29" i="20"/>
  <c r="I29" i="20"/>
  <c r="J28" i="20"/>
  <c r="I28" i="20"/>
  <c r="J27" i="20"/>
  <c r="I27" i="20"/>
  <c r="J26" i="20"/>
  <c r="I26" i="20"/>
  <c r="J25" i="20"/>
  <c r="I25" i="20"/>
  <c r="J24" i="20"/>
  <c r="I24" i="20"/>
  <c r="J23" i="20"/>
  <c r="I23" i="20"/>
  <c r="J22" i="20"/>
  <c r="I22" i="20"/>
  <c r="J21" i="20"/>
  <c r="I21" i="20"/>
  <c r="J20" i="20"/>
  <c r="I20" i="20"/>
  <c r="J19" i="20"/>
  <c r="I19" i="20"/>
  <c r="J18" i="20"/>
  <c r="I18" i="20"/>
  <c r="J17" i="20"/>
  <c r="I17" i="20"/>
  <c r="J16" i="20"/>
  <c r="I16" i="20"/>
  <c r="J15" i="20"/>
  <c r="I15" i="20"/>
  <c r="J14" i="20"/>
  <c r="I14" i="20"/>
  <c r="J13" i="20"/>
  <c r="I13" i="20"/>
  <c r="J12" i="20"/>
  <c r="I12" i="20"/>
  <c r="J11" i="20"/>
  <c r="I11" i="20"/>
  <c r="J10" i="20"/>
  <c r="I10" i="20"/>
  <c r="J9" i="20"/>
  <c r="I9" i="20"/>
  <c r="J8" i="20"/>
  <c r="I8" i="20"/>
  <c r="J7" i="20"/>
  <c r="I7" i="20"/>
  <c r="J5" i="20"/>
  <c r="I5" i="20"/>
  <c r="J4" i="20"/>
  <c r="I4" i="20"/>
  <c r="E13" i="19"/>
  <c r="G8" i="19"/>
  <c r="G9" i="19"/>
  <c r="G10" i="19"/>
  <c r="G11" i="19"/>
  <c r="G12" i="19"/>
  <c r="G13" i="19"/>
  <c r="G7" i="19"/>
  <c r="F8" i="19"/>
  <c r="F9" i="19"/>
  <c r="F10" i="19"/>
  <c r="F11" i="19"/>
  <c r="F12" i="19"/>
  <c r="F13" i="19"/>
  <c r="F7" i="19"/>
  <c r="M7" i="18"/>
  <c r="M6" i="18"/>
  <c r="M5" i="18"/>
  <c r="E31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7" i="18"/>
  <c r="E2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7" i="16"/>
  <c r="M7" i="16"/>
  <c r="M6" i="16"/>
  <c r="M5" i="16"/>
  <c r="E21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7" i="15"/>
  <c r="M6" i="15"/>
  <c r="M5" i="15"/>
  <c r="E31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7" i="14"/>
  <c r="M8" i="14"/>
  <c r="M7" i="14"/>
  <c r="M6" i="14"/>
  <c r="M5" i="14"/>
  <c r="E22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7" i="13"/>
  <c r="M6" i="13"/>
  <c r="M5" i="13"/>
  <c r="G8" i="12"/>
  <c r="G9" i="12"/>
  <c r="G10" i="12"/>
  <c r="G11" i="12"/>
  <c r="G12" i="12"/>
  <c r="G13" i="12"/>
  <c r="G14" i="12"/>
  <c r="G15" i="12"/>
  <c r="G7" i="12"/>
  <c r="F8" i="12"/>
  <c r="F9" i="12"/>
  <c r="F10" i="12"/>
  <c r="F11" i="12"/>
  <c r="F12" i="12"/>
  <c r="F13" i="12"/>
  <c r="F14" i="12"/>
  <c r="F15" i="12"/>
  <c r="F7" i="12"/>
  <c r="E16" i="11"/>
  <c r="G8" i="11"/>
  <c r="G9" i="11"/>
  <c r="G10" i="11"/>
  <c r="G11" i="11"/>
  <c r="G12" i="11"/>
  <c r="G13" i="11"/>
  <c r="G14" i="11"/>
  <c r="G15" i="11"/>
  <c r="G16" i="11"/>
  <c r="G7" i="11"/>
  <c r="F8" i="11"/>
  <c r="F9" i="11"/>
  <c r="F10" i="11"/>
  <c r="F11" i="11"/>
  <c r="F12" i="11"/>
  <c r="F13" i="11"/>
  <c r="F14" i="11"/>
  <c r="F15" i="11"/>
  <c r="F16" i="11"/>
  <c r="F7" i="11"/>
  <c r="M6" i="11"/>
  <c r="M5" i="11"/>
  <c r="E30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7" i="10"/>
  <c r="M8" i="10"/>
  <c r="M7" i="10"/>
  <c r="M6" i="10"/>
  <c r="M5" i="10"/>
  <c r="E21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7" i="9"/>
  <c r="M6" i="9"/>
  <c r="M5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7" i="9"/>
  <c r="E12" i="8"/>
  <c r="G8" i="8"/>
  <c r="G9" i="8"/>
  <c r="G10" i="8"/>
  <c r="G11" i="8"/>
  <c r="G12" i="8"/>
  <c r="G7" i="8"/>
  <c r="F8" i="8"/>
  <c r="F9" i="8"/>
  <c r="F10" i="8"/>
  <c r="F11" i="8"/>
  <c r="F12" i="8"/>
  <c r="F7" i="8"/>
  <c r="E26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7" i="7"/>
  <c r="M7" i="7"/>
  <c r="M6" i="7"/>
  <c r="M5" i="7"/>
  <c r="G12" i="6"/>
  <c r="G8" i="6"/>
  <c r="G9" i="6"/>
  <c r="G10" i="6"/>
  <c r="G11" i="6"/>
  <c r="G7" i="6"/>
  <c r="F8" i="6"/>
  <c r="F9" i="6"/>
  <c r="F10" i="6"/>
  <c r="F11" i="6"/>
  <c r="F7" i="6"/>
  <c r="E12" i="6"/>
  <c r="E17" i="5"/>
  <c r="G9" i="5"/>
  <c r="G10" i="5"/>
  <c r="G11" i="5"/>
  <c r="G12" i="5"/>
  <c r="G13" i="5"/>
  <c r="G14" i="5"/>
  <c r="G15" i="5"/>
  <c r="G16" i="5"/>
  <c r="G17" i="5"/>
  <c r="G8" i="5"/>
  <c r="F9" i="5"/>
  <c r="F10" i="5"/>
  <c r="F11" i="5"/>
  <c r="F12" i="5"/>
  <c r="F13" i="5"/>
  <c r="F14" i="5"/>
  <c r="F15" i="5"/>
  <c r="F16" i="5"/>
  <c r="F17" i="5"/>
  <c r="F8" i="5"/>
  <c r="M7" i="5"/>
  <c r="M6" i="5"/>
  <c r="M7" i="4"/>
  <c r="M8" i="4"/>
  <c r="M6" i="4"/>
  <c r="E25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8" i="4"/>
  <c r="M6" i="3"/>
  <c r="M7" i="3"/>
  <c r="M8" i="3"/>
  <c r="M5" i="3"/>
  <c r="E33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7" i="3"/>
  <c r="K9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7" i="3"/>
  <c r="J54" i="20" l="1"/>
  <c r="I54" i="20"/>
</calcChain>
</file>

<file path=xl/sharedStrings.xml><?xml version="1.0" encoding="utf-8"?>
<sst xmlns="http://schemas.openxmlformats.org/spreadsheetml/2006/main" count="2495" uniqueCount="931">
  <si>
    <t>NO</t>
  </si>
  <si>
    <t>AREA</t>
  </si>
  <si>
    <t>NAMA TIM</t>
  </si>
  <si>
    <t>TOTAL DS</t>
  </si>
  <si>
    <t>TARGET</t>
  </si>
  <si>
    <t>CA</t>
  </si>
  <si>
    <t>%</t>
  </si>
  <si>
    <t>Regional Head = Susanto</t>
  </si>
  <si>
    <t>Sales Manager = Wahyu Dwi Ratna</t>
  </si>
  <si>
    <t>NO.</t>
  </si>
  <si>
    <t>NAMA DS</t>
  </si>
  <si>
    <t>Grade</t>
  </si>
  <si>
    <t>Target</t>
  </si>
  <si>
    <t>Sales</t>
  </si>
  <si>
    <t>Minus/plus</t>
  </si>
  <si>
    <t>ANSI PUTRI LORENZA</t>
  </si>
  <si>
    <t>SPV</t>
  </si>
  <si>
    <t>MARIA AVIANTI</t>
  </si>
  <si>
    <t>DS</t>
  </si>
  <si>
    <t>ANTIK SULISTYOWATI</t>
  </si>
  <si>
    <t>YULIANTO</t>
  </si>
  <si>
    <t>SUGIYONO</t>
  </si>
  <si>
    <t>RAHMA PRASETYAWATI</t>
  </si>
  <si>
    <t>EDWIN CHRISTIAN ISHUANTO</t>
  </si>
  <si>
    <t>FIRMAN EFENDI</t>
  </si>
  <si>
    <t>GUGUT JULI PRAYITNO</t>
  </si>
  <si>
    <t>JOKO BINTORO</t>
  </si>
  <si>
    <t>IMAM MULADI</t>
  </si>
  <si>
    <t>AWAN AFANOVA</t>
  </si>
  <si>
    <t>SUSILO</t>
  </si>
  <si>
    <t>PONCO SULISTIYONO</t>
  </si>
  <si>
    <t>MIFTAH HASBI HARIRI</t>
  </si>
  <si>
    <t>RYAN PRAMASDA PUTRA</t>
  </si>
  <si>
    <t>SISWANTI</t>
  </si>
  <si>
    <t>ARDIANTO ARIF PRAMONO</t>
  </si>
  <si>
    <t>DODY WAHYU PRANOTO, SE</t>
  </si>
  <si>
    <t>YOHAN MARINSAGA</t>
  </si>
  <si>
    <t>IVAN AZLAN</t>
  </si>
  <si>
    <t>BUDI KRISTIAWAN</t>
  </si>
  <si>
    <t>ARADHEA NATA HERMIYANTO</t>
  </si>
  <si>
    <t>ERI AJI SETIAWAN</t>
  </si>
  <si>
    <t>MUHAMMAD RAFI NURSATRIYA</t>
  </si>
  <si>
    <t>YUNIAR KUSUMAWARDANI</t>
  </si>
  <si>
    <t>TIM ANSI PUTRI</t>
  </si>
  <si>
    <t>TIM GUGUT JULI</t>
  </si>
  <si>
    <t>TIM MIFTA HASBI</t>
  </si>
  <si>
    <t>TIM IVAN AZLAN</t>
  </si>
  <si>
    <t>TOTAL</t>
  </si>
  <si>
    <t>Sales Manager = Dede Regdimas Pangemanan</t>
  </si>
  <si>
    <t>Agus Widodo</t>
  </si>
  <si>
    <t>Anggia Ikma Dewi</t>
  </si>
  <si>
    <t>Hendri Listiono</t>
  </si>
  <si>
    <t>Sarwoto</t>
  </si>
  <si>
    <t>Ilham Pristiwa Inka</t>
  </si>
  <si>
    <t>Bayu Pambudi</t>
  </si>
  <si>
    <t>Aji Prayoga</t>
  </si>
  <si>
    <t>Sherenita Trias Yuliana</t>
  </si>
  <si>
    <t>Pandu Dwi Kusuma</t>
  </si>
  <si>
    <t>Yoman Harsedila</t>
  </si>
  <si>
    <t>Rizki Windu Sancoyo</t>
  </si>
  <si>
    <t>Linda Pangestika</t>
  </si>
  <si>
    <t>Puput Farida</t>
  </si>
  <si>
    <t>Titik Puspitasari</t>
  </si>
  <si>
    <t>Amelia Rahma Dewi</t>
  </si>
  <si>
    <t>Lukis Rucira Arundati</t>
  </si>
  <si>
    <t>Wisnu Angga Kurniawan</t>
  </si>
  <si>
    <t>TIM AGUS  WIDODO</t>
  </si>
  <si>
    <t>TIM BAYU BAYU PAMBUDI</t>
  </si>
  <si>
    <t>TIM LINDA PANGESTIKA</t>
  </si>
  <si>
    <t xml:space="preserve">TOTAL </t>
  </si>
  <si>
    <t>TIM DONNY</t>
  </si>
  <si>
    <t>TANPA SPV (3 DS)</t>
  </si>
  <si>
    <t>Donny Dharmawan</t>
  </si>
  <si>
    <t>Slamet Arifin</t>
  </si>
  <si>
    <t>Saeful Aziz</t>
  </si>
  <si>
    <t>Solihat Sobari</t>
  </si>
  <si>
    <t>Roisul Anam</t>
  </si>
  <si>
    <t>Ahmad Rubianto</t>
  </si>
  <si>
    <t>Amad Saefudin</t>
  </si>
  <si>
    <t>Rudiharto</t>
  </si>
  <si>
    <t>Achmad Budiman</t>
  </si>
  <si>
    <t>Suhendi</t>
  </si>
  <si>
    <t>Sigit Puji Astuti</t>
  </si>
  <si>
    <t>Hari Purnomo</t>
  </si>
  <si>
    <t>Bayu Tri Raharjo</t>
  </si>
  <si>
    <t>Ikkas Rerichaldehida Nur Fauzi</t>
  </si>
  <si>
    <t>PRASTIKA WIGATINING PANGESTUTI</t>
  </si>
  <si>
    <t>HAMZAH FAHMI</t>
  </si>
  <si>
    <t>HIJRAH SABILA</t>
  </si>
  <si>
    <t>MITA LESTARI</t>
  </si>
  <si>
    <t>EKO KRISMANTO</t>
  </si>
  <si>
    <t>HENGKI SURYA EKA PUTRA</t>
  </si>
  <si>
    <t>LATHIF MUTTAQIN</t>
  </si>
  <si>
    <t>KHADZIQUL HUMAM MUNFI</t>
  </si>
  <si>
    <t>FAUZAN MAULANA ADI</t>
  </si>
  <si>
    <t>FERIYANTO</t>
  </si>
  <si>
    <t>MUHAMMAD RIZQY</t>
  </si>
  <si>
    <t>AAN YULIYANTO</t>
  </si>
  <si>
    <t>INDRA WIJAYA</t>
  </si>
  <si>
    <t>PANJI ADITYA NUGROHO</t>
  </si>
  <si>
    <t>HAFID ALWI PRATAMA</t>
  </si>
  <si>
    <t>MOHAMAD THONI FARKHAN</t>
  </si>
  <si>
    <t>HANIF SUPRIYONO</t>
  </si>
  <si>
    <t>NUR HAENI</t>
  </si>
  <si>
    <t>ERRY KRISTIYANTO</t>
  </si>
  <si>
    <t>TIM PRASTIKA</t>
  </si>
  <si>
    <t>TANPA SPV LATHIF</t>
  </si>
  <si>
    <t>TANPA SPV (7 DS)</t>
  </si>
  <si>
    <t>Regional Head = Anna Niken</t>
  </si>
  <si>
    <t>Sales Manager = Kadek Oka Sanjaya</t>
  </si>
  <si>
    <t>Moh Sadam Putra</t>
  </si>
  <si>
    <t>Romi Andri Yudha</t>
  </si>
  <si>
    <t>I Gusti Ngurah Sedana Yukti SH</t>
  </si>
  <si>
    <t>I Ketut Alit Adi Jaya Saputra</t>
  </si>
  <si>
    <t>Faris Abdullah Syafei</t>
  </si>
  <si>
    <t>Jimmi Kurniawan</t>
  </si>
  <si>
    <t>Heri Susanto</t>
  </si>
  <si>
    <t>I Putu Nova Eka Swastika</t>
  </si>
  <si>
    <t>Wiji Astuti</t>
  </si>
  <si>
    <t>Novalia Ziantika</t>
  </si>
  <si>
    <t>Dewa ayu Made Puspa Priani putri</t>
  </si>
  <si>
    <t>I Putu Eka Parwata</t>
  </si>
  <si>
    <t>Ahmad Syukron Aini</t>
  </si>
  <si>
    <t>I Gede Candra Permana Putra Wibawa</t>
  </si>
  <si>
    <t>Zainus Salim</t>
  </si>
  <si>
    <t>Kristin Prihatini</t>
  </si>
  <si>
    <t>Linda Yas'a</t>
  </si>
  <si>
    <t>Ni Kadek Dwi Sucitrawati</t>
  </si>
  <si>
    <t>Mido David Ananda Firdaus</t>
  </si>
  <si>
    <t>TIM JIMMI KURNIAWAN</t>
  </si>
  <si>
    <t>TIM I GEDE CANDRA</t>
  </si>
  <si>
    <t>Regional Head = Benni Novensus</t>
  </si>
  <si>
    <t>Sub Regional = Barlian Purba</t>
  </si>
  <si>
    <t>Sales Manager = Sulaiman Perjuangan Hulu</t>
  </si>
  <si>
    <t>Abdul Rachim</t>
  </si>
  <si>
    <t xml:space="preserve">Sri Lestari Butar Butar </t>
  </si>
  <si>
    <t>Purwanto</t>
  </si>
  <si>
    <t>Sutrisno</t>
  </si>
  <si>
    <t>Nyoto</t>
  </si>
  <si>
    <t>Shodik Bagus Setiawan</t>
  </si>
  <si>
    <t>Daffalda Krismonica Septia</t>
  </si>
  <si>
    <t>Ahksani Takwin</t>
  </si>
  <si>
    <t>Osra Adrizal</t>
  </si>
  <si>
    <t>Denita Hulu</t>
  </si>
  <si>
    <t>Ahmad Yani</t>
  </si>
  <si>
    <t>Jalaludin</t>
  </si>
  <si>
    <t>Arif Permana</t>
  </si>
  <si>
    <t>Irwan Saputra</t>
  </si>
  <si>
    <t>Surya Harjaya</t>
  </si>
  <si>
    <t>Yeni Handayani</t>
  </si>
  <si>
    <t>Asep Hermawan</t>
  </si>
  <si>
    <t>SPV NEW</t>
  </si>
  <si>
    <t>Sarah</t>
  </si>
  <si>
    <t>A Yuyun</t>
  </si>
  <si>
    <t>Trisna Jumhanadin</t>
  </si>
  <si>
    <t>Sahroni</t>
  </si>
  <si>
    <t>iis</t>
  </si>
  <si>
    <t xml:space="preserve">DS </t>
  </si>
  <si>
    <t>Fahrurozi</t>
  </si>
  <si>
    <t>DS NEW</t>
  </si>
  <si>
    <t>TIM ABDUL RACHIM</t>
  </si>
  <si>
    <t>TIM OSRA ADRIZAL</t>
  </si>
  <si>
    <t>TIM ASEP HERMAWAN</t>
  </si>
  <si>
    <t>TANPA SPV( 1 DS)</t>
  </si>
  <si>
    <t>Alviar Yoka Pratama</t>
  </si>
  <si>
    <t xml:space="preserve">Dwi Ega Pamungkas </t>
  </si>
  <si>
    <t>M Fazril Darussalam</t>
  </si>
  <si>
    <t>Nurmalasari</t>
  </si>
  <si>
    <t>Dimas Adianto</t>
  </si>
  <si>
    <t>Dhitya Andhini Nadillah</t>
  </si>
  <si>
    <t>Abu Sidik</t>
  </si>
  <si>
    <t>Asti Agustiani</t>
  </si>
  <si>
    <t>Dimas Febria</t>
  </si>
  <si>
    <t>TIM ALVIAR YOKA</t>
  </si>
  <si>
    <t>TIM TANPA SPV (1DS)</t>
  </si>
  <si>
    <t>Dede Irwan Setiawiguna</t>
  </si>
  <si>
    <t>Nurdin</t>
  </si>
  <si>
    <t>Ulfah Meilani</t>
  </si>
  <si>
    <t>Burhanudin</t>
  </si>
  <si>
    <t>Iip Sutisna</t>
  </si>
  <si>
    <t>Rosman</t>
  </si>
  <si>
    <t>Vania Trisya Azzahra</t>
  </si>
  <si>
    <t>Yana</t>
  </si>
  <si>
    <t>Sales Manager = Belum Ada SM</t>
  </si>
  <si>
    <t>TIM TEGUH JUNNARTO</t>
  </si>
  <si>
    <t>TIM ARUEF SETYAJI</t>
  </si>
  <si>
    <t>TEGUH JUNNARTO</t>
  </si>
  <si>
    <t>NUR BUDI FEBRIANTO</t>
  </si>
  <si>
    <t>DEWI YUNANIK</t>
  </si>
  <si>
    <t>IMA PUSPITASARI</t>
  </si>
  <si>
    <t>DIMAS RAMADHANA</t>
  </si>
  <si>
    <t>VIRDIAS FATKA PRATAMA</t>
  </si>
  <si>
    <t>MUHAMMAD EKO SULISTIONO</t>
  </si>
  <si>
    <t>ARIEF SETYAJI</t>
  </si>
  <si>
    <t>IVON DENSI YOUS MARLINA</t>
  </si>
  <si>
    <t>RAMADHAN VICKO RAFSANJANI</t>
  </si>
  <si>
    <t>LUTFI HIDAYAT</t>
  </si>
  <si>
    <t>TRI LESTARI</t>
  </si>
  <si>
    <t>CAHYO WICAKSONO</t>
  </si>
  <si>
    <t>DAFIT PRASETIO</t>
  </si>
  <si>
    <t>REDIAN NANANG DARMOKO</t>
  </si>
  <si>
    <t>Regional Head = Jonatan Sitorus</t>
  </si>
  <si>
    <t>Sales Manager = Irwa Fauzi Harahap</t>
  </si>
  <si>
    <t>TIM YON SINDEK</t>
  </si>
  <si>
    <t>TIM MUHAMMAD FASHA</t>
  </si>
  <si>
    <t>TIM HOTMAULI</t>
  </si>
  <si>
    <t>TIM DIAN ADI</t>
  </si>
  <si>
    <t>Dian Adi Putra Hasibuan</t>
  </si>
  <si>
    <t>Raymond Hendrikus Sitanggang</t>
  </si>
  <si>
    <t>Feri Pratama</t>
  </si>
  <si>
    <t>Pradhana Gani</t>
  </si>
  <si>
    <t>Tasya Fadillah</t>
  </si>
  <si>
    <t>Mhd Dandi Pratama</t>
  </si>
  <si>
    <t>Muhammad Fasha</t>
  </si>
  <si>
    <t>Ival Yoga Sara</t>
  </si>
  <si>
    <t>Imam Ali Abber Harahap</t>
  </si>
  <si>
    <t>Iqbal Ramadhan</t>
  </si>
  <si>
    <t>Fahmi Nur Ikhlas</t>
  </si>
  <si>
    <t>Cahyo Purnomo</t>
  </si>
  <si>
    <t>Yon Sidek Sagala</t>
  </si>
  <si>
    <t>Delvi Putri Irawanda</t>
  </si>
  <si>
    <t>Addarun Nafis Pardede</t>
  </si>
  <si>
    <t>Tengku Riri Handayani</t>
  </si>
  <si>
    <t>Fredrick Gerhad Sitorus</t>
  </si>
  <si>
    <t>Angga Maulana</t>
  </si>
  <si>
    <t>Hotmauli Simaremare</t>
  </si>
  <si>
    <t>Bahtra Manalu</t>
  </si>
  <si>
    <t>Dian Lestari</t>
  </si>
  <si>
    <t>Mhd Hepri Handika</t>
  </si>
  <si>
    <t>Jamot Parningotan Manalu</t>
  </si>
  <si>
    <t>Muhammad Fadhil</t>
  </si>
  <si>
    <t>Sub Regional Head = Arya Adithya Kurnia</t>
  </si>
  <si>
    <t>Sales Manager = Septian Dwi Nugraha</t>
  </si>
  <si>
    <t>Hendrik Prasetyo</t>
  </si>
  <si>
    <t>Rizky Akbarudin</t>
  </si>
  <si>
    <t>Sigit Fendian Oktavianto</t>
  </si>
  <si>
    <t>Firdaus Koban</t>
  </si>
  <si>
    <t>Fatah Huya Alim</t>
  </si>
  <si>
    <t>Catur Setyawati</t>
  </si>
  <si>
    <t>Nur Hidayat</t>
  </si>
  <si>
    <t>Mega Kristiawan</t>
  </si>
  <si>
    <t>Ahmad Mustofa Habib</t>
  </si>
  <si>
    <t>Yonatan Nurwidiastoni</t>
  </si>
  <si>
    <t>Diah Perdana Yulianingrum</t>
  </si>
  <si>
    <t>Multazam Bariklana</t>
  </si>
  <si>
    <t>TIM MASHUDI</t>
  </si>
  <si>
    <t>TIM ANUGRAH VAHYO</t>
  </si>
  <si>
    <t>Mashudi</t>
  </si>
  <si>
    <t>Anugrah Cahyo Wardiyantanto</t>
  </si>
  <si>
    <t>Ahsanul Khuluk</t>
  </si>
  <si>
    <t>Anita Noviani</t>
  </si>
  <si>
    <t xml:space="preserve">Septi Prima Aretha </t>
  </si>
  <si>
    <t>Hendra</t>
  </si>
  <si>
    <t>Choirus Sakdiyah</t>
  </si>
  <si>
    <t xml:space="preserve">Muhammad Afifuddin </t>
  </si>
  <si>
    <t>Fahmi Fathoni</t>
  </si>
  <si>
    <t>Puput Marlinawati</t>
  </si>
  <si>
    <t>Fitria Jayanti Mahmud</t>
  </si>
  <si>
    <t>Angga Erwanto</t>
  </si>
  <si>
    <t>Mohamad Samsuri</t>
  </si>
  <si>
    <t>Khofsah Noor</t>
  </si>
  <si>
    <t>Muhammad Abdul Mukid</t>
  </si>
  <si>
    <t>Agus Imam Sugiarto</t>
  </si>
  <si>
    <t>Rizky Beta Kurniawan</t>
  </si>
  <si>
    <t>M Kharis Murfi</t>
  </si>
  <si>
    <t>Rio Priambodo</t>
  </si>
  <si>
    <t>TIM AGUNG SUGIARTO</t>
  </si>
  <si>
    <t>TIM DIKA CATUR</t>
  </si>
  <si>
    <t>TIM DIKA DANANG SETYAWAN</t>
  </si>
  <si>
    <t>Agung Sugiarto</t>
  </si>
  <si>
    <t>Danang Setyawan</t>
  </si>
  <si>
    <t>Dika Catur Susilo</t>
  </si>
  <si>
    <t xml:space="preserve"> </t>
  </si>
  <si>
    <t>Sub Regional Head = Hilman Rony</t>
  </si>
  <si>
    <t>Sales Manager = Ihsan Chairul Fahmi</t>
  </si>
  <si>
    <t>Septiadi rohanda</t>
  </si>
  <si>
    <t>Soni Lesmana</t>
  </si>
  <si>
    <t>Yendi Herdian</t>
  </si>
  <si>
    <t>Dena Sukandar</t>
  </si>
  <si>
    <t>Wahyu Agus Santoso</t>
  </si>
  <si>
    <t>Muhammad Rafi</t>
  </si>
  <si>
    <t>Adi Satria Somantri</t>
  </si>
  <si>
    <t>Riki Sukma G</t>
  </si>
  <si>
    <t>Angga Saputra</t>
  </si>
  <si>
    <t>Hanny Mufridha Sari</t>
  </si>
  <si>
    <t>Rustiana Putra</t>
  </si>
  <si>
    <t>Samsudin</t>
  </si>
  <si>
    <t>Indra Agung Permana</t>
  </si>
  <si>
    <t>Agus Adi Nurhidayat</t>
  </si>
  <si>
    <t>Aep Yudi</t>
  </si>
  <si>
    <t>Tegar Arini</t>
  </si>
  <si>
    <t>Roni Herlani</t>
  </si>
  <si>
    <t>Toni Herlani</t>
  </si>
  <si>
    <t>Dimas Eka Pratama</t>
  </si>
  <si>
    <t>Desta Agung Gumelar</t>
  </si>
  <si>
    <t>Irsyad Abidin</t>
  </si>
  <si>
    <t>Riyadi Wijaya</t>
  </si>
  <si>
    <t>Muhammad Habib Naabil Amperanto</t>
  </si>
  <si>
    <t>Putri Awalaisaly</t>
  </si>
  <si>
    <t>TIM SEPTIANDI ROHANDA</t>
  </si>
  <si>
    <t>TIM RONI HERLANI</t>
  </si>
  <si>
    <t>TIM ANGGA SAPUTRA</t>
  </si>
  <si>
    <t>Sales Manager = Robyana</t>
  </si>
  <si>
    <t>Deffan Khafi Adhiguna</t>
  </si>
  <si>
    <t>Gitus Gismana</t>
  </si>
  <si>
    <t>Sakti Anugrah Pamungkas</t>
  </si>
  <si>
    <t>Yuli Yuliana</t>
  </si>
  <si>
    <t>Yogi</t>
  </si>
  <si>
    <t>Panji Melandi</t>
  </si>
  <si>
    <t>No</t>
  </si>
  <si>
    <t>Area Sales</t>
  </si>
  <si>
    <t xml:space="preserve">Status </t>
  </si>
  <si>
    <t>MINUS/PLUS</t>
  </si>
  <si>
    <t>JAKARTA</t>
  </si>
  <si>
    <t>Active</t>
  </si>
  <si>
    <t xml:space="preserve">DEPOK </t>
  </si>
  <si>
    <t>TANGGERANG SELATAN(CIPUTAT)</t>
  </si>
  <si>
    <t>KOTA TANGGERANG (PORIS)</t>
  </si>
  <si>
    <t>KAB TANGGERANG(LEGOK CIKASUNGKA)</t>
  </si>
  <si>
    <t>KLAPANUNGGAL</t>
  </si>
  <si>
    <t>CILEUNGSI</t>
  </si>
  <si>
    <t>CIANJUR</t>
  </si>
  <si>
    <t>PARUNG BOGOR</t>
  </si>
  <si>
    <t xml:space="preserve">TAMBUN </t>
  </si>
  <si>
    <t>SERANG</t>
  </si>
  <si>
    <t>KAB PANDEGLANG</t>
  </si>
  <si>
    <t>CILEGON</t>
  </si>
  <si>
    <t>CIREBON</t>
  </si>
  <si>
    <t>SUBANG</t>
  </si>
  <si>
    <t>KARAWANG</t>
  </si>
  <si>
    <t>PURWAKARTA</t>
  </si>
  <si>
    <t>CISOLOK</t>
  </si>
  <si>
    <t>TASIKMALAYA</t>
  </si>
  <si>
    <t>KAB. TASIK</t>
  </si>
  <si>
    <t>CIAMIS</t>
  </si>
  <si>
    <t>CIAWI</t>
  </si>
  <si>
    <t>BANDUNG</t>
  </si>
  <si>
    <t>GARUT</t>
  </si>
  <si>
    <t>BANJAR</t>
  </si>
  <si>
    <t>SEMARANG</t>
  </si>
  <si>
    <t>KUDUS</t>
  </si>
  <si>
    <t>KENDAL</t>
  </si>
  <si>
    <t>DEMAK</t>
  </si>
  <si>
    <t>SOLO</t>
  </si>
  <si>
    <t>PURWOKERTO</t>
  </si>
  <si>
    <t>JOGJA</t>
  </si>
  <si>
    <t>KLATEN</t>
  </si>
  <si>
    <t>KEBUMEN</t>
  </si>
  <si>
    <t>CILACAP</t>
  </si>
  <si>
    <t>TEGAL</t>
  </si>
  <si>
    <t>KEDIRI</t>
  </si>
  <si>
    <t>MALANG</t>
  </si>
  <si>
    <t>PONOROGO</t>
  </si>
  <si>
    <t>BADUNG</t>
  </si>
  <si>
    <t>TABANAN</t>
  </si>
  <si>
    <t>DENPASAR</t>
  </si>
  <si>
    <t>NEGARA</t>
  </si>
  <si>
    <t>BANGKA BELITUNG</t>
  </si>
  <si>
    <t>MEDAN</t>
  </si>
  <si>
    <t>SURABAYA</t>
  </si>
  <si>
    <t>SIDOARJO</t>
  </si>
  <si>
    <t>Rizky Rimayandi Oktiawan</t>
  </si>
  <si>
    <t>Ragil Yusuf Setiawan</t>
  </si>
  <si>
    <t>Andika Pramudya</t>
  </si>
  <si>
    <t>Sahat Immanuel</t>
  </si>
  <si>
    <t>Sales Manager = Gunawan Soeprapto</t>
  </si>
  <si>
    <t>THERESIA OKTAVIA</t>
  </si>
  <si>
    <t>SAFII</t>
  </si>
  <si>
    <t>MUHAMAD IKSAN</t>
  </si>
  <si>
    <t>MATIAS NOPRYANTO RAUNGKU</t>
  </si>
  <si>
    <t>ANDEG LALA</t>
  </si>
  <si>
    <t>MIRA SUKMA DEWI ISKANDAR PUTRI</t>
  </si>
  <si>
    <t>DEMISA ZAI</t>
  </si>
  <si>
    <t>NOVI EFENDI</t>
  </si>
  <si>
    <t>NUR HIDAYAT SULISTYA</t>
  </si>
  <si>
    <t>CHARISMA PRIYA PURNOMO</t>
  </si>
  <si>
    <t>ESTHI NUGROHO DEWI</t>
  </si>
  <si>
    <t>MARYADI</t>
  </si>
  <si>
    <t>JULES SJARIF PARMONANGAN</t>
  </si>
  <si>
    <t>MUHAMMAD BIMA ARYAN SAPUTRA</t>
  </si>
  <si>
    <t xml:space="preserve">SUMARYADI </t>
  </si>
  <si>
    <t>AHLISH HIDAYATULLOH</t>
  </si>
  <si>
    <t>YOGI PUTRO WASKITO</t>
  </si>
  <si>
    <t>ARIS KURNIANTORO</t>
  </si>
  <si>
    <t>RORI PUJI ASTUTI</t>
  </si>
  <si>
    <t>DINA LISTIANA</t>
  </si>
  <si>
    <t>TIM THERESIA</t>
  </si>
  <si>
    <t>TIM SUMARYADI</t>
  </si>
  <si>
    <t>TIM NOVI EFENDI</t>
  </si>
  <si>
    <t>Muammal Iqbal</t>
  </si>
  <si>
    <t>Fendi Yuliyanto</t>
  </si>
  <si>
    <t>Hariyanto</t>
  </si>
  <si>
    <t>Beastrice Arum Sekarwangi</t>
  </si>
  <si>
    <t>Salsa Nur Fitria</t>
  </si>
  <si>
    <t>Agus Subyantoro</t>
  </si>
  <si>
    <t>Achmad Saiful Hadi</t>
  </si>
  <si>
    <t>Sales Manager = Ega Gustiansyah</t>
  </si>
  <si>
    <t>TIM RISKI ADE</t>
  </si>
  <si>
    <t>TIM DJUNAS AGUNG</t>
  </si>
  <si>
    <t>TIM YUDI DAMANHURI</t>
  </si>
  <si>
    <t>Riski Ade Wijaya</t>
  </si>
  <si>
    <t>Egi Prasetyo</t>
  </si>
  <si>
    <t>Akhmad Ferdiawan Riansah</t>
  </si>
  <si>
    <t>Riskomar</t>
  </si>
  <si>
    <t>Agusti Ranzaka</t>
  </si>
  <si>
    <t>Djunas Agung Priharda</t>
  </si>
  <si>
    <t>Dahlia</t>
  </si>
  <si>
    <t>Selviani Utami</t>
  </si>
  <si>
    <t>Amanda Desika</t>
  </si>
  <si>
    <t>Chrisna Panca Putra</t>
  </si>
  <si>
    <t>Yudi Damanhuri</t>
  </si>
  <si>
    <t>Nuryani</t>
  </si>
  <si>
    <t>Herlina Maulita</t>
  </si>
  <si>
    <t>Jopiter</t>
  </si>
  <si>
    <t>Reihan Syarif</t>
  </si>
  <si>
    <t>Sales Manager = Ayu Manalu</t>
  </si>
  <si>
    <t>YOGI AGUS RANDA</t>
  </si>
  <si>
    <t>IMEY MELIAWATI</t>
  </si>
  <si>
    <t>S2</t>
  </si>
  <si>
    <t>ATMA HAYYU FITRIYANTI</t>
  </si>
  <si>
    <t>WIDYA RAHMA</t>
  </si>
  <si>
    <t>DHEA APRILIA</t>
  </si>
  <si>
    <t>IRA ISMAYA</t>
  </si>
  <si>
    <t>ATMA HAYYU FITRIYANI</t>
  </si>
  <si>
    <t>SUMIATI</t>
  </si>
  <si>
    <t>SARI NOPITA SIPAHUTAR</t>
  </si>
  <si>
    <t>VIVI YANTI SIRAIT</t>
  </si>
  <si>
    <t>MUHAMAD ALPARIZI</t>
  </si>
  <si>
    <t>VELLY FRIYANTI DJOHAN</t>
  </si>
  <si>
    <t>NOVA INDRIANI</t>
  </si>
  <si>
    <t>ANDRE STEVE IMANUEL SAGALA</t>
  </si>
  <si>
    <t>RIZKY SURYA BINTARA SITORUS</t>
  </si>
  <si>
    <t>MOH ALBACTHIAR</t>
  </si>
  <si>
    <t>LIA ANGGRAENI</t>
  </si>
  <si>
    <t>FAKHRIAL KHAIDAR</t>
  </si>
  <si>
    <t>TAZ KHALIS ICHWAN</t>
  </si>
  <si>
    <t>SUKMA ANGEL</t>
  </si>
  <si>
    <t>Binsar Sudarmono S</t>
  </si>
  <si>
    <t>Marliana</t>
  </si>
  <si>
    <t>Nahum Winardi Putra S</t>
  </si>
  <si>
    <t>Nunung Septiani</t>
  </si>
  <si>
    <t>Friska Olivia Sihaloho</t>
  </si>
  <si>
    <t>Joko Rujito</t>
  </si>
  <si>
    <t>Boyke Suhendra</t>
  </si>
  <si>
    <t>Mayang Putri</t>
  </si>
  <si>
    <t>Exaudi Parulian S</t>
  </si>
  <si>
    <t>Nurdiansyah Atmanagara</t>
  </si>
  <si>
    <t>Ratna Tusyadiyah</t>
  </si>
  <si>
    <t>Aliwufron Sobirin</t>
  </si>
  <si>
    <t>Novita Herawati</t>
  </si>
  <si>
    <t>TIM BINSAR SUDARMONO</t>
  </si>
  <si>
    <t>TIM BOYKE SUHENDRA</t>
  </si>
  <si>
    <t>Sales Manager = I Wayan Mudita</t>
  </si>
  <si>
    <t>GEDE OKA CAHYADI PRATAMA</t>
  </si>
  <si>
    <t>NI LUH PUTU ADINDA SUCI LESTARI</t>
  </si>
  <si>
    <t>Ds</t>
  </si>
  <si>
    <t>NI LUH PUTU ASTITI DEWI</t>
  </si>
  <si>
    <t>MALIANA</t>
  </si>
  <si>
    <t>I MADE CANDRA PRANATA</t>
  </si>
  <si>
    <t>ERWIN HADI</t>
  </si>
  <si>
    <t>IRVAN RYNALDI</t>
  </si>
  <si>
    <t>YUDA PRATAMA</t>
  </si>
  <si>
    <t>AGUS JUNIANTO</t>
  </si>
  <si>
    <t>MUHAMMAD CAHYO SAPUTRO</t>
  </si>
  <si>
    <t>HIKMA HAQIQI</t>
  </si>
  <si>
    <t>BINTANG SURIADI SIBARANI</t>
  </si>
  <si>
    <t>KAMALUDIN</t>
  </si>
  <si>
    <t>M DWIKI DHARMAWAN</t>
  </si>
  <si>
    <t>SAFRIZAL HUTAGALUNG</t>
  </si>
  <si>
    <t>EBEN HAZAER ZAI</t>
  </si>
  <si>
    <t>JORDI UMBU LELE</t>
  </si>
  <si>
    <t>ADE RIANA</t>
  </si>
  <si>
    <t>DANIEL LOBAN</t>
  </si>
  <si>
    <t>I GST NGR MAS MAHAREKSHA BHIMASAKTHI</t>
  </si>
  <si>
    <t>GEDE SURIANTHA</t>
  </si>
  <si>
    <t>PUTU AGUS DARMAWAN</t>
  </si>
  <si>
    <t>PEMELIA MAKO</t>
  </si>
  <si>
    <t>TIM GEDE OKA</t>
  </si>
  <si>
    <t>TIM IRVAN TYNALDI</t>
  </si>
  <si>
    <t>TIM SAFRIZAL</t>
  </si>
  <si>
    <t>Swardana Arie Ardiansyah</t>
  </si>
  <si>
    <t>Redy Deny Triharyanto</t>
  </si>
  <si>
    <t>Maman Firmansyah</t>
  </si>
  <si>
    <t>Aryo Adhityas Setyo</t>
  </si>
  <si>
    <t>Syaifuddin</t>
  </si>
  <si>
    <t>Gatot Tri Widodo</t>
  </si>
  <si>
    <t>Ayok Setiyawan</t>
  </si>
  <si>
    <t>Achmad Bahak Udin</t>
  </si>
  <si>
    <t>Titik Winarsih</t>
  </si>
  <si>
    <t>Ichwan Rosadi</t>
  </si>
  <si>
    <t>Emier Wira Duhita</t>
  </si>
  <si>
    <t>Viky Ferdian</t>
  </si>
  <si>
    <t>Muhammad Faiz Mubarok</t>
  </si>
  <si>
    <t>Ahmad Saiful</t>
  </si>
  <si>
    <t>Natalia Kurniasari</t>
  </si>
  <si>
    <t>Vincent Hadinata Kosasih</t>
  </si>
  <si>
    <t>Mochamad Andri Sutrisno</t>
  </si>
  <si>
    <t>Dedy Purnomo</t>
  </si>
  <si>
    <t>M Fiqih Hanafi</t>
  </si>
  <si>
    <t>TIM GATOT</t>
  </si>
  <si>
    <t>TIM EMIER</t>
  </si>
  <si>
    <t>Moh Dendron Sekundratmo</t>
  </si>
  <si>
    <t>Bima Sakti</t>
  </si>
  <si>
    <t>Muhammad Faris Agung Fajar</t>
  </si>
  <si>
    <t>Sales Manager = Ilham Tejo Wahono</t>
  </si>
  <si>
    <t>IDA BAGUS KAMAJAYA</t>
  </si>
  <si>
    <t>Aris Supriyadi</t>
  </si>
  <si>
    <t>Muhammad Abidin Ardiyanto</t>
  </si>
  <si>
    <t>Putri puspitasari</t>
  </si>
  <si>
    <t>Nendra dewa kurniawan</t>
  </si>
  <si>
    <t>Andri afrizal</t>
  </si>
  <si>
    <t>Thomas Herdyanto Bagus Prasojo</t>
  </si>
  <si>
    <t>Alifian Aji Adewinata</t>
  </si>
  <si>
    <t>PRANA BRAHMANTYA</t>
  </si>
  <si>
    <t>Antonia Widya</t>
  </si>
  <si>
    <t>Francois Febriyanto</t>
  </si>
  <si>
    <t>Muhammad Sidqi Kamal</t>
  </si>
  <si>
    <t>Rifka Nailil Muna</t>
  </si>
  <si>
    <t>Dicky Yunarendra</t>
  </si>
  <si>
    <t>Nur Salim</t>
  </si>
  <si>
    <t xml:space="preserve">Ahmad Syaikhu </t>
  </si>
  <si>
    <t xml:space="preserve">Taufik Jorgi Kurniawan </t>
  </si>
  <si>
    <t xml:space="preserve">Pramunita Kristianti </t>
  </si>
  <si>
    <t xml:space="preserve">Rindi Adi Pratama </t>
  </si>
  <si>
    <t>Andik Noviyanto</t>
  </si>
  <si>
    <t>HELMY AS'ARY</t>
  </si>
  <si>
    <t>Aries sulistiyanto</t>
  </si>
  <si>
    <t>Habib Akbar</t>
  </si>
  <si>
    <t>Rezki Irwandy</t>
  </si>
  <si>
    <t>Rifqi Mubarak</t>
  </si>
  <si>
    <t>Bayu Satria Putra</t>
  </si>
  <si>
    <t>NUR HADI</t>
  </si>
  <si>
    <t>Yusuf Rani</t>
  </si>
  <si>
    <t>Siti Nurjanah</t>
  </si>
  <si>
    <t>Lilik setiawan</t>
  </si>
  <si>
    <t>Frengky Gilang Adi Pradana</t>
  </si>
  <si>
    <t>Trias Puspitasari</t>
  </si>
  <si>
    <t>RUDI KUNCORO</t>
  </si>
  <si>
    <t>Achmad hasan arfie</t>
  </si>
  <si>
    <t>Aditia rahman</t>
  </si>
  <si>
    <t>Lina indriyani</t>
  </si>
  <si>
    <t>Rima kuti</t>
  </si>
  <si>
    <t>Teguh subekti</t>
  </si>
  <si>
    <t xml:space="preserve">AKHMAD HARUN </t>
  </si>
  <si>
    <t>Eri setiawan</t>
  </si>
  <si>
    <t>Dodo kristono</t>
  </si>
  <si>
    <t>Avian wijayanto</t>
  </si>
  <si>
    <t>Widarwanto</t>
  </si>
  <si>
    <t>Wiwin Apit Yulianto</t>
  </si>
  <si>
    <t>Setyo Nugroho</t>
  </si>
  <si>
    <t>INDRA SETIAWAN</t>
  </si>
  <si>
    <t>Daima</t>
  </si>
  <si>
    <t>Moch syafrany</t>
  </si>
  <si>
    <t>Arief prabowo</t>
  </si>
  <si>
    <t>Anisa salsa nabila meita</t>
  </si>
  <si>
    <t>Anityo kukuh wirastantyo</t>
  </si>
  <si>
    <t>Sudibyo pujo wiyono</t>
  </si>
  <si>
    <t>Dedimy dwi saputra</t>
  </si>
  <si>
    <t>Ida Bagus Kamajaya</t>
  </si>
  <si>
    <t>Prana Brahmantya</t>
  </si>
  <si>
    <t>Helmy Asary</t>
  </si>
  <si>
    <t>Nur Hadi</t>
  </si>
  <si>
    <t>Rudi Kuncoro</t>
  </si>
  <si>
    <t>Akhmad Harun</t>
  </si>
  <si>
    <t>Indra Setiawan</t>
  </si>
  <si>
    <t>FIRMAN ERDIANTO</t>
  </si>
  <si>
    <t>SALATIGA</t>
  </si>
  <si>
    <t>BEST DS</t>
  </si>
  <si>
    <t>NAMA SALES</t>
  </si>
  <si>
    <t>PENCAPAIAN</t>
  </si>
  <si>
    <t>KOTA</t>
  </si>
  <si>
    <t>BEST SPV</t>
  </si>
  <si>
    <t>NAMA SPV</t>
  </si>
  <si>
    <t>Benny Hendra Buana</t>
  </si>
  <si>
    <t>Fikri Aditya Juliansyah</t>
  </si>
  <si>
    <t>Evan roswandi</t>
  </si>
  <si>
    <t>Nanan setiawan</t>
  </si>
  <si>
    <t>Aldi Firmansyah</t>
  </si>
  <si>
    <t>Rendra Dudia Sugara, S.T</t>
  </si>
  <si>
    <t>Lusy Krisbiyanti</t>
  </si>
  <si>
    <t>Ujang Yanto Priyanto</t>
  </si>
  <si>
    <t>Yuyun Nugraha</t>
  </si>
  <si>
    <t>Kris Ardianto</t>
  </si>
  <si>
    <t>Sachir Adam Nurba</t>
  </si>
  <si>
    <t>Dindin Solehudin</t>
  </si>
  <si>
    <t>Ipan Sopyan</t>
  </si>
  <si>
    <t>Yulius Hilman</t>
  </si>
  <si>
    <t>Deny Irawan</t>
  </si>
  <si>
    <t>Adi Suryadi</t>
  </si>
  <si>
    <t>Herdin Budiawan</t>
  </si>
  <si>
    <t>Aditya Abdul Muhyi</t>
  </si>
  <si>
    <t>Nanang Supriatna</t>
  </si>
  <si>
    <t>Angga Merdiana</t>
  </si>
  <si>
    <t>Mahmud</t>
  </si>
  <si>
    <t>Ahmad Arif Satriono</t>
  </si>
  <si>
    <t>Deri Kusdiana</t>
  </si>
  <si>
    <t>Yeni Hardiyani</t>
  </si>
  <si>
    <t>TIM RENDRA DUDIA</t>
  </si>
  <si>
    <t>TIM IPAN SOPYAN</t>
  </si>
  <si>
    <t>TIM NANANG SUPRIATNA</t>
  </si>
  <si>
    <t>Agnes Jatnika</t>
  </si>
  <si>
    <t>Ega Imam Syuhada</t>
  </si>
  <si>
    <t>Fuji Firmansyah Saputra</t>
  </si>
  <si>
    <t>Pizki Astrid Desianti</t>
  </si>
  <si>
    <t>Denny Tri Sutendi S.Kom.</t>
  </si>
  <si>
    <t>Iwan Setiawan</t>
  </si>
  <si>
    <t>Eky Al Faruky Mukti</t>
  </si>
  <si>
    <t>Agus sutedi</t>
  </si>
  <si>
    <t>Osa Usman Rusmana</t>
  </si>
  <si>
    <t>Sandi Rustandi</t>
  </si>
  <si>
    <t>Santi Mulyanti</t>
  </si>
  <si>
    <t>Insan Saeful Anwar</t>
  </si>
  <si>
    <t>Eka Kartika</t>
  </si>
  <si>
    <t>Mulyamin Aziz</t>
  </si>
  <si>
    <t>Muchamad Haerudin</t>
  </si>
  <si>
    <t>Arifin</t>
  </si>
  <si>
    <t>Sophan Soleh</t>
  </si>
  <si>
    <t>Edi Sudrajat</t>
  </si>
  <si>
    <t>BANJARSARI</t>
  </si>
  <si>
    <t>TIM AGNES JATNIKA</t>
  </si>
  <si>
    <t>TIM OSA USMAN</t>
  </si>
  <si>
    <t>TIM MUCHAMAD HAERUDIN</t>
  </si>
  <si>
    <t>Heri Nurdin J</t>
  </si>
  <si>
    <t>Dede Duhan</t>
  </si>
  <si>
    <t>Dimas Kurnia Asprilla</t>
  </si>
  <si>
    <t>Akbar Pranoto Wibowo</t>
  </si>
  <si>
    <t>Dadang Mulyana</t>
  </si>
  <si>
    <t>Zhehan Thansaharyana</t>
  </si>
  <si>
    <t>Sukma Permana Kusumah</t>
  </si>
  <si>
    <t>Hendra Irawan</t>
  </si>
  <si>
    <t>Didi Junaedi</t>
  </si>
  <si>
    <t>Jopi Safari</t>
  </si>
  <si>
    <t>Sopyan Maulana</t>
  </si>
  <si>
    <t>Yadi Indra Rahmawan</t>
  </si>
  <si>
    <t>TIM HERI NURDIN</t>
  </si>
  <si>
    <t>TIM SUKMA PERMANA KUSUMAH</t>
  </si>
  <si>
    <t>Joni M. Fajar</t>
  </si>
  <si>
    <t>Iki Muhammad Rizky</t>
  </si>
  <si>
    <t>Arief Rachman Hakim</t>
  </si>
  <si>
    <t>Iman Sulaiman</t>
  </si>
  <si>
    <t>Hendra Darmawan</t>
  </si>
  <si>
    <t>Deni Kurniawan</t>
  </si>
  <si>
    <t>Yeni Sri Ismiati</t>
  </si>
  <si>
    <t>Sales Manager = Syahrial</t>
  </si>
  <si>
    <t>Bangbang Himun H, S.Kom</t>
  </si>
  <si>
    <t>Hengki Permana</t>
  </si>
  <si>
    <t>Ahmad Syahriar Irawan</t>
  </si>
  <si>
    <t>Falhan Basya</t>
  </si>
  <si>
    <t>Devina Ruslan Se</t>
  </si>
  <si>
    <t>Dudi Gandana</t>
  </si>
  <si>
    <t>Hanifatus Syaidah Zahara</t>
  </si>
  <si>
    <t>Asep Suparman</t>
  </si>
  <si>
    <t>Taufik Hidayat</t>
  </si>
  <si>
    <t>Doni Herdiansyah</t>
  </si>
  <si>
    <t>Raisa Siti Ainiyah</t>
  </si>
  <si>
    <t>Hendar Suhendar</t>
  </si>
  <si>
    <t>Davin Alim</t>
  </si>
  <si>
    <t>Agung Dwi Laksono</t>
  </si>
  <si>
    <t>Ari Hidayat</t>
  </si>
  <si>
    <t>Cucu Komarudin</t>
  </si>
  <si>
    <t>Acep Rizal</t>
  </si>
  <si>
    <t>Piki Badarudin</t>
  </si>
  <si>
    <t>Berent Fariz</t>
  </si>
  <si>
    <t>Entis</t>
  </si>
  <si>
    <t>Dadang Dimyati</t>
  </si>
  <si>
    <t>Dicky Fauzi Nurhidayat</t>
  </si>
  <si>
    <t>Feri Ramadhani</t>
  </si>
  <si>
    <t>Dadang Dikdik</t>
  </si>
  <si>
    <t>Yosep Sopiana</t>
  </si>
  <si>
    <t>Yanto Heryanto</t>
  </si>
  <si>
    <t>TIM BANGBANG HIMUN</t>
  </si>
  <si>
    <t>TIM RAISA SITI</t>
  </si>
  <si>
    <t>TIM BERENT FARIZ</t>
  </si>
  <si>
    <t>Handi widiarno</t>
  </si>
  <si>
    <t>Iman Firman</t>
  </si>
  <si>
    <t>Dian Hernanda</t>
  </si>
  <si>
    <t>Abdul Koharudin</t>
  </si>
  <si>
    <t>Rudiansyah Moch Azhar</t>
  </si>
  <si>
    <t>Yudi Wahyudi</t>
  </si>
  <si>
    <t>Yuri Apriani</t>
  </si>
  <si>
    <t>Dasep Abdul Gopur</t>
  </si>
  <si>
    <t>Trisna Juliansyah</t>
  </si>
  <si>
    <t>Jajang Miftah Farid</t>
  </si>
  <si>
    <t>Vicky Azhar</t>
  </si>
  <si>
    <t>Asep Dedi</t>
  </si>
  <si>
    <t>Hery Gunawan Iskandar</t>
  </si>
  <si>
    <t>TIM IMAN FIRMAN</t>
  </si>
  <si>
    <t>TIM DASEP ABDUL GOPUR</t>
  </si>
  <si>
    <t>Gungun Gunawan</t>
  </si>
  <si>
    <t>Enur Husni Mubarok</t>
  </si>
  <si>
    <t>Teten Solehudin</t>
  </si>
  <si>
    <t>Musadad Alfaris</t>
  </si>
  <si>
    <t>Nuri Nuryanti</t>
  </si>
  <si>
    <t>Rifqi Sofwandi</t>
  </si>
  <si>
    <t>Fahmi</t>
  </si>
  <si>
    <t>Aditia Paturohman</t>
  </si>
  <si>
    <t>Trisna Dwinanda</t>
  </si>
  <si>
    <t>Yadi Budiman</t>
  </si>
  <si>
    <t>Rohmat Yusup</t>
  </si>
  <si>
    <t>Wandi Rizki Mauludin</t>
  </si>
  <si>
    <t>Aditya Yuda Pratama</t>
  </si>
  <si>
    <t>Yeyen Yudaningsih</t>
  </si>
  <si>
    <t>Muhammad Husby Mubarok</t>
  </si>
  <si>
    <t>Heri Mulyana</t>
  </si>
  <si>
    <t>Mia Kurniawan</t>
  </si>
  <si>
    <t>Muhammad Al - Barra</t>
  </si>
  <si>
    <t>Nurul Nurbaeti</t>
  </si>
  <si>
    <t>Diki Somantri</t>
  </si>
  <si>
    <t>Boma Jaya Priatna</t>
  </si>
  <si>
    <t>Riki Suganda</t>
  </si>
  <si>
    <t>Muhamad Rifki Herdiansyah</t>
  </si>
  <si>
    <t>Yuhendi Abdurrahman R</t>
  </si>
  <si>
    <t>TIM GUNGUN GUNAWAN</t>
  </si>
  <si>
    <t>TIM TRISNA DWINANDA</t>
  </si>
  <si>
    <t>TIM MIA KURNIAWAN</t>
  </si>
  <si>
    <t>Sales Manager = Fredi Sinaga</t>
  </si>
  <si>
    <t>CIPUTAT</t>
  </si>
  <si>
    <t>Budi Sambodo</t>
  </si>
  <si>
    <t xml:space="preserve">Muhamad Setiawan </t>
  </si>
  <si>
    <t>Muhammad Noval Ramadhan</t>
  </si>
  <si>
    <t>Ukasah</t>
  </si>
  <si>
    <t xml:space="preserve">Widi Widayat </t>
  </si>
  <si>
    <t xml:space="preserve">Erland Erlangga </t>
  </si>
  <si>
    <t>Muhamad Riski</t>
  </si>
  <si>
    <t>Melina</t>
  </si>
  <si>
    <t xml:space="preserve">Monalisa Sipahutar </t>
  </si>
  <si>
    <t xml:space="preserve">Sudarmanto </t>
  </si>
  <si>
    <t xml:space="preserve">Sella Rizkia </t>
  </si>
  <si>
    <t>Dian Sri Andryani</t>
  </si>
  <si>
    <t xml:space="preserve">Selsa Bella Hutabarat </t>
  </si>
  <si>
    <t xml:space="preserve"> Neinah Damaisari</t>
  </si>
  <si>
    <t>Muhammad Juan Nur</t>
  </si>
  <si>
    <t>TIM BUDI SAMBODO</t>
  </si>
  <si>
    <t>TIM MONALISA</t>
  </si>
  <si>
    <t xml:space="preserve">Suhardiansyah </t>
  </si>
  <si>
    <t>Dea Maulidah</t>
  </si>
  <si>
    <t>M Azriel Haznam S</t>
  </si>
  <si>
    <t xml:space="preserve">Ayulia Khaerunnisa  </t>
  </si>
  <si>
    <t xml:space="preserve">Rahmawati </t>
  </si>
  <si>
    <t>LEGOK DAN CIKASUNGKA</t>
  </si>
  <si>
    <t>PORIS</t>
  </si>
  <si>
    <t xml:space="preserve">Daniel Matius Kolondam </t>
  </si>
  <si>
    <t>Dita Cahyani</t>
  </si>
  <si>
    <t xml:space="preserve">Indah Noviyanti </t>
  </si>
  <si>
    <t xml:space="preserve">Bukhori </t>
  </si>
  <si>
    <t xml:space="preserve">Mika Wanti Nainggolan </t>
  </si>
  <si>
    <t xml:space="preserve">Aprina Siagian </t>
  </si>
  <si>
    <t>Sales Manager = Asri Lusiana Sagala</t>
  </si>
  <si>
    <t>Santoso Nainggolan</t>
  </si>
  <si>
    <t>Santo Yahya Purba</t>
  </si>
  <si>
    <t>Ibbe Arfiah Ambarita</t>
  </si>
  <si>
    <t>Rokhayati BT Wain</t>
  </si>
  <si>
    <t>Hendrik Pandapotan</t>
  </si>
  <si>
    <t>Leo Hermansyah</t>
  </si>
  <si>
    <t>Mayor Louis Enrique</t>
  </si>
  <si>
    <t>Irwan Panjaitan</t>
  </si>
  <si>
    <t xml:space="preserve">Ninton Silitonga </t>
  </si>
  <si>
    <t>Deliah Erfaniah</t>
  </si>
  <si>
    <t>Muhamad Rifki Anugrah</t>
  </si>
  <si>
    <t>Eneng Alindah</t>
  </si>
  <si>
    <t>Rehan Apriandra</t>
  </si>
  <si>
    <t>Rico Gabriel Oktavianus</t>
  </si>
  <si>
    <t>Faiz Zakaria</t>
  </si>
  <si>
    <t>Muhammad Sirhan Mahri</t>
  </si>
  <si>
    <t>Dimposma Hutagalung</t>
  </si>
  <si>
    <t>Julietta Winar Pasha</t>
  </si>
  <si>
    <t>Lely Meyana</t>
  </si>
  <si>
    <t>Suriati T.Situmeang</t>
  </si>
  <si>
    <t>Rani Martina Samosir</t>
  </si>
  <si>
    <t>Devi Leni Chrisna</t>
  </si>
  <si>
    <t xml:space="preserve">Rosyid Hidayahtullah </t>
  </si>
  <si>
    <t>Alvin Jon Raya S</t>
  </si>
  <si>
    <t>Daniel Toni Sagala</t>
  </si>
  <si>
    <t>Irwanto</t>
  </si>
  <si>
    <t>Nia Sapriyanti Wulandari</t>
  </si>
  <si>
    <t>Hinando Praya Saragih</t>
  </si>
  <si>
    <t>Nurul Alya Pertiwi Ichwan</t>
  </si>
  <si>
    <t>Krisdania Simamora</t>
  </si>
  <si>
    <t>Agus Muntaha</t>
  </si>
  <si>
    <t>TIM SANTOSO NAINGGOLAN</t>
  </si>
  <si>
    <t>TIM DIMPOSMA HUTAGALUNG</t>
  </si>
  <si>
    <t>TIM ALVIN JON R</t>
  </si>
  <si>
    <t>TIM DANIEL PARLINDUNGAN</t>
  </si>
  <si>
    <t>TIM IRWAN PANJAITAN</t>
  </si>
  <si>
    <t>Daniel Parlindungan</t>
  </si>
  <si>
    <t>Ignatius Romy Setyawan</t>
  </si>
  <si>
    <t>Juwisri Mariati Simanjuntak</t>
  </si>
  <si>
    <t>Maryanti Manalu</t>
  </si>
  <si>
    <t>Lewi Indriyani Panggabean</t>
  </si>
  <si>
    <t>Musa</t>
  </si>
  <si>
    <t>Nova Febrianti</t>
  </si>
  <si>
    <t>Melyana Samosir</t>
  </si>
  <si>
    <t>Nanda Amalia Febriani</t>
  </si>
  <si>
    <t>Haryanti</t>
  </si>
  <si>
    <t>Douglas sinaga</t>
  </si>
  <si>
    <t>Gresintia Samosir</t>
  </si>
  <si>
    <t>Delima Sihotang</t>
  </si>
  <si>
    <t>Fitrianingsih Siregar</t>
  </si>
  <si>
    <t>Abdul zaki</t>
  </si>
  <si>
    <t>Lingga Anugrah</t>
  </si>
  <si>
    <t>M.Hafi Ramzi</t>
  </si>
  <si>
    <t>Muhammad Rifal</t>
  </si>
  <si>
    <t>Nurul Fitri</t>
  </si>
  <si>
    <t>Dentya Herdyyanti Gantini</t>
  </si>
  <si>
    <t>Budi Prasetyo</t>
  </si>
  <si>
    <t>Candra Pujo Astomo</t>
  </si>
  <si>
    <t xml:space="preserve">WILSON MANALU </t>
  </si>
  <si>
    <t xml:space="preserve">DEARREN HEAZEL REVIALY </t>
  </si>
  <si>
    <t xml:space="preserve">RISKA TASYA MONTANIA GIRSANG </t>
  </si>
  <si>
    <t>BASTIAN RONALDO BUTAR BUTAR</t>
  </si>
  <si>
    <t xml:space="preserve">ELSANA ROSMINDO SIHOMBING </t>
  </si>
  <si>
    <t>Sales Manager = Muh Abrori</t>
  </si>
  <si>
    <t>ACHMADUN</t>
  </si>
  <si>
    <t>MAILAN</t>
  </si>
  <si>
    <t>TRI WAHYONO</t>
  </si>
  <si>
    <t>HARYONO</t>
  </si>
  <si>
    <t>AJIS SAPTORI</t>
  </si>
  <si>
    <t>ASTRI RAHMAWATI</t>
  </si>
  <si>
    <t>TEGUH PRABOWO</t>
  </si>
  <si>
    <t>SUTAN ALI SOBANA</t>
  </si>
  <si>
    <t>HAFID SANGIDUN</t>
  </si>
  <si>
    <t>SUJA SUDIRJA</t>
  </si>
  <si>
    <t>RD UJANG OTAN HARTANTO</t>
  </si>
  <si>
    <t>ABDUL RAJAB</t>
  </si>
  <si>
    <t>NEELAM AMALIA</t>
  </si>
  <si>
    <t>TUBAGUS HENDI DARMANSYAH</t>
  </si>
  <si>
    <t>UNTUNG WIBOWO</t>
  </si>
  <si>
    <t>CUT SALSABILAH SUCIANI</t>
  </si>
  <si>
    <t>MUHAMAD ALFANI</t>
  </si>
  <si>
    <t>DHANI RAMADON</t>
  </si>
  <si>
    <t>ZULMI RAMADHAN</t>
  </si>
  <si>
    <t>HERU SAPUTRA</t>
  </si>
  <si>
    <t>RAHMAT GUMILANG</t>
  </si>
  <si>
    <t>RIFFAN MUBAROK</t>
  </si>
  <si>
    <t>CENGKARENG</t>
  </si>
  <si>
    <t>TIM ACHMADUN</t>
  </si>
  <si>
    <t>TIM TEGUH PRABOWO</t>
  </si>
  <si>
    <t>TIM UNTUNG WIBOWO</t>
  </si>
  <si>
    <t>BAGAS PERMANA</t>
  </si>
  <si>
    <t>RAHMAT HIDAYAT</t>
  </si>
  <si>
    <t>CHADIKA KUSUMA</t>
  </si>
  <si>
    <t>MUHAMMAD JAKA NUGRAHA</t>
  </si>
  <si>
    <t>LILI WARNALI</t>
  </si>
  <si>
    <t>AHMAD BUCHORI</t>
  </si>
  <si>
    <t>MOCH RIZKY RAMADAN</t>
  </si>
  <si>
    <t>GILANG BAHTIAR</t>
  </si>
  <si>
    <t>NAZAR YAHYA</t>
  </si>
  <si>
    <t>ARDEN ZUHDI</t>
  </si>
  <si>
    <t>IRFAN SUPIAN</t>
  </si>
  <si>
    <t>UCI SANUSI</t>
  </si>
  <si>
    <t>DENI WAHYUDIN</t>
  </si>
  <si>
    <t>MOCHAMAD ALEK LESMANA</t>
  </si>
  <si>
    <t>SOLEH SUHADA</t>
  </si>
  <si>
    <t>MUHAMMAD ROMMY ALFAREZ</t>
  </si>
  <si>
    <t>TIM BAGAS PERMANA</t>
  </si>
  <si>
    <t>TIM NAZAR YAHYA</t>
  </si>
  <si>
    <t>PANDI</t>
  </si>
  <si>
    <t>FERRY MAHALIO SUDADI</t>
  </si>
  <si>
    <t>RIDWAN MAULANA</t>
  </si>
  <si>
    <t>PENDI APANDI</t>
  </si>
  <si>
    <t>HERDIANSYAH FAUZAN</t>
  </si>
  <si>
    <t>FERDINAND EKO DEWA</t>
  </si>
  <si>
    <t>AGUNG SURYANINGRAT</t>
  </si>
  <si>
    <t>JONATHAN RIRIHENA</t>
  </si>
  <si>
    <t>Sales Manager = Danuary Sihombing</t>
  </si>
  <si>
    <t>DANUARY RIJKAARD SIHOMBING</t>
  </si>
  <si>
    <t>I MADE JULIANTARA</t>
  </si>
  <si>
    <t>NI MADE KARMI</t>
  </si>
  <si>
    <t>TRIANA JIHAN</t>
  </si>
  <si>
    <t>PUTU AGUS PRAMANA PUTRA</t>
  </si>
  <si>
    <t>I MADE RISKY PUTRA JAYA ARDHANA</t>
  </si>
  <si>
    <t>KADEK DEDI RINAWAN</t>
  </si>
  <si>
    <t>I WAYAN PUTU SARJANA</t>
  </si>
  <si>
    <t>I NENGAH SEMARA PUTRA</t>
  </si>
  <si>
    <t>I KOMANG JANUADI</t>
  </si>
  <si>
    <t>BAYU SAPUTRA</t>
  </si>
  <si>
    <t>GEDE AGUS SUBAWA</t>
  </si>
  <si>
    <t>NAWAL FIQOTUL HIKMAH</t>
  </si>
  <si>
    <t>ARNOLD SANJAYA</t>
  </si>
  <si>
    <t>AHMAD FIRMANSYAH</t>
  </si>
  <si>
    <t>I GUSTI NGURAH PUTRA ARDINATA</t>
  </si>
  <si>
    <t>WINDA DEWINI</t>
  </si>
  <si>
    <t>CLINTON EDEN MANURUNG</t>
  </si>
  <si>
    <t xml:space="preserve">TIM KADEK DEDI </t>
  </si>
  <si>
    <t>TIM DANUARY</t>
  </si>
  <si>
    <t>MOH AMINULLOH</t>
  </si>
  <si>
    <t>TIM ARNOLD SANJAYA</t>
  </si>
  <si>
    <t>TIM DEDE IRWAN</t>
  </si>
  <si>
    <t>TANGSEL (CIPUTAT)</t>
  </si>
  <si>
    <t>TIM DANIEL KOLONDAM</t>
  </si>
  <si>
    <t>TIM SUHARDIANSAH</t>
  </si>
  <si>
    <t>KAB TANGGERANG</t>
  </si>
  <si>
    <t>KOTA TANGGERANG</t>
  </si>
  <si>
    <t>DEPOK</t>
  </si>
  <si>
    <t>TIM MELYANA SAMOSIR</t>
  </si>
  <si>
    <t>TIM ABDUL ZAKI</t>
  </si>
  <si>
    <t>TIM WILSON MANALU</t>
  </si>
  <si>
    <t>TIM YOGI AGUS RANDA</t>
  </si>
  <si>
    <t>TIM TANPA SPV</t>
  </si>
  <si>
    <t>PARUNG</t>
  </si>
  <si>
    <t>TIM MOH ALBACHTIAR</t>
  </si>
  <si>
    <t>TAMBUN</t>
  </si>
  <si>
    <t>TIM DEFFAN KAHFI</t>
  </si>
  <si>
    <t>TIM PANDI</t>
  </si>
  <si>
    <t xml:space="preserve">BANJAR </t>
  </si>
  <si>
    <t>TIM JONI M FAJAR</t>
  </si>
  <si>
    <t>KAB TASIK</t>
  </si>
  <si>
    <t>TIM Ida Bagus Kamajaya</t>
  </si>
  <si>
    <t>TIM Prana Brahmantya</t>
  </si>
  <si>
    <t>TIM Nur Salim</t>
  </si>
  <si>
    <t>TIM Helmy Asary</t>
  </si>
  <si>
    <t>TIM Nur Hadi</t>
  </si>
  <si>
    <t>TIM Rudi Kuncoro</t>
  </si>
  <si>
    <t>TIM Akhmad Harun</t>
  </si>
  <si>
    <t>TIM Indra Setiawan</t>
  </si>
  <si>
    <t>TIM SUHENDI</t>
  </si>
  <si>
    <t>TIM LATHIF</t>
  </si>
  <si>
    <t>TIM TANPA SPV (7 DS)</t>
  </si>
  <si>
    <t>TIM DANANG SETYAWAN</t>
  </si>
  <si>
    <t>TIM RIZKY RIMAYANDI</t>
  </si>
  <si>
    <t>TIM MUAMMAL IQBAL</t>
  </si>
  <si>
    <t>TIM FIRMAN ERDIANTO</t>
  </si>
  <si>
    <t>TIM MOH DENDRON</t>
  </si>
  <si>
    <t>TIM GEDE SURIANTHA</t>
  </si>
  <si>
    <t>MOH SADAM PUTRA</t>
  </si>
  <si>
    <t>Anugrah Cahyo</t>
  </si>
  <si>
    <t>Semarang</t>
  </si>
  <si>
    <t>Kendal</t>
  </si>
  <si>
    <t>Ni Luh Putu Astiti Dewi</t>
  </si>
  <si>
    <t>Badung</t>
  </si>
  <si>
    <t>PENCAPAIAN 21 OKT- 20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</si>
</sst>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3F3F3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BF699"/>
      </patternFill>
    </fill>
    <fill>
      <patternFill patternType="solid">
        <fgColor rgb="FFF2F2F2"/>
      </patternFill>
    </fill>
    <fill>
      <patternFill patternType="solid">
        <fgColor theme="0"/>
        <bgColor rgb="FFFBF7B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92D05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/>
    <xf numFmtId="9" fontId="10" fillId="0" borderId="0">
      <alignment vertical="top"/>
      <protection locked="0"/>
    </xf>
    <xf numFmtId="0" fontId="10" fillId="0" borderId="0">
      <protection locked="0"/>
    </xf>
    <xf numFmtId="0" fontId="10" fillId="0" borderId="0">
      <protection locked="0"/>
    </xf>
    <xf numFmtId="0" fontId="7" fillId="0" borderId="0">
      <protection locked="0"/>
    </xf>
    <xf numFmtId="0" fontId="10" fillId="0" borderId="0">
      <protection locked="0"/>
    </xf>
    <xf numFmtId="0" fontId="7" fillId="0" borderId="0">
      <protection locked="0"/>
    </xf>
    <xf numFmtId="0" fontId="9" fillId="0" borderId="0"/>
    <xf numFmtId="0" fontId="7" fillId="0" borderId="0">
      <alignment vertical="center"/>
    </xf>
    <xf numFmtId="0" fontId="15" fillId="0" borderId="0"/>
    <xf numFmtId="0" fontId="16" fillId="0" borderId="0"/>
    <xf numFmtId="9" fontId="1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10" fillId="0" borderId="0">
      <protection locked="0"/>
    </xf>
    <xf numFmtId="0" fontId="25" fillId="9" borderId="11">
      <protection locked="0"/>
    </xf>
    <xf numFmtId="0" fontId="20" fillId="0" borderId="0" applyNumberFormat="0" applyFill="0" applyBorder="0" applyAlignment="0" applyProtection="0">
      <alignment vertical="center"/>
    </xf>
  </cellStyleXfs>
  <cellXfs count="228">
    <xf numFmtId="0" fontId="0" fillId="0" borderId="0" xfId="0"/>
    <xf numFmtId="0" fontId="3" fillId="2" borderId="2" xfId="0" applyFont="1" applyFill="1" applyBorder="1" applyAlignment="1">
      <alignment horizontal="center"/>
    </xf>
    <xf numFmtId="9" fontId="3" fillId="2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3" fillId="3" borderId="0" xfId="0" applyFont="1" applyFill="1"/>
    <xf numFmtId="9" fontId="0" fillId="0" borderId="0" xfId="0" applyNumberFormat="1" applyAlignment="1">
      <alignment horizontal="center"/>
    </xf>
    <xf numFmtId="0" fontId="0" fillId="4" borderId="2" xfId="0" applyFill="1" applyBorder="1"/>
    <xf numFmtId="0" fontId="8" fillId="4" borderId="2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4" borderId="2" xfId="2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Continuous" vertical="center"/>
    </xf>
    <xf numFmtId="0" fontId="2" fillId="4" borderId="2" xfId="2" applyFont="1" applyFill="1" applyBorder="1" applyAlignment="1">
      <alignment horizontal="left" vertical="center"/>
    </xf>
    <xf numFmtId="0" fontId="8" fillId="4" borderId="2" xfId="0" applyFont="1" applyFill="1" applyBorder="1"/>
    <xf numFmtId="0" fontId="0" fillId="0" borderId="2" xfId="0" applyBorder="1" applyAlignment="1">
      <alignment horizontal="center"/>
    </xf>
    <xf numFmtId="9" fontId="8" fillId="4" borderId="2" xfId="0" applyNumberFormat="1" applyFont="1" applyFill="1" applyBorder="1"/>
    <xf numFmtId="9" fontId="0" fillId="0" borderId="0" xfId="0" applyNumberFormat="1"/>
    <xf numFmtId="9" fontId="0" fillId="0" borderId="2" xfId="0" applyNumberFormat="1" applyBorder="1"/>
    <xf numFmtId="0" fontId="3" fillId="0" borderId="2" xfId="0" applyFont="1" applyBorder="1"/>
    <xf numFmtId="0" fontId="9" fillId="5" borderId="2" xfId="2" applyFont="1" applyFill="1" applyBorder="1" applyAlignment="1">
      <alignment horizontal="left" vertical="center"/>
    </xf>
    <xf numFmtId="0" fontId="9" fillId="4" borderId="2" xfId="2" applyFont="1" applyFill="1" applyBorder="1" applyAlignment="1">
      <alignment horizontal="center" vertical="center"/>
    </xf>
    <xf numFmtId="9" fontId="0" fillId="4" borderId="2" xfId="0" applyNumberFormat="1" applyFill="1" applyBorder="1"/>
    <xf numFmtId="0" fontId="9" fillId="4" borderId="2" xfId="2" applyFont="1" applyFill="1" applyBorder="1" applyAlignment="1">
      <alignment horizontal="left" vertical="center"/>
    </xf>
    <xf numFmtId="0" fontId="8" fillId="4" borderId="2" xfId="2" applyFont="1" applyFill="1" applyBorder="1" applyAlignment="1">
      <alignment vertical="center"/>
    </xf>
    <xf numFmtId="0" fontId="0" fillId="4" borderId="2" xfId="2" applyFont="1" applyFill="1" applyBorder="1" applyAlignment="1">
      <alignment horizontal="centerContinuous" vertical="center"/>
    </xf>
    <xf numFmtId="0" fontId="0" fillId="4" borderId="2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vertical="center"/>
    </xf>
    <xf numFmtId="0" fontId="3" fillId="2" borderId="2" xfId="0" applyFont="1" applyFill="1" applyBorder="1"/>
    <xf numFmtId="9" fontId="3" fillId="2" borderId="2" xfId="0" applyNumberFormat="1" applyFont="1" applyFill="1" applyBorder="1"/>
    <xf numFmtId="9" fontId="3" fillId="0" borderId="2" xfId="0" applyNumberFormat="1" applyFont="1" applyBorder="1"/>
    <xf numFmtId="0" fontId="0" fillId="6" borderId="2" xfId="0" applyFill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9" fillId="6" borderId="2" xfId="8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8" fillId="0" borderId="2" xfId="8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4" fillId="4" borderId="2" xfId="10" applyFont="1" applyFill="1" applyBorder="1" applyAlignment="1">
      <alignment horizontal="left"/>
    </xf>
    <xf numFmtId="0" fontId="8" fillId="4" borderId="2" xfId="10" applyFont="1" applyFill="1" applyBorder="1" applyAlignment="1">
      <alignment horizontal="center"/>
    </xf>
    <xf numFmtId="0" fontId="14" fillId="4" borderId="2" xfId="10" applyFont="1" applyFill="1" applyBorder="1" applyAlignment="1">
      <alignment horizontal="center"/>
    </xf>
    <xf numFmtId="0" fontId="14" fillId="4" borderId="2" xfId="11" applyFont="1" applyFill="1" applyBorder="1" applyAlignment="1">
      <alignment horizontal="left"/>
    </xf>
    <xf numFmtId="0" fontId="8" fillId="4" borderId="2" xfId="11" applyFont="1" applyFill="1" applyBorder="1" applyAlignment="1">
      <alignment horizontal="center"/>
    </xf>
    <xf numFmtId="0" fontId="14" fillId="4" borderId="2" xfId="11" applyFont="1" applyFill="1" applyBorder="1" applyAlignment="1">
      <alignment horizontal="center"/>
    </xf>
    <xf numFmtId="0" fontId="14" fillId="4" borderId="2" xfId="12" applyFont="1" applyFill="1" applyBorder="1" applyAlignment="1">
      <alignment horizontal="left"/>
    </xf>
    <xf numFmtId="0" fontId="8" fillId="4" borderId="2" xfId="12" applyFont="1" applyFill="1" applyBorder="1" applyAlignment="1">
      <alignment horizontal="center"/>
    </xf>
    <xf numFmtId="0" fontId="14" fillId="4" borderId="2" xfId="12" applyFont="1" applyFill="1" applyBorder="1" applyAlignment="1">
      <alignment horizontal="center"/>
    </xf>
    <xf numFmtId="0" fontId="0" fillId="4" borderId="2" xfId="10" applyFont="1" applyFill="1" applyBorder="1" applyAlignment="1">
      <alignment horizontal="center" wrapText="1" readingOrder="1"/>
    </xf>
    <xf numFmtId="0" fontId="0" fillId="4" borderId="2" xfId="11" applyFont="1" applyFill="1" applyBorder="1" applyAlignment="1">
      <alignment horizontal="center" wrapText="1" readingOrder="1"/>
    </xf>
    <xf numFmtId="0" fontId="14" fillId="4" borderId="2" xfId="13" applyFont="1" applyFill="1" applyBorder="1" applyAlignment="1">
      <alignment horizontal="left"/>
    </xf>
    <xf numFmtId="0" fontId="8" fillId="4" borderId="2" xfId="13" applyFont="1" applyFill="1" applyBorder="1" applyAlignment="1">
      <alignment horizontal="center"/>
    </xf>
    <xf numFmtId="0" fontId="14" fillId="4" borderId="2" xfId="13" applyFont="1" applyFill="1" applyBorder="1" applyAlignment="1">
      <alignment horizontal="center"/>
    </xf>
    <xf numFmtId="0" fontId="14" fillId="4" borderId="2" xfId="14" applyFont="1" applyFill="1" applyBorder="1" applyAlignment="1">
      <alignment horizontal="left"/>
    </xf>
    <xf numFmtId="0" fontId="8" fillId="4" borderId="2" xfId="14" applyFont="1" applyFill="1" applyBorder="1" applyAlignment="1">
      <alignment horizontal="center"/>
    </xf>
    <xf numFmtId="0" fontId="14" fillId="4" borderId="2" xfId="14" applyFont="1" applyFill="1" applyBorder="1" applyAlignment="1">
      <alignment horizontal="center"/>
    </xf>
    <xf numFmtId="0" fontId="13" fillId="0" borderId="10" xfId="15" applyFont="1" applyBorder="1" applyAlignment="1">
      <alignment horizontal="left"/>
    </xf>
    <xf numFmtId="0" fontId="0" fillId="4" borderId="3" xfId="0" applyFill="1" applyBorder="1"/>
    <xf numFmtId="0" fontId="12" fillId="4" borderId="2" xfId="15" applyFont="1" applyFill="1" applyBorder="1" applyAlignment="1">
      <alignment horizontal="center"/>
    </xf>
    <xf numFmtId="0" fontId="11" fillId="4" borderId="2" xfId="15" applyFont="1" applyFill="1" applyBorder="1" applyAlignment="1">
      <alignment horizontal="center"/>
    </xf>
    <xf numFmtId="0" fontId="14" fillId="4" borderId="2" xfId="16" applyFont="1" applyFill="1" applyBorder="1" applyAlignment="1">
      <alignment horizontal="left"/>
    </xf>
    <xf numFmtId="0" fontId="8" fillId="4" borderId="2" xfId="16" applyFont="1" applyFill="1" applyBorder="1" applyAlignment="1">
      <alignment horizontal="center"/>
    </xf>
    <xf numFmtId="0" fontId="14" fillId="4" borderId="2" xfId="16" applyFont="1" applyFill="1" applyBorder="1" applyAlignment="1">
      <alignment horizontal="center"/>
    </xf>
    <xf numFmtId="0" fontId="0" fillId="4" borderId="2" xfId="16" applyFont="1" applyFill="1" applyBorder="1" applyAlignment="1">
      <alignment horizontal="left"/>
    </xf>
    <xf numFmtId="0" fontId="0" fillId="4" borderId="2" xfId="16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2" xfId="4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7" borderId="2" xfId="4" applyFont="1" applyFill="1" applyBorder="1"/>
    <xf numFmtId="0" fontId="8" fillId="8" borderId="2" xfId="4" applyFont="1" applyFill="1" applyBorder="1" applyAlignment="1">
      <alignment horizontal="center"/>
    </xf>
    <xf numFmtId="0" fontId="8" fillId="4" borderId="2" xfId="4" applyFont="1" applyFill="1" applyBorder="1"/>
    <xf numFmtId="0" fontId="8" fillId="7" borderId="2" xfId="0" applyFont="1" applyFill="1" applyBorder="1"/>
    <xf numFmtId="0" fontId="8" fillId="8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8" applyFont="1" applyFill="1" applyBorder="1" applyAlignment="1">
      <alignment horizontal="left" vertical="center"/>
    </xf>
    <xf numFmtId="0" fontId="8" fillId="4" borderId="2" xfId="8" applyFont="1" applyFill="1" applyBorder="1" applyAlignment="1">
      <alignment horizontal="center" vertical="center"/>
    </xf>
    <xf numFmtId="0" fontId="8" fillId="5" borderId="2" xfId="8" applyFont="1" applyFill="1" applyBorder="1" applyAlignment="1">
      <alignment horizontal="left" vertical="center"/>
    </xf>
    <xf numFmtId="0" fontId="8" fillId="4" borderId="2" xfId="8" applyFont="1" applyFill="1" applyBorder="1" applyAlignment="1"/>
    <xf numFmtId="0" fontId="8" fillId="4" borderId="2" xfId="8" applyFont="1" applyFill="1" applyBorder="1" applyAlignment="1">
      <alignment horizontal="left"/>
    </xf>
    <xf numFmtId="0" fontId="8" fillId="4" borderId="2" xfId="8" applyFont="1" applyFill="1" applyBorder="1" applyAlignment="1">
      <alignment horizontal="left" indent="1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2" borderId="6" xfId="0" applyNumberFormat="1" applyFont="1" applyFill="1" applyBorder="1" applyAlignment="1">
      <alignment horizontal="center" vertical="center" wrapText="1"/>
    </xf>
    <xf numFmtId="9" fontId="5" fillId="2" borderId="5" xfId="1" applyFont="1" applyFill="1" applyBorder="1" applyAlignment="1">
      <alignment horizontal="center" vertical="center" wrapText="1"/>
    </xf>
    <xf numFmtId="9" fontId="5" fillId="2" borderId="7" xfId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3" fillId="2" borderId="3" xfId="0" applyNumberFormat="1" applyFont="1" applyFill="1" applyBorder="1" applyAlignment="1">
      <alignment horizontal="center"/>
    </xf>
    <xf numFmtId="10" fontId="3" fillId="2" borderId="4" xfId="0" applyNumberFormat="1" applyFont="1" applyFill="1" applyBorder="1" applyAlignment="1">
      <alignment horizontal="center"/>
    </xf>
    <xf numFmtId="1" fontId="5" fillId="2" borderId="8" xfId="0" applyNumberFormat="1" applyFont="1" applyFill="1" applyBorder="1" applyAlignment="1">
      <alignment horizontal="center" vertical="center" wrapText="1"/>
    </xf>
    <xf numFmtId="9" fontId="5" fillId="2" borderId="9" xfId="1" applyFont="1" applyFill="1" applyBorder="1" applyAlignment="1">
      <alignment horizontal="center" vertical="center" wrapText="1"/>
    </xf>
    <xf numFmtId="0" fontId="0" fillId="0" borderId="2" xfId="0" applyFont="1" applyBorder="1"/>
    <xf numFmtId="0" fontId="0" fillId="4" borderId="2" xfId="0" applyFont="1" applyFill="1" applyBorder="1"/>
    <xf numFmtId="0" fontId="0" fillId="4" borderId="2" xfId="26" applyFont="1" applyFill="1" applyBorder="1"/>
    <xf numFmtId="0" fontId="0" fillId="4" borderId="2" xfId="26" applyFont="1" applyFill="1" applyBorder="1" applyAlignment="1">
      <alignment horizontal="center"/>
    </xf>
    <xf numFmtId="0" fontId="0" fillId="10" borderId="2" xfId="26" applyFont="1" applyFill="1" applyBorder="1" applyAlignment="1">
      <alignment horizontal="center"/>
    </xf>
    <xf numFmtId="0" fontId="0" fillId="11" borderId="2" xfId="26" applyFont="1" applyFill="1" applyBorder="1"/>
    <xf numFmtId="0" fontId="0" fillId="7" borderId="2" xfId="26" applyFont="1" applyFill="1" applyBorder="1" applyAlignment="1">
      <alignment horizontal="center"/>
    </xf>
    <xf numFmtId="0" fontId="0" fillId="12" borderId="2" xfId="26" applyFont="1" applyFill="1" applyBorder="1" applyAlignment="1">
      <alignment horizontal="center"/>
    </xf>
    <xf numFmtId="0" fontId="0" fillId="7" borderId="2" xfId="26" applyFont="1" applyFill="1" applyBorder="1"/>
    <xf numFmtId="0" fontId="0" fillId="8" borderId="2" xfId="26" applyFont="1" applyFill="1" applyBorder="1" applyAlignment="1">
      <alignment horizontal="center"/>
    </xf>
    <xf numFmtId="9" fontId="5" fillId="2" borderId="5" xfId="1" applyNumberFormat="1" applyFont="1" applyFill="1" applyBorder="1" applyAlignment="1">
      <alignment horizontal="center" vertical="center" wrapText="1"/>
    </xf>
    <xf numFmtId="9" fontId="5" fillId="2" borderId="7" xfId="1" applyNumberFormat="1" applyFont="1" applyFill="1" applyBorder="1" applyAlignment="1">
      <alignment horizontal="center" vertical="center" wrapText="1"/>
    </xf>
    <xf numFmtId="9" fontId="0" fillId="4" borderId="2" xfId="0" applyNumberFormat="1" applyFont="1" applyFill="1" applyBorder="1"/>
    <xf numFmtId="0" fontId="0" fillId="4" borderId="2" xfId="27" applyFont="1" applyFill="1" applyBorder="1" applyAlignment="1">
      <alignment horizontal="center"/>
    </xf>
    <xf numFmtId="0" fontId="0" fillId="4" borderId="2" xfId="27" applyFont="1" applyFill="1" applyBorder="1"/>
    <xf numFmtId="0" fontId="3" fillId="4" borderId="2" xfId="0" applyFont="1" applyFill="1" applyBorder="1"/>
    <xf numFmtId="0" fontId="1" fillId="4" borderId="2" xfId="27" applyFont="1" applyFill="1" applyBorder="1"/>
    <xf numFmtId="0" fontId="1" fillId="4" borderId="2" xfId="27" applyFont="1" applyFill="1" applyBorder="1" applyAlignment="1">
      <alignment horizontal="center"/>
    </xf>
    <xf numFmtId="0" fontId="1" fillId="10" borderId="2" xfId="27" applyFont="1" applyFill="1" applyBorder="1" applyAlignment="1">
      <alignment horizontal="center"/>
    </xf>
    <xf numFmtId="0" fontId="1" fillId="11" borderId="2" xfId="27" applyFont="1" applyFill="1" applyBorder="1"/>
    <xf numFmtId="0" fontId="1" fillId="7" borderId="2" xfId="27" applyFont="1" applyFill="1" applyBorder="1" applyAlignment="1">
      <alignment horizontal="center"/>
    </xf>
    <xf numFmtId="0" fontId="1" fillId="12" borderId="2" xfId="27" applyFont="1" applyFill="1" applyBorder="1" applyAlignment="1">
      <alignment horizontal="center"/>
    </xf>
    <xf numFmtId="0" fontId="1" fillId="7" borderId="2" xfId="27" applyFont="1" applyFill="1" applyBorder="1"/>
    <xf numFmtId="0" fontId="1" fillId="8" borderId="2" xfId="27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9" fontId="5" fillId="2" borderId="2" xfId="1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9" fontId="0" fillId="0" borderId="2" xfId="0" applyNumberFormat="1" applyBorder="1" applyAlignment="1">
      <alignment horizontal="center"/>
    </xf>
    <xf numFmtId="0" fontId="19" fillId="4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8" fillId="0" borderId="2" xfId="0" applyFont="1" applyBorder="1" applyAlignment="1">
      <alignment vertical="center"/>
    </xf>
    <xf numFmtId="0" fontId="9" fillId="4" borderId="2" xfId="8" applyFont="1" applyFill="1" applyBorder="1" applyAlignment="1">
      <alignment horizontal="center" vertical="center"/>
    </xf>
    <xf numFmtId="0" fontId="9" fillId="5" borderId="2" xfId="8" applyFont="1" applyFill="1" applyBorder="1" applyAlignment="1">
      <alignment horizontal="left" vertical="center"/>
    </xf>
    <xf numFmtId="9" fontId="5" fillId="2" borderId="9" xfId="1" applyNumberFormat="1" applyFont="1" applyFill="1" applyBorder="1" applyAlignment="1">
      <alignment horizontal="center" vertical="center" wrapText="1"/>
    </xf>
    <xf numFmtId="0" fontId="9" fillId="4" borderId="2" xfId="8" applyFont="1" applyFill="1" applyBorder="1" applyAlignment="1"/>
    <xf numFmtId="0" fontId="8" fillId="4" borderId="2" xfId="8" applyFont="1" applyFill="1" applyBorder="1">
      <alignment vertical="center"/>
    </xf>
    <xf numFmtId="10" fontId="0" fillId="0" borderId="0" xfId="0" applyNumberFormat="1" applyAlignment="1">
      <alignment horizontal="center"/>
    </xf>
    <xf numFmtId="0" fontId="0" fillId="0" borderId="0" xfId="0"/>
    <xf numFmtId="0" fontId="0" fillId="4" borderId="2" xfId="0" applyFont="1" applyFill="1" applyBorder="1" applyAlignment="1">
      <alignment wrapText="1"/>
    </xf>
    <xf numFmtId="0" fontId="0" fillId="4" borderId="2" xfId="0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2" xfId="0" applyBorder="1"/>
    <xf numFmtId="10" fontId="3" fillId="2" borderId="2" xfId="0" applyNumberFormat="1" applyFont="1" applyFill="1" applyBorder="1" applyAlignment="1">
      <alignment horizontal="center"/>
    </xf>
    <xf numFmtId="0" fontId="9" fillId="4" borderId="2" xfId="27" applyFont="1" applyFill="1" applyBorder="1"/>
    <xf numFmtId="0" fontId="9" fillId="15" borderId="2" xfId="27" applyFont="1" applyFill="1" applyBorder="1" applyAlignment="1">
      <alignment horizontal="center"/>
    </xf>
    <xf numFmtId="0" fontId="9" fillId="5" borderId="2" xfId="27" applyFont="1" applyFill="1" applyBorder="1" applyAlignment="1">
      <alignment horizontal="center"/>
    </xf>
    <xf numFmtId="0" fontId="0" fillId="15" borderId="2" xfId="27" applyFont="1" applyFill="1" applyBorder="1" applyAlignment="1">
      <alignment horizontal="center"/>
    </xf>
    <xf numFmtId="0" fontId="0" fillId="5" borderId="2" xfId="27" applyFont="1" applyFill="1" applyBorder="1" applyAlignment="1">
      <alignment horizontal="center"/>
    </xf>
    <xf numFmtId="0" fontId="9" fillId="5" borderId="2" xfId="27" applyFont="1" applyFill="1" applyBorder="1"/>
    <xf numFmtId="0" fontId="0" fillId="0" borderId="0" xfId="0"/>
    <xf numFmtId="0" fontId="7" fillId="4" borderId="2" xfId="0" applyFont="1" applyFill="1" applyBorder="1" applyAlignment="1">
      <alignment horizontal="center" vertical="center"/>
    </xf>
    <xf numFmtId="0" fontId="3" fillId="13" borderId="0" xfId="0" applyFont="1" applyFill="1"/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8" applyFont="1" applyFill="1" applyBorder="1">
      <alignment vertical="center"/>
    </xf>
    <xf numFmtId="0" fontId="0" fillId="0" borderId="0" xfId="0"/>
    <xf numFmtId="0" fontId="0" fillId="6" borderId="2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23" fillId="6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9" fontId="0" fillId="0" borderId="2" xfId="0" applyNumberFormat="1" applyFont="1" applyBorder="1"/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23" fillId="4" borderId="2" xfId="0" applyFont="1" applyFill="1" applyBorder="1" applyAlignment="1">
      <alignment vertical="center"/>
    </xf>
    <xf numFmtId="0" fontId="22" fillId="4" borderId="2" xfId="0" applyFont="1" applyFill="1" applyBorder="1"/>
    <xf numFmtId="0" fontId="21" fillId="0" borderId="2" xfId="0" applyFont="1" applyBorder="1" applyAlignment="1">
      <alignment vertical="top"/>
    </xf>
    <xf numFmtId="0" fontId="21" fillId="6" borderId="2" xfId="0" applyFont="1" applyFill="1" applyBorder="1" applyAlignment="1">
      <alignment vertical="top"/>
    </xf>
    <xf numFmtId="0" fontId="8" fillId="0" borderId="2" xfId="0" applyFont="1" applyBorder="1"/>
    <xf numFmtId="0" fontId="0" fillId="0" borderId="0" xfId="0"/>
    <xf numFmtId="0" fontId="7" fillId="6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6" borderId="2" xfId="0" applyFont="1" applyFill="1" applyBorder="1" applyAlignment="1">
      <alignment vertical="center"/>
    </xf>
    <xf numFmtId="0" fontId="7" fillId="14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9" fontId="8" fillId="0" borderId="2" xfId="0" applyNumberFormat="1" applyFont="1" applyBorder="1"/>
    <xf numFmtId="0" fontId="0" fillId="0" borderId="2" xfId="0" applyFont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/>
    </xf>
    <xf numFmtId="0" fontId="0" fillId="0" borderId="2" xfId="0" applyBorder="1"/>
    <xf numFmtId="0" fontId="3" fillId="0" borderId="0" xfId="0" applyFont="1"/>
    <xf numFmtId="0" fontId="0" fillId="0" borderId="0" xfId="0" applyAlignment="1">
      <alignment horizont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8" fillId="4" borderId="2" xfId="0" applyFont="1" applyFill="1" applyBorder="1" applyAlignment="1">
      <alignment wrapText="1"/>
    </xf>
    <xf numFmtId="0" fontId="8" fillId="4" borderId="2" xfId="0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8" fillId="0" borderId="2" xfId="29" applyFont="1" applyFill="1" applyBorder="1" applyAlignment="1">
      <alignment wrapText="1"/>
    </xf>
    <xf numFmtId="0" fontId="8" fillId="0" borderId="2" xfId="29" applyFont="1" applyFill="1" applyBorder="1" applyAlignment="1">
      <alignment horizontal="center" wrapText="1"/>
    </xf>
    <xf numFmtId="9" fontId="3" fillId="4" borderId="2" xfId="0" applyNumberFormat="1" applyFont="1" applyFill="1" applyBorder="1"/>
    <xf numFmtId="0" fontId="8" fillId="4" borderId="2" xfId="29" applyFont="1" applyFill="1" applyBorder="1" applyAlignment="1">
      <alignment horizontal="center" wrapText="1"/>
    </xf>
    <xf numFmtId="0" fontId="8" fillId="4" borderId="2" xfId="29" applyFont="1" applyFill="1" applyBorder="1" applyAlignment="1">
      <alignment wrapText="1"/>
    </xf>
    <xf numFmtId="0" fontId="0" fillId="8" borderId="2" xfId="27" applyFont="1" applyFill="1" applyBorder="1" applyAlignment="1">
      <alignment horizontal="center"/>
    </xf>
    <xf numFmtId="0" fontId="1" fillId="5" borderId="2" xfId="27" applyFont="1" applyFill="1" applyBorder="1"/>
    <xf numFmtId="0" fontId="1" fillId="4" borderId="2" xfId="27" applyFont="1" applyFill="1" applyBorder="1" applyAlignment="1">
      <alignment horizontal="left"/>
    </xf>
    <xf numFmtId="0" fontId="0" fillId="4" borderId="2" xfId="27" applyFont="1" applyFill="1" applyBorder="1" applyAlignment="1">
      <alignment horizontal="left"/>
    </xf>
    <xf numFmtId="0" fontId="0" fillId="0" borderId="0" xfId="0"/>
    <xf numFmtId="0" fontId="24" fillId="4" borderId="2" xfId="0" applyFont="1" applyFill="1" applyBorder="1"/>
    <xf numFmtId="0" fontId="0" fillId="4" borderId="2" xfId="0" applyFont="1" applyFill="1" applyBorder="1" applyAlignment="1">
      <alignment horizontal="left"/>
    </xf>
    <xf numFmtId="0" fontId="0" fillId="0" borderId="0" xfId="0"/>
    <xf numFmtId="0" fontId="9" fillId="4" borderId="1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0" borderId="0" xfId="0"/>
    <xf numFmtId="0" fontId="0" fillId="4" borderId="2" xfId="0" applyFont="1" applyFill="1" applyBorder="1" applyAlignment="1">
      <alignment horizontal="left" wrapText="1"/>
    </xf>
    <xf numFmtId="0" fontId="0" fillId="0" borderId="0" xfId="0"/>
    <xf numFmtId="0" fontId="0" fillId="8" borderId="2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9" fillId="4" borderId="2" xfId="8" applyFont="1" applyFill="1" applyBorder="1" applyAlignment="1">
      <alignment horizontal="left" vertical="center"/>
    </xf>
    <xf numFmtId="0" fontId="9" fillId="4" borderId="2" xfId="8" applyFont="1" applyFill="1" applyBorder="1" applyAlignment="1">
      <alignment horizontal="center" vertical="center" wrapText="1"/>
    </xf>
    <xf numFmtId="0" fontId="8" fillId="4" borderId="2" xfId="8" applyFont="1" applyFill="1" applyBorder="1" applyAlignment="1">
      <alignment horizontal="left" vertical="center" wrapText="1"/>
    </xf>
    <xf numFmtId="0" fontId="8" fillId="4" borderId="2" xfId="8" applyFont="1" applyFill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2" xfId="0" applyNumberFormat="1" applyFont="1" applyFill="1" applyBorder="1" applyAlignment="1">
      <alignment horizontal="center"/>
    </xf>
    <xf numFmtId="10" fontId="3" fillId="4" borderId="2" xfId="0" applyNumberFormat="1" applyFont="1" applyFill="1" applyBorder="1" applyAlignment="1">
      <alignment horizontal="center"/>
    </xf>
  </cellXfs>
  <cellStyles count="33">
    <cellStyle name="Hyperlink 2" xfId="32" xr:uid="{85CCA7D0-ABB8-47EF-B31E-C75095FCA888}"/>
    <cellStyle name="Keluaran" xfId="31" xr:uid="{B38A0694-FBF8-4C95-A931-8EBFA1E4232C}"/>
    <cellStyle name="Normal" xfId="0" builtinId="0"/>
    <cellStyle name="Normal 10" xfId="14" xr:uid="{7BB86DFE-02E1-4631-A603-62D6F3CABFD8}"/>
    <cellStyle name="Normal 11" xfId="15" xr:uid="{B7F67ED0-3743-4F35-A205-0D25DBF2134B}"/>
    <cellStyle name="Normal 12" xfId="16" xr:uid="{129680F8-6F54-4D26-99B5-0D1F4DCF8F53}"/>
    <cellStyle name="Normal 13" xfId="26" xr:uid="{2C1882B0-AF10-4889-AD28-AF0D0FCBAFED}"/>
    <cellStyle name="Normal 14" xfId="27" xr:uid="{E8373503-782F-4BE9-830B-5B9AD508D5B7}"/>
    <cellStyle name="Normal 15" xfId="29" xr:uid="{84F65D01-A832-49E9-9C14-713E4489D90A}"/>
    <cellStyle name="Normal 2" xfId="2" xr:uid="{88B02315-E29F-40B6-AB8D-03804C55DA3D}"/>
    <cellStyle name="Normal 2 2" xfId="4" xr:uid="{275EDB95-83D2-449D-A583-7C43384F27B2}"/>
    <cellStyle name="Normal 2 3" xfId="8" xr:uid="{7A328F9A-D47A-4C50-A58F-3732B6813467}"/>
    <cellStyle name="Normal 2 4" xfId="23" xr:uid="{01BE848D-5A3E-4D27-BA99-04C4EA8B5C16}"/>
    <cellStyle name="Normal 3" xfId="5" xr:uid="{72836DF6-D0FC-44DF-A3F7-8CF3A565E0DE}"/>
    <cellStyle name="Normal 3 2" xfId="9" xr:uid="{EEEE3C40-7D8B-4A09-A1C6-F96458D7A3BC}"/>
    <cellStyle name="Normal 3 3" xfId="19" xr:uid="{96A93B44-5309-4BDE-8C6F-4780A7B8E188}"/>
    <cellStyle name="Normal 4" xfId="6" xr:uid="{748DC54A-E29E-4F8C-9BA9-51B5698984E0}"/>
    <cellStyle name="Normal 4 2" xfId="20" xr:uid="{CFE62C9B-F183-433D-90DC-BF9D2036D50D}"/>
    <cellStyle name="Normal 5" xfId="7" xr:uid="{8B219C0A-91E3-4EBC-B2B5-618C8AAB3E41}"/>
    <cellStyle name="Normal 5 2" xfId="21" xr:uid="{694E8A97-AD73-477F-BABF-237369814AFF}"/>
    <cellStyle name="Normal 6" xfId="10" xr:uid="{7D2B42E3-A2C3-4FED-8FCD-0265B7C317C1}"/>
    <cellStyle name="Normal 7" xfId="11" xr:uid="{45CFF4DB-EF4E-4D88-83A3-371ABA4380CA}"/>
    <cellStyle name="Normal 7 2" xfId="22" xr:uid="{38272EC5-9E24-46CD-9295-B3F8B7074EAD}"/>
    <cellStyle name="Normal 8" xfId="12" xr:uid="{6F075E19-D73F-4E66-A9A9-8A2B7F562D38}"/>
    <cellStyle name="Normal 8 2" xfId="24" xr:uid="{4A340DF3-5B89-4A5C-8743-4EF8A24894F6}"/>
    <cellStyle name="Normal 9" xfId="13" xr:uid="{6112DAB8-8F07-4670-8F2D-349739F467B7}"/>
    <cellStyle name="Normal 9 2" xfId="25" xr:uid="{26A4087A-AA06-47E7-AA18-AC799CF2C4A9}"/>
    <cellStyle name="Percent" xfId="1" builtinId="5"/>
    <cellStyle name="Percent 2" xfId="3" xr:uid="{06E81541-BA17-4C7B-AC31-A358EABD2C7A}"/>
    <cellStyle name="Percent 2 2" xfId="17" xr:uid="{7B9E75E1-738C-4EC5-A401-A3F8DE796BF9}"/>
    <cellStyle name="Percent 3" xfId="18" xr:uid="{7C7D2EEF-8761-4E7E-8DD4-7981608074E7}"/>
    <cellStyle name="Percent 4" xfId="28" xr:uid="{B64B3391-A2F1-42B6-A3A5-AB265E802873}"/>
    <cellStyle name="Percent 5" xfId="30" xr:uid="{24524C85-9F3B-44DB-88F1-383B753413BF}"/>
  </cellStyles>
  <dxfs count="3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F248"/>
          <bgColor rgb="FF62F248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F248"/>
          <bgColor rgb="FF62F248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F248"/>
          <bgColor rgb="FF62F248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F248"/>
          <bgColor rgb="FF62F248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7" defaultTableStyle="TableStyleMedium2" defaultPivotStyle="PivotStyleLight16">
    <tableStyle name="TableStylePreset3_Accent1" pivot="0" count="7" xr9:uid="{FCF7AF77-4842-4544-A3ED-ACBE41A3F752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PivotStylePreset2_Accent1" table="0" count="10" xr9:uid="{EF443790-BAF8-405E-A3E9-4954EDE79528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  <tableStyle name="BADUNG I-style" pivot="0" count="3" xr9:uid="{79CD7FCB-5F15-4C24-8AB7-7A2892239D61}">
      <tableStyleElement type="headerRow" dxfId="14"/>
      <tableStyleElement type="firstRowStripe" dxfId="13"/>
      <tableStyleElement type="secondRowStripe" dxfId="12"/>
    </tableStyle>
    <tableStyle name="BADUNG II-style" pivot="0" count="3" xr9:uid="{3592922B-C9B8-45D8-806E-CBBF12473FCE}">
      <tableStyleElement type="headerRow" dxfId="11"/>
      <tableStyleElement type="firstRowStripe" dxfId="10"/>
      <tableStyleElement type="secondRowStripe" dxfId="9"/>
    </tableStyle>
    <tableStyle name="BADUNG III-style" pivot="0" count="3" xr9:uid="{95B43C9D-AAA9-4A18-B0BA-D0DA849EEBFB}">
      <tableStyleElement type="headerRow" dxfId="8"/>
      <tableStyleElement type="firstRowStripe" dxfId="7"/>
      <tableStyleElement type="secondRowStripe" dxfId="6"/>
    </tableStyle>
    <tableStyle name="BADUNG IV-style" pivot="0" count="3" xr9:uid="{E2E00503-E32A-423B-B43F-AA4ABCB47D90}">
      <tableStyleElement type="headerRow" dxfId="5"/>
      <tableStyleElement type="firstRowStripe" dxfId="4"/>
      <tableStyleElement type="secondRowStripe" dxfId="3"/>
    </tableStyle>
    <tableStyle name="TASIKMALAYA-style" pivot="0" count="3" xr9:uid="{B4DEE6AC-5332-4F27-B053-B0E645BD1BE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E188-13BD-42FD-B4A3-2A0BE1960C99}">
  <dimension ref="D2:J54"/>
  <sheetViews>
    <sheetView topLeftCell="A22" workbookViewId="0">
      <selection activeCell="M26" sqref="M26"/>
    </sheetView>
  </sheetViews>
  <sheetFormatPr defaultRowHeight="14.5" x14ac:dyDescent="0.35"/>
  <cols>
    <col min="4" max="4" width="4.7265625" customWidth="1"/>
    <col min="5" max="5" width="25.36328125" customWidth="1"/>
    <col min="7" max="7" width="7.1796875" customWidth="1"/>
    <col min="8" max="8" width="7" customWidth="1"/>
    <col min="9" max="9" width="11.7265625" customWidth="1"/>
    <col min="12" max="12" width="8.7265625" customWidth="1"/>
  </cols>
  <sheetData>
    <row r="2" spans="4:10" x14ac:dyDescent="0.35">
      <c r="D2" s="114" t="s">
        <v>309</v>
      </c>
      <c r="E2" s="114" t="s">
        <v>310</v>
      </c>
      <c r="F2" s="114" t="s">
        <v>311</v>
      </c>
      <c r="G2" s="115" t="s">
        <v>4</v>
      </c>
      <c r="H2" s="115" t="s">
        <v>5</v>
      </c>
      <c r="I2" s="115" t="s">
        <v>312</v>
      </c>
      <c r="J2" s="116" t="s">
        <v>6</v>
      </c>
    </row>
    <row r="3" spans="4:10" x14ac:dyDescent="0.35">
      <c r="D3" s="117"/>
      <c r="E3" s="117"/>
      <c r="F3" s="117"/>
      <c r="G3" s="118"/>
      <c r="H3" s="118"/>
      <c r="I3" s="118"/>
      <c r="J3" s="116"/>
    </row>
    <row r="4" spans="4:10" x14ac:dyDescent="0.35">
      <c r="D4" s="119">
        <v>1</v>
      </c>
      <c r="E4" s="120" t="s">
        <v>313</v>
      </c>
      <c r="F4" s="178" t="s">
        <v>314</v>
      </c>
      <c r="G4" s="178">
        <v>990</v>
      </c>
      <c r="H4" s="178">
        <v>325</v>
      </c>
      <c r="I4" s="178">
        <f>H4-G4</f>
        <v>-665</v>
      </c>
      <c r="J4" s="220">
        <f>H4/G4*100%</f>
        <v>0.32828282828282829</v>
      </c>
    </row>
    <row r="5" spans="4:10" x14ac:dyDescent="0.35">
      <c r="D5" s="119">
        <v>2</v>
      </c>
      <c r="E5" s="120" t="s">
        <v>315</v>
      </c>
      <c r="F5" s="178" t="s">
        <v>314</v>
      </c>
      <c r="G5" s="178">
        <v>380</v>
      </c>
      <c r="H5" s="178">
        <v>213</v>
      </c>
      <c r="I5" s="178">
        <f t="shared" ref="I5:I54" si="0">H5-G5</f>
        <v>-167</v>
      </c>
      <c r="J5" s="220">
        <f t="shared" ref="J5:J54" si="1">H5/G5*100%</f>
        <v>0.56052631578947365</v>
      </c>
    </row>
    <row r="6" spans="4:10" s="211" customFormat="1" x14ac:dyDescent="0.35">
      <c r="D6" s="178"/>
      <c r="E6" s="120" t="s">
        <v>834</v>
      </c>
      <c r="F6" s="178" t="s">
        <v>314</v>
      </c>
      <c r="G6" s="178">
        <v>150</v>
      </c>
      <c r="H6" s="178">
        <v>65</v>
      </c>
      <c r="I6" s="178">
        <f t="shared" si="0"/>
        <v>-85</v>
      </c>
      <c r="J6" s="220">
        <f t="shared" si="1"/>
        <v>0.43333333333333335</v>
      </c>
    </row>
    <row r="7" spans="4:10" x14ac:dyDescent="0.35">
      <c r="D7" s="119">
        <v>3</v>
      </c>
      <c r="E7" s="120" t="s">
        <v>316</v>
      </c>
      <c r="F7" s="178" t="s">
        <v>314</v>
      </c>
      <c r="G7" s="178">
        <v>380</v>
      </c>
      <c r="H7" s="178">
        <v>235</v>
      </c>
      <c r="I7" s="178">
        <f t="shared" si="0"/>
        <v>-145</v>
      </c>
      <c r="J7" s="220">
        <f t="shared" si="1"/>
        <v>0.61842105263157898</v>
      </c>
    </row>
    <row r="8" spans="4:10" x14ac:dyDescent="0.35">
      <c r="D8" s="119">
        <v>4</v>
      </c>
      <c r="E8" s="120" t="s">
        <v>317</v>
      </c>
      <c r="F8" s="178" t="s">
        <v>314</v>
      </c>
      <c r="G8" s="178">
        <v>150</v>
      </c>
      <c r="H8" s="178">
        <v>56</v>
      </c>
      <c r="I8" s="178">
        <f t="shared" si="0"/>
        <v>-94</v>
      </c>
      <c r="J8" s="220">
        <f t="shared" si="1"/>
        <v>0.37333333333333335</v>
      </c>
    </row>
    <row r="9" spans="4:10" x14ac:dyDescent="0.35">
      <c r="D9" s="119">
        <v>5</v>
      </c>
      <c r="E9" s="120" t="s">
        <v>318</v>
      </c>
      <c r="F9" s="178" t="s">
        <v>314</v>
      </c>
      <c r="G9" s="178">
        <v>150</v>
      </c>
      <c r="H9" s="178">
        <v>120</v>
      </c>
      <c r="I9" s="178">
        <f t="shared" si="0"/>
        <v>-30</v>
      </c>
      <c r="J9" s="220">
        <f t="shared" si="1"/>
        <v>0.8</v>
      </c>
    </row>
    <row r="10" spans="4:10" x14ac:dyDescent="0.35">
      <c r="D10" s="119">
        <v>6</v>
      </c>
      <c r="E10" s="122" t="s">
        <v>319</v>
      </c>
      <c r="F10" s="221" t="s">
        <v>314</v>
      </c>
      <c r="G10" s="221">
        <v>190</v>
      </c>
      <c r="H10" s="178">
        <v>145</v>
      </c>
      <c r="I10" s="178">
        <f t="shared" si="0"/>
        <v>-45</v>
      </c>
      <c r="J10" s="220">
        <f t="shared" si="1"/>
        <v>0.76315789473684215</v>
      </c>
    </row>
    <row r="11" spans="4:10" x14ac:dyDescent="0.35">
      <c r="D11" s="119">
        <v>7</v>
      </c>
      <c r="E11" s="122" t="s">
        <v>320</v>
      </c>
      <c r="F11" s="221" t="s">
        <v>314</v>
      </c>
      <c r="G11" s="178">
        <v>175</v>
      </c>
      <c r="H11" s="178">
        <v>53</v>
      </c>
      <c r="I11" s="178">
        <f t="shared" si="0"/>
        <v>-122</v>
      </c>
      <c r="J11" s="220">
        <f t="shared" si="1"/>
        <v>0.30285714285714288</v>
      </c>
    </row>
    <row r="12" spans="4:10" x14ac:dyDescent="0.35">
      <c r="D12" s="119">
        <v>8</v>
      </c>
      <c r="E12" s="122" t="s">
        <v>321</v>
      </c>
      <c r="F12" s="221" t="s">
        <v>314</v>
      </c>
      <c r="G12" s="178">
        <v>190</v>
      </c>
      <c r="H12" s="178">
        <v>83</v>
      </c>
      <c r="I12" s="178">
        <f t="shared" si="0"/>
        <v>-107</v>
      </c>
      <c r="J12" s="220">
        <f t="shared" si="1"/>
        <v>0.43684210526315792</v>
      </c>
    </row>
    <row r="13" spans="4:10" x14ac:dyDescent="0.35">
      <c r="D13" s="119">
        <v>9</v>
      </c>
      <c r="E13" s="122" t="s">
        <v>322</v>
      </c>
      <c r="F13" s="221" t="s">
        <v>314</v>
      </c>
      <c r="G13" s="178">
        <v>150</v>
      </c>
      <c r="H13" s="178">
        <v>4</v>
      </c>
      <c r="I13" s="178">
        <f t="shared" si="0"/>
        <v>-146</v>
      </c>
      <c r="J13" s="220">
        <f t="shared" si="1"/>
        <v>2.6666666666666668E-2</v>
      </c>
    </row>
    <row r="14" spans="4:10" x14ac:dyDescent="0.35">
      <c r="D14" s="119">
        <v>10</v>
      </c>
      <c r="E14" s="122" t="s">
        <v>323</v>
      </c>
      <c r="F14" s="221" t="s">
        <v>314</v>
      </c>
      <c r="G14" s="178">
        <v>340</v>
      </c>
      <c r="H14" s="178">
        <v>133</v>
      </c>
      <c r="I14" s="178">
        <f t="shared" si="0"/>
        <v>-207</v>
      </c>
      <c r="J14" s="220">
        <f t="shared" si="1"/>
        <v>0.39117647058823529</v>
      </c>
    </row>
    <row r="15" spans="4:10" x14ac:dyDescent="0.35">
      <c r="D15" s="119">
        <v>11</v>
      </c>
      <c r="E15" s="122" t="s">
        <v>324</v>
      </c>
      <c r="F15" s="221" t="s">
        <v>314</v>
      </c>
      <c r="G15" s="178">
        <v>555</v>
      </c>
      <c r="H15" s="178">
        <v>370</v>
      </c>
      <c r="I15" s="178">
        <f t="shared" si="0"/>
        <v>-185</v>
      </c>
      <c r="J15" s="220">
        <f t="shared" si="1"/>
        <v>0.66666666666666663</v>
      </c>
    </row>
    <row r="16" spans="4:10" x14ac:dyDescent="0.35">
      <c r="D16" s="119">
        <v>12</v>
      </c>
      <c r="E16" s="122" t="s">
        <v>325</v>
      </c>
      <c r="F16" s="221" t="s">
        <v>314</v>
      </c>
      <c r="G16" s="178">
        <v>190</v>
      </c>
      <c r="H16" s="178">
        <v>195</v>
      </c>
      <c r="I16" s="178">
        <f t="shared" si="0"/>
        <v>5</v>
      </c>
      <c r="J16" s="220">
        <f t="shared" si="1"/>
        <v>1.0263157894736843</v>
      </c>
    </row>
    <row r="17" spans="4:10" x14ac:dyDescent="0.35">
      <c r="D17" s="119">
        <v>13</v>
      </c>
      <c r="E17" s="123" t="s">
        <v>326</v>
      </c>
      <c r="F17" s="178" t="s">
        <v>314</v>
      </c>
      <c r="G17" s="178">
        <v>215</v>
      </c>
      <c r="H17" s="178">
        <v>115</v>
      </c>
      <c r="I17" s="178">
        <f t="shared" si="0"/>
        <v>-100</v>
      </c>
      <c r="J17" s="220">
        <f t="shared" si="1"/>
        <v>0.53488372093023251</v>
      </c>
    </row>
    <row r="18" spans="4:10" x14ac:dyDescent="0.35">
      <c r="D18" s="119">
        <v>14</v>
      </c>
      <c r="E18" s="123" t="s">
        <v>327</v>
      </c>
      <c r="F18" s="178" t="s">
        <v>314</v>
      </c>
      <c r="G18" s="178">
        <v>530</v>
      </c>
      <c r="H18" s="178">
        <v>277</v>
      </c>
      <c r="I18" s="178">
        <f t="shared" si="0"/>
        <v>-253</v>
      </c>
      <c r="J18" s="220">
        <f t="shared" si="1"/>
        <v>0.52264150943396226</v>
      </c>
    </row>
    <row r="19" spans="4:10" x14ac:dyDescent="0.35">
      <c r="D19" s="119">
        <v>15</v>
      </c>
      <c r="E19" s="123" t="s">
        <v>328</v>
      </c>
      <c r="F19" s="178" t="s">
        <v>314</v>
      </c>
      <c r="G19" s="178">
        <v>340</v>
      </c>
      <c r="H19" s="178">
        <v>280</v>
      </c>
      <c r="I19" s="178">
        <f t="shared" si="0"/>
        <v>-60</v>
      </c>
      <c r="J19" s="220">
        <f t="shared" si="1"/>
        <v>0.82352941176470584</v>
      </c>
    </row>
    <row r="20" spans="4:10" x14ac:dyDescent="0.35">
      <c r="D20" s="119">
        <v>16</v>
      </c>
      <c r="E20" s="123" t="s">
        <v>329</v>
      </c>
      <c r="F20" s="178" t="s">
        <v>314</v>
      </c>
      <c r="G20" s="178">
        <v>150</v>
      </c>
      <c r="H20" s="178">
        <v>80</v>
      </c>
      <c r="I20" s="178">
        <f t="shared" si="0"/>
        <v>-70</v>
      </c>
      <c r="J20" s="220">
        <f t="shared" si="1"/>
        <v>0.53333333333333333</v>
      </c>
    </row>
    <row r="21" spans="4:10" x14ac:dyDescent="0.35">
      <c r="D21" s="119">
        <v>17</v>
      </c>
      <c r="E21" s="123" t="s">
        <v>330</v>
      </c>
      <c r="F21" s="178" t="s">
        <v>314</v>
      </c>
      <c r="G21" s="178">
        <v>100</v>
      </c>
      <c r="H21" s="178">
        <v>14</v>
      </c>
      <c r="I21" s="178">
        <f t="shared" si="0"/>
        <v>-86</v>
      </c>
      <c r="J21" s="220">
        <f t="shared" si="1"/>
        <v>0.14000000000000001</v>
      </c>
    </row>
    <row r="22" spans="4:10" x14ac:dyDescent="0.35">
      <c r="D22" s="119">
        <v>18</v>
      </c>
      <c r="E22" s="123" t="s">
        <v>331</v>
      </c>
      <c r="F22" s="178" t="s">
        <v>314</v>
      </c>
      <c r="G22" s="178">
        <v>150</v>
      </c>
      <c r="H22" s="178">
        <v>91</v>
      </c>
      <c r="I22" s="178">
        <f t="shared" si="0"/>
        <v>-59</v>
      </c>
      <c r="J22" s="220">
        <f t="shared" si="1"/>
        <v>0.60666666666666669</v>
      </c>
    </row>
    <row r="23" spans="4:10" x14ac:dyDescent="0.35">
      <c r="D23" s="119">
        <v>19</v>
      </c>
      <c r="E23" s="123" t="s">
        <v>332</v>
      </c>
      <c r="F23" s="178" t="s">
        <v>314</v>
      </c>
      <c r="G23" s="178">
        <v>610</v>
      </c>
      <c r="H23" s="178">
        <v>442</v>
      </c>
      <c r="I23" s="178">
        <f t="shared" si="0"/>
        <v>-168</v>
      </c>
      <c r="J23" s="220">
        <f t="shared" si="1"/>
        <v>0.72459016393442621</v>
      </c>
    </row>
    <row r="24" spans="4:10" x14ac:dyDescent="0.35">
      <c r="D24" s="119">
        <v>20</v>
      </c>
      <c r="E24" s="123" t="s">
        <v>333</v>
      </c>
      <c r="F24" s="178" t="s">
        <v>314</v>
      </c>
      <c r="G24" s="178">
        <v>340</v>
      </c>
      <c r="H24" s="178">
        <v>159</v>
      </c>
      <c r="I24" s="178">
        <f t="shared" si="0"/>
        <v>-181</v>
      </c>
      <c r="J24" s="220">
        <f t="shared" si="1"/>
        <v>0.46764705882352942</v>
      </c>
    </row>
    <row r="25" spans="4:10" x14ac:dyDescent="0.35">
      <c r="D25" s="119">
        <v>21</v>
      </c>
      <c r="E25" s="123" t="s">
        <v>334</v>
      </c>
      <c r="F25" s="178" t="s">
        <v>314</v>
      </c>
      <c r="G25" s="178">
        <v>490</v>
      </c>
      <c r="H25" s="178">
        <v>220</v>
      </c>
      <c r="I25" s="178">
        <f t="shared" si="0"/>
        <v>-270</v>
      </c>
      <c r="J25" s="220">
        <f t="shared" si="1"/>
        <v>0.44897959183673469</v>
      </c>
    </row>
    <row r="26" spans="4:10" x14ac:dyDescent="0.35">
      <c r="D26" s="119">
        <v>22</v>
      </c>
      <c r="E26" s="123" t="s">
        <v>335</v>
      </c>
      <c r="F26" s="178" t="s">
        <v>314</v>
      </c>
      <c r="G26" s="178">
        <v>300</v>
      </c>
      <c r="H26" s="178">
        <v>175</v>
      </c>
      <c r="I26" s="178">
        <f t="shared" si="0"/>
        <v>-125</v>
      </c>
      <c r="J26" s="220">
        <f t="shared" si="1"/>
        <v>0.58333333333333337</v>
      </c>
    </row>
    <row r="27" spans="4:10" x14ac:dyDescent="0.35">
      <c r="D27" s="119">
        <v>23</v>
      </c>
      <c r="E27" s="123" t="s">
        <v>336</v>
      </c>
      <c r="F27" s="178" t="s">
        <v>314</v>
      </c>
      <c r="G27" s="178">
        <v>570</v>
      </c>
      <c r="H27" s="178">
        <v>399</v>
      </c>
      <c r="I27" s="178">
        <f t="shared" si="0"/>
        <v>-171</v>
      </c>
      <c r="J27" s="220">
        <f t="shared" si="1"/>
        <v>0.7</v>
      </c>
    </row>
    <row r="28" spans="4:10" x14ac:dyDescent="0.35">
      <c r="D28" s="119">
        <v>24</v>
      </c>
      <c r="E28" s="123" t="s">
        <v>337</v>
      </c>
      <c r="F28" s="178" t="s">
        <v>314</v>
      </c>
      <c r="G28" s="178">
        <v>570</v>
      </c>
      <c r="H28" s="178">
        <v>399</v>
      </c>
      <c r="I28" s="178">
        <f t="shared" si="0"/>
        <v>-171</v>
      </c>
      <c r="J28" s="220">
        <f t="shared" si="1"/>
        <v>0.7</v>
      </c>
    </row>
    <row r="29" spans="4:10" x14ac:dyDescent="0.35">
      <c r="D29" s="119">
        <v>25</v>
      </c>
      <c r="E29" s="123" t="s">
        <v>338</v>
      </c>
      <c r="F29" s="178" t="s">
        <v>314</v>
      </c>
      <c r="G29" s="178">
        <v>490</v>
      </c>
      <c r="H29" s="178">
        <v>262</v>
      </c>
      <c r="I29" s="178">
        <f t="shared" si="0"/>
        <v>-228</v>
      </c>
      <c r="J29" s="220">
        <f t="shared" si="1"/>
        <v>0.53469387755102038</v>
      </c>
    </row>
    <row r="30" spans="4:10" s="186" customFormat="1" x14ac:dyDescent="0.35">
      <c r="D30" s="178"/>
      <c r="E30" s="123" t="s">
        <v>618</v>
      </c>
      <c r="F30" s="178" t="s">
        <v>314</v>
      </c>
      <c r="G30" s="178">
        <v>125</v>
      </c>
      <c r="H30" s="178">
        <v>83</v>
      </c>
      <c r="I30" s="178">
        <f t="shared" si="0"/>
        <v>-42</v>
      </c>
      <c r="J30" s="220">
        <f t="shared" si="1"/>
        <v>0.66400000000000003</v>
      </c>
    </row>
    <row r="31" spans="4:10" x14ac:dyDescent="0.35">
      <c r="D31" s="119">
        <v>26</v>
      </c>
      <c r="E31" s="123" t="s">
        <v>339</v>
      </c>
      <c r="F31" s="178" t="s">
        <v>314</v>
      </c>
      <c r="G31" s="178">
        <v>1320</v>
      </c>
      <c r="H31" s="178">
        <v>1299</v>
      </c>
      <c r="I31" s="178">
        <f t="shared" si="0"/>
        <v>-21</v>
      </c>
      <c r="J31" s="220">
        <f t="shared" si="1"/>
        <v>0.98409090909090913</v>
      </c>
    </row>
    <row r="32" spans="4:10" x14ac:dyDescent="0.35">
      <c r="D32" s="119">
        <v>27</v>
      </c>
      <c r="E32" s="123" t="s">
        <v>340</v>
      </c>
      <c r="F32" s="178" t="s">
        <v>314</v>
      </c>
      <c r="G32" s="178">
        <v>150</v>
      </c>
      <c r="H32" s="178">
        <v>42</v>
      </c>
      <c r="I32" s="178">
        <f t="shared" si="0"/>
        <v>-108</v>
      </c>
      <c r="J32" s="220">
        <f t="shared" si="1"/>
        <v>0.28000000000000003</v>
      </c>
    </row>
    <row r="33" spans="4:10" x14ac:dyDescent="0.35">
      <c r="D33" s="119">
        <v>28</v>
      </c>
      <c r="E33" s="123" t="s">
        <v>341</v>
      </c>
      <c r="F33" s="178" t="s">
        <v>314</v>
      </c>
      <c r="G33" s="178">
        <v>340</v>
      </c>
      <c r="H33" s="178">
        <v>363</v>
      </c>
      <c r="I33" s="178">
        <f t="shared" si="0"/>
        <v>23</v>
      </c>
      <c r="J33" s="220">
        <f t="shared" si="1"/>
        <v>1.0676470588235294</v>
      </c>
    </row>
    <row r="34" spans="4:10" x14ac:dyDescent="0.35">
      <c r="D34" s="119">
        <v>29</v>
      </c>
      <c r="E34" s="123" t="s">
        <v>342</v>
      </c>
      <c r="F34" s="178" t="s">
        <v>314</v>
      </c>
      <c r="G34" s="178">
        <v>490</v>
      </c>
      <c r="H34" s="178">
        <v>273</v>
      </c>
      <c r="I34" s="178">
        <f t="shared" si="0"/>
        <v>-217</v>
      </c>
      <c r="J34" s="220">
        <f t="shared" si="1"/>
        <v>0.55714285714285716</v>
      </c>
    </row>
    <row r="35" spans="4:10" x14ac:dyDescent="0.35">
      <c r="D35" s="119">
        <v>30</v>
      </c>
      <c r="E35" s="123" t="s">
        <v>343</v>
      </c>
      <c r="F35" s="178" t="s">
        <v>314</v>
      </c>
      <c r="G35" s="178">
        <v>640</v>
      </c>
      <c r="H35" s="178">
        <v>303</v>
      </c>
      <c r="I35" s="178">
        <f t="shared" si="0"/>
        <v>-337</v>
      </c>
      <c r="J35" s="220">
        <f t="shared" si="1"/>
        <v>0.47343750000000001</v>
      </c>
    </row>
    <row r="36" spans="4:10" x14ac:dyDescent="0.35">
      <c r="D36" s="119">
        <v>31</v>
      </c>
      <c r="E36" s="123" t="s">
        <v>344</v>
      </c>
      <c r="F36" s="178" t="s">
        <v>314</v>
      </c>
      <c r="G36" s="178">
        <v>150</v>
      </c>
      <c r="H36" s="178">
        <v>23</v>
      </c>
      <c r="I36" s="178">
        <f t="shared" si="0"/>
        <v>-127</v>
      </c>
      <c r="J36" s="220">
        <f t="shared" si="1"/>
        <v>0.15333333333333332</v>
      </c>
    </row>
    <row r="37" spans="4:10" x14ac:dyDescent="0.35">
      <c r="D37" s="119">
        <v>32</v>
      </c>
      <c r="E37" s="123" t="s">
        <v>345</v>
      </c>
      <c r="F37" s="178" t="s">
        <v>314</v>
      </c>
      <c r="G37" s="178">
        <v>530</v>
      </c>
      <c r="H37" s="178">
        <v>266</v>
      </c>
      <c r="I37" s="178">
        <f t="shared" si="0"/>
        <v>-264</v>
      </c>
      <c r="J37" s="220">
        <f t="shared" si="1"/>
        <v>0.50188679245283019</v>
      </c>
    </row>
    <row r="38" spans="4:10" x14ac:dyDescent="0.35">
      <c r="D38" s="119">
        <v>33</v>
      </c>
      <c r="E38" s="123" t="s">
        <v>346</v>
      </c>
      <c r="F38" s="178" t="s">
        <v>314</v>
      </c>
      <c r="G38" s="178">
        <v>190</v>
      </c>
      <c r="H38" s="178">
        <v>86</v>
      </c>
      <c r="I38" s="178">
        <f t="shared" si="0"/>
        <v>-104</v>
      </c>
      <c r="J38" s="220">
        <f t="shared" si="1"/>
        <v>0.45263157894736844</v>
      </c>
    </row>
    <row r="39" spans="4:10" x14ac:dyDescent="0.35">
      <c r="D39" s="119">
        <v>34</v>
      </c>
      <c r="E39" s="123" t="s">
        <v>347</v>
      </c>
      <c r="F39" s="178" t="s">
        <v>314</v>
      </c>
      <c r="G39" s="178">
        <v>225</v>
      </c>
      <c r="H39" s="178">
        <v>156</v>
      </c>
      <c r="I39" s="178">
        <f t="shared" si="0"/>
        <v>-69</v>
      </c>
      <c r="J39" s="220">
        <f t="shared" si="1"/>
        <v>0.69333333333333336</v>
      </c>
    </row>
    <row r="40" spans="4:10" x14ac:dyDescent="0.35">
      <c r="D40" s="119">
        <v>35</v>
      </c>
      <c r="E40" s="123" t="s">
        <v>348</v>
      </c>
      <c r="F40" s="178" t="s">
        <v>314</v>
      </c>
      <c r="G40" s="178">
        <v>450</v>
      </c>
      <c r="H40" s="178">
        <v>417</v>
      </c>
      <c r="I40" s="178">
        <f t="shared" si="0"/>
        <v>-33</v>
      </c>
      <c r="J40" s="220">
        <f t="shared" si="1"/>
        <v>0.92666666666666664</v>
      </c>
    </row>
    <row r="41" spans="4:10" x14ac:dyDescent="0.35">
      <c r="D41" s="119">
        <v>36</v>
      </c>
      <c r="E41" s="123" t="s">
        <v>349</v>
      </c>
      <c r="F41" s="178" t="s">
        <v>314</v>
      </c>
      <c r="G41" s="178">
        <v>475</v>
      </c>
      <c r="H41" s="178">
        <v>220</v>
      </c>
      <c r="I41" s="178">
        <f t="shared" si="0"/>
        <v>-255</v>
      </c>
      <c r="J41" s="220">
        <f t="shared" si="1"/>
        <v>0.4631578947368421</v>
      </c>
    </row>
    <row r="42" spans="4:10" x14ac:dyDescent="0.35">
      <c r="D42" s="119">
        <v>37</v>
      </c>
      <c r="E42" s="123" t="s">
        <v>350</v>
      </c>
      <c r="F42" s="178" t="s">
        <v>314</v>
      </c>
      <c r="G42" s="178">
        <v>380</v>
      </c>
      <c r="H42" s="178">
        <v>135</v>
      </c>
      <c r="I42" s="178">
        <f t="shared" si="0"/>
        <v>-245</v>
      </c>
      <c r="J42" s="220">
        <f t="shared" si="1"/>
        <v>0.35526315789473684</v>
      </c>
    </row>
    <row r="43" spans="4:10" x14ac:dyDescent="0.35">
      <c r="D43" s="119">
        <v>38</v>
      </c>
      <c r="E43" s="123" t="s">
        <v>351</v>
      </c>
      <c r="F43" s="178" t="s">
        <v>314</v>
      </c>
      <c r="G43" s="178">
        <v>50</v>
      </c>
      <c r="H43" s="178">
        <v>8</v>
      </c>
      <c r="I43" s="178">
        <f t="shared" si="0"/>
        <v>-42</v>
      </c>
      <c r="J43" s="220">
        <f t="shared" si="1"/>
        <v>0.16</v>
      </c>
    </row>
    <row r="44" spans="4:10" x14ac:dyDescent="0.35">
      <c r="D44" s="119">
        <v>39</v>
      </c>
      <c r="E44" s="123" t="s">
        <v>352</v>
      </c>
      <c r="F44" s="178" t="s">
        <v>314</v>
      </c>
      <c r="G44" s="178">
        <v>75</v>
      </c>
      <c r="H44" s="178">
        <v>10</v>
      </c>
      <c r="I44" s="178">
        <f t="shared" si="0"/>
        <v>-65</v>
      </c>
      <c r="J44" s="220">
        <f t="shared" si="1"/>
        <v>0.13333333333333333</v>
      </c>
    </row>
    <row r="45" spans="4:10" x14ac:dyDescent="0.35">
      <c r="D45" s="119">
        <v>40</v>
      </c>
      <c r="E45" s="123" t="s">
        <v>353</v>
      </c>
      <c r="F45" s="178" t="s">
        <v>314</v>
      </c>
      <c r="G45" s="178">
        <v>640</v>
      </c>
      <c r="H45" s="178">
        <v>389</v>
      </c>
      <c r="I45" s="178">
        <f t="shared" si="0"/>
        <v>-251</v>
      </c>
      <c r="J45" s="220">
        <f t="shared" si="1"/>
        <v>0.60781249999999998</v>
      </c>
    </row>
    <row r="46" spans="4:10" x14ac:dyDescent="0.35">
      <c r="D46" s="119">
        <v>41</v>
      </c>
      <c r="E46" s="124" t="s">
        <v>354</v>
      </c>
      <c r="F46" s="178" t="s">
        <v>314</v>
      </c>
      <c r="G46" s="178">
        <v>150</v>
      </c>
      <c r="H46" s="178">
        <v>60</v>
      </c>
      <c r="I46" s="178">
        <f t="shared" si="0"/>
        <v>-90</v>
      </c>
      <c r="J46" s="220">
        <f t="shared" si="1"/>
        <v>0.4</v>
      </c>
    </row>
    <row r="47" spans="4:10" x14ac:dyDescent="0.35">
      <c r="D47" s="119">
        <v>42</v>
      </c>
      <c r="E47" s="124" t="s">
        <v>355</v>
      </c>
      <c r="F47" s="178" t="s">
        <v>314</v>
      </c>
      <c r="G47" s="178">
        <v>490</v>
      </c>
      <c r="H47" s="178">
        <v>156</v>
      </c>
      <c r="I47" s="178">
        <f t="shared" si="0"/>
        <v>-334</v>
      </c>
      <c r="J47" s="220">
        <f t="shared" si="1"/>
        <v>0.3183673469387755</v>
      </c>
    </row>
    <row r="48" spans="4:10" x14ac:dyDescent="0.35">
      <c r="D48" s="119">
        <v>43</v>
      </c>
      <c r="E48" s="124" t="s">
        <v>356</v>
      </c>
      <c r="F48" s="178" t="s">
        <v>314</v>
      </c>
      <c r="G48" s="178">
        <v>340</v>
      </c>
      <c r="H48" s="178">
        <v>236</v>
      </c>
      <c r="I48" s="178">
        <f t="shared" si="0"/>
        <v>-104</v>
      </c>
      <c r="J48" s="220">
        <f t="shared" si="1"/>
        <v>0.69411764705882351</v>
      </c>
    </row>
    <row r="49" spans="4:10" x14ac:dyDescent="0.35">
      <c r="D49" s="119">
        <v>44</v>
      </c>
      <c r="E49" s="124" t="s">
        <v>357</v>
      </c>
      <c r="F49" s="178" t="s">
        <v>314</v>
      </c>
      <c r="G49" s="178">
        <v>450</v>
      </c>
      <c r="H49" s="178">
        <v>270</v>
      </c>
      <c r="I49" s="178">
        <f t="shared" si="0"/>
        <v>-180</v>
      </c>
      <c r="J49" s="220">
        <f t="shared" si="1"/>
        <v>0.6</v>
      </c>
    </row>
    <row r="50" spans="4:10" x14ac:dyDescent="0.35">
      <c r="D50" s="119">
        <v>45</v>
      </c>
      <c r="E50" s="124" t="s">
        <v>358</v>
      </c>
      <c r="F50" s="178" t="s">
        <v>314</v>
      </c>
      <c r="G50" s="178">
        <v>600</v>
      </c>
      <c r="H50" s="178">
        <v>491</v>
      </c>
      <c r="I50" s="178">
        <f t="shared" si="0"/>
        <v>-109</v>
      </c>
      <c r="J50" s="220">
        <f t="shared" si="1"/>
        <v>0.81833333333333336</v>
      </c>
    </row>
    <row r="51" spans="4:10" x14ac:dyDescent="0.35">
      <c r="D51" s="119">
        <v>46</v>
      </c>
      <c r="E51" s="124" t="s">
        <v>359</v>
      </c>
      <c r="F51" s="178" t="s">
        <v>314</v>
      </c>
      <c r="G51" s="178">
        <v>380</v>
      </c>
      <c r="H51" s="178">
        <v>140</v>
      </c>
      <c r="I51" s="178">
        <f t="shared" si="0"/>
        <v>-240</v>
      </c>
      <c r="J51" s="220">
        <f t="shared" si="1"/>
        <v>0.36842105263157893</v>
      </c>
    </row>
    <row r="52" spans="4:10" x14ac:dyDescent="0.35">
      <c r="D52" s="119">
        <v>47</v>
      </c>
      <c r="E52" s="124" t="s">
        <v>360</v>
      </c>
      <c r="F52" s="178" t="s">
        <v>314</v>
      </c>
      <c r="G52" s="178">
        <v>150</v>
      </c>
      <c r="H52" s="178">
        <v>6</v>
      </c>
      <c r="I52" s="178">
        <f t="shared" si="0"/>
        <v>-144</v>
      </c>
      <c r="J52" s="220">
        <f t="shared" si="1"/>
        <v>0.04</v>
      </c>
    </row>
    <row r="53" spans="4:10" s="177" customFormat="1" x14ac:dyDescent="0.35">
      <c r="D53" s="178">
        <v>48</v>
      </c>
      <c r="E53" s="124" t="s">
        <v>566</v>
      </c>
      <c r="F53" s="178" t="s">
        <v>314</v>
      </c>
      <c r="G53" s="178">
        <v>150</v>
      </c>
      <c r="H53" s="178">
        <v>4</v>
      </c>
      <c r="I53" s="178">
        <f t="shared" si="0"/>
        <v>-146</v>
      </c>
      <c r="J53" s="220">
        <f t="shared" si="1"/>
        <v>2.6666666666666668E-2</v>
      </c>
    </row>
    <row r="54" spans="4:10" ht="16" customHeight="1" x14ac:dyDescent="0.35">
      <c r="D54" s="3"/>
      <c r="E54" s="125" t="s">
        <v>47</v>
      </c>
      <c r="F54" s="119"/>
      <c r="G54" s="14">
        <f>SUM(G4:G53)</f>
        <v>17785</v>
      </c>
      <c r="H54" s="14">
        <f>SUM(H4:H53)</f>
        <v>10346</v>
      </c>
      <c r="I54" s="14">
        <f t="shared" si="0"/>
        <v>-7439</v>
      </c>
      <c r="J54" s="121">
        <f t="shared" si="1"/>
        <v>0.58172617374191737</v>
      </c>
    </row>
  </sheetData>
  <mergeCells count="7">
    <mergeCell ref="J2:J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3A34-3E96-49DB-9D81-ECB72AAF5C4B}">
  <dimension ref="C1:I110"/>
  <sheetViews>
    <sheetView topLeftCell="A43" workbookViewId="0">
      <selection activeCell="L64" sqref="L64"/>
    </sheetView>
  </sheetViews>
  <sheetFormatPr defaultRowHeight="14.5" x14ac:dyDescent="0.35"/>
  <cols>
    <col min="3" max="3" width="4.54296875" customWidth="1"/>
    <col min="4" max="4" width="20.453125" customWidth="1"/>
    <col min="5" max="5" width="29" customWidth="1"/>
    <col min="6" max="7" width="9.6328125" style="215" customWidth="1"/>
    <col min="8" max="8" width="6.1796875" style="215" customWidth="1"/>
    <col min="9" max="9" width="8.7265625" style="131"/>
  </cols>
  <sheetData>
    <row r="1" spans="3:9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39" t="s">
        <v>6</v>
      </c>
    </row>
    <row r="2" spans="3:9" x14ac:dyDescent="0.35">
      <c r="C2" s="18">
        <v>1</v>
      </c>
      <c r="D2" s="18" t="s">
        <v>324</v>
      </c>
      <c r="E2" s="18" t="s">
        <v>160</v>
      </c>
      <c r="F2" s="178">
        <v>7</v>
      </c>
      <c r="G2" s="178">
        <v>190</v>
      </c>
      <c r="H2" s="178">
        <v>145</v>
      </c>
      <c r="I2" s="225">
        <f>H2/G2*100%</f>
        <v>0.76315789473684215</v>
      </c>
    </row>
    <row r="3" spans="3:9" x14ac:dyDescent="0.35">
      <c r="C3" s="18">
        <v>2</v>
      </c>
      <c r="D3" s="18"/>
      <c r="E3" s="18" t="s">
        <v>161</v>
      </c>
      <c r="F3" s="178">
        <v>7</v>
      </c>
      <c r="G3" s="178">
        <v>190</v>
      </c>
      <c r="H3" s="178">
        <v>108</v>
      </c>
      <c r="I3" s="225">
        <f t="shared" ref="I3:I23" si="0">H3/G3*100%</f>
        <v>0.56842105263157894</v>
      </c>
    </row>
    <row r="4" spans="3:9" x14ac:dyDescent="0.35">
      <c r="C4" s="18">
        <v>3</v>
      </c>
      <c r="D4" s="18"/>
      <c r="E4" s="18" t="s">
        <v>162</v>
      </c>
      <c r="F4" s="178">
        <v>5</v>
      </c>
      <c r="G4" s="178">
        <v>150</v>
      </c>
      <c r="H4" s="178">
        <v>114</v>
      </c>
      <c r="I4" s="225">
        <f t="shared" si="0"/>
        <v>0.76</v>
      </c>
    </row>
    <row r="5" spans="3:9" x14ac:dyDescent="0.35">
      <c r="C5" s="18">
        <v>4</v>
      </c>
      <c r="D5" s="18"/>
      <c r="E5" s="18" t="s">
        <v>898</v>
      </c>
      <c r="F5" s="178">
        <v>1</v>
      </c>
      <c r="G5" s="178">
        <v>25</v>
      </c>
      <c r="H5" s="178">
        <v>3</v>
      </c>
      <c r="I5" s="225">
        <f t="shared" si="0"/>
        <v>0.12</v>
      </c>
    </row>
    <row r="6" spans="3:9" x14ac:dyDescent="0.35">
      <c r="C6" s="18">
        <v>5</v>
      </c>
      <c r="D6" s="18" t="s">
        <v>326</v>
      </c>
      <c r="E6" s="18" t="s">
        <v>173</v>
      </c>
      <c r="F6" s="178">
        <v>7</v>
      </c>
      <c r="G6" s="178">
        <v>190</v>
      </c>
      <c r="H6" s="178">
        <v>113</v>
      </c>
      <c r="I6" s="225">
        <f t="shared" si="0"/>
        <v>0.59473684210526312</v>
      </c>
    </row>
    <row r="7" spans="3:9" x14ac:dyDescent="0.35">
      <c r="C7" s="18">
        <v>6</v>
      </c>
      <c r="D7" s="18"/>
      <c r="E7" s="18" t="s">
        <v>898</v>
      </c>
      <c r="F7" s="178">
        <v>1</v>
      </c>
      <c r="G7" s="178">
        <v>25</v>
      </c>
      <c r="H7" s="178">
        <v>2</v>
      </c>
      <c r="I7" s="225">
        <f t="shared" si="0"/>
        <v>0.08</v>
      </c>
    </row>
    <row r="8" spans="3:9" x14ac:dyDescent="0.35">
      <c r="C8" s="18">
        <v>7</v>
      </c>
      <c r="D8" s="18" t="s">
        <v>325</v>
      </c>
      <c r="E8" s="222" t="s">
        <v>887</v>
      </c>
      <c r="F8" s="223">
        <v>7</v>
      </c>
      <c r="G8" s="223">
        <v>190</v>
      </c>
      <c r="H8" s="223">
        <v>195</v>
      </c>
      <c r="I8" s="225">
        <f t="shared" si="0"/>
        <v>1.0263157894736843</v>
      </c>
    </row>
    <row r="9" spans="3:9" x14ac:dyDescent="0.35">
      <c r="C9" s="18">
        <v>8</v>
      </c>
      <c r="D9" s="18" t="s">
        <v>888</v>
      </c>
      <c r="E9" s="18" t="s">
        <v>732</v>
      </c>
      <c r="F9" s="178">
        <v>7</v>
      </c>
      <c r="G9" s="178">
        <v>190</v>
      </c>
      <c r="H9" s="178">
        <v>133</v>
      </c>
      <c r="I9" s="225">
        <f t="shared" si="0"/>
        <v>0.7</v>
      </c>
    </row>
    <row r="10" spans="3:9" x14ac:dyDescent="0.35">
      <c r="C10" s="18">
        <v>9</v>
      </c>
      <c r="D10" s="18"/>
      <c r="E10" s="18" t="s">
        <v>733</v>
      </c>
      <c r="F10" s="178">
        <v>7</v>
      </c>
      <c r="G10" s="178">
        <v>190</v>
      </c>
      <c r="H10" s="178">
        <v>112</v>
      </c>
      <c r="I10" s="225">
        <f t="shared" si="0"/>
        <v>0.58947368421052626</v>
      </c>
    </row>
    <row r="11" spans="3:9" x14ac:dyDescent="0.35">
      <c r="C11" s="18">
        <v>10</v>
      </c>
      <c r="D11" s="18" t="s">
        <v>892</v>
      </c>
      <c r="E11" s="222" t="s">
        <v>889</v>
      </c>
      <c r="F11" s="223">
        <v>5</v>
      </c>
      <c r="G11" s="223">
        <v>150</v>
      </c>
      <c r="H11" s="223">
        <v>56</v>
      </c>
      <c r="I11" s="225">
        <f t="shared" si="0"/>
        <v>0.37333333333333335</v>
      </c>
    </row>
    <row r="12" spans="3:9" x14ac:dyDescent="0.35">
      <c r="C12" s="18">
        <v>11</v>
      </c>
      <c r="D12" s="18" t="s">
        <v>891</v>
      </c>
      <c r="E12" s="222" t="s">
        <v>890</v>
      </c>
      <c r="F12" s="223">
        <v>4</v>
      </c>
      <c r="G12" s="223">
        <v>150</v>
      </c>
      <c r="H12" s="223">
        <v>120</v>
      </c>
      <c r="I12" s="225">
        <f t="shared" si="0"/>
        <v>0.8</v>
      </c>
    </row>
    <row r="13" spans="3:9" x14ac:dyDescent="0.35">
      <c r="C13" s="18">
        <v>12</v>
      </c>
      <c r="D13" s="18" t="s">
        <v>313</v>
      </c>
      <c r="E13" s="18" t="s">
        <v>779</v>
      </c>
      <c r="F13" s="178">
        <v>6</v>
      </c>
      <c r="G13" s="178">
        <v>190</v>
      </c>
      <c r="H13" s="178">
        <v>102</v>
      </c>
      <c r="I13" s="225">
        <f t="shared" si="0"/>
        <v>0.5368421052631579</v>
      </c>
    </row>
    <row r="14" spans="3:9" x14ac:dyDescent="0.35">
      <c r="C14" s="18">
        <v>13</v>
      </c>
      <c r="D14" s="18"/>
      <c r="E14" s="18" t="s">
        <v>780</v>
      </c>
      <c r="F14" s="178">
        <v>6</v>
      </c>
      <c r="G14" s="178">
        <v>190</v>
      </c>
      <c r="H14" s="178">
        <v>87</v>
      </c>
      <c r="I14" s="225">
        <f t="shared" si="0"/>
        <v>0.45789473684210524</v>
      </c>
    </row>
    <row r="15" spans="3:9" x14ac:dyDescent="0.35">
      <c r="C15" s="18">
        <v>14</v>
      </c>
      <c r="D15" s="18"/>
      <c r="E15" s="18" t="s">
        <v>781</v>
      </c>
      <c r="F15" s="178">
        <v>7</v>
      </c>
      <c r="G15" s="178">
        <v>190</v>
      </c>
      <c r="H15" s="178">
        <v>87</v>
      </c>
      <c r="I15" s="225">
        <f t="shared" si="0"/>
        <v>0.45789473684210524</v>
      </c>
    </row>
    <row r="16" spans="3:9" x14ac:dyDescent="0.35">
      <c r="C16" s="18">
        <v>15</v>
      </c>
      <c r="D16" s="18"/>
      <c r="E16" s="18" t="s">
        <v>783</v>
      </c>
      <c r="F16" s="178">
        <v>8</v>
      </c>
      <c r="G16" s="178">
        <v>230</v>
      </c>
      <c r="H16" s="178">
        <v>49</v>
      </c>
      <c r="I16" s="225">
        <f t="shared" si="0"/>
        <v>0.21304347826086956</v>
      </c>
    </row>
    <row r="17" spans="3:9" x14ac:dyDescent="0.35">
      <c r="C17" s="18">
        <v>16</v>
      </c>
      <c r="D17" s="18"/>
      <c r="E17" s="18" t="s">
        <v>782</v>
      </c>
      <c r="F17" s="178">
        <v>6</v>
      </c>
      <c r="G17" s="178">
        <v>190</v>
      </c>
      <c r="H17" s="178">
        <v>70</v>
      </c>
      <c r="I17" s="225">
        <f t="shared" si="0"/>
        <v>0.36842105263157893</v>
      </c>
    </row>
    <row r="18" spans="3:9" x14ac:dyDescent="0.35">
      <c r="C18" s="18">
        <v>17</v>
      </c>
      <c r="D18" s="18" t="s">
        <v>893</v>
      </c>
      <c r="E18" s="18" t="s">
        <v>894</v>
      </c>
      <c r="F18" s="178">
        <v>6</v>
      </c>
      <c r="G18" s="178">
        <v>190</v>
      </c>
      <c r="H18" s="178">
        <v>150</v>
      </c>
      <c r="I18" s="225">
        <f t="shared" si="0"/>
        <v>0.78947368421052633</v>
      </c>
    </row>
    <row r="19" spans="3:9" x14ac:dyDescent="0.35">
      <c r="C19" s="18">
        <v>18</v>
      </c>
      <c r="D19" s="18"/>
      <c r="E19" s="18" t="s">
        <v>895</v>
      </c>
      <c r="F19" s="178">
        <v>7</v>
      </c>
      <c r="G19" s="178">
        <v>190</v>
      </c>
      <c r="H19" s="178">
        <v>63</v>
      </c>
      <c r="I19" s="225">
        <f t="shared" si="0"/>
        <v>0.33157894736842103</v>
      </c>
    </row>
    <row r="20" spans="3:9" x14ac:dyDescent="0.35">
      <c r="C20" s="18">
        <v>19</v>
      </c>
      <c r="D20" s="18" t="s">
        <v>834</v>
      </c>
      <c r="E20" s="222" t="s">
        <v>896</v>
      </c>
      <c r="F20" s="223">
        <v>4</v>
      </c>
      <c r="G20" s="223">
        <v>150</v>
      </c>
      <c r="H20" s="223">
        <v>65</v>
      </c>
      <c r="I20" s="226">
        <f t="shared" si="0"/>
        <v>0.43333333333333335</v>
      </c>
    </row>
    <row r="21" spans="3:9" x14ac:dyDescent="0.35">
      <c r="C21" s="18">
        <v>20</v>
      </c>
      <c r="D21" s="18" t="s">
        <v>319</v>
      </c>
      <c r="E21" s="222" t="s">
        <v>897</v>
      </c>
      <c r="F21" s="178">
        <v>7</v>
      </c>
      <c r="G21" s="223">
        <v>190</v>
      </c>
      <c r="H21" s="223">
        <v>145</v>
      </c>
      <c r="I21" s="226">
        <f t="shared" si="0"/>
        <v>0.76315789473684215</v>
      </c>
    </row>
    <row r="22" spans="3:9" x14ac:dyDescent="0.35">
      <c r="C22" s="18">
        <v>21</v>
      </c>
      <c r="D22" s="18" t="s">
        <v>320</v>
      </c>
      <c r="E22" s="222" t="s">
        <v>898</v>
      </c>
      <c r="F22" s="178">
        <v>7</v>
      </c>
      <c r="G22" s="223">
        <v>175</v>
      </c>
      <c r="H22" s="223">
        <v>53</v>
      </c>
      <c r="I22" s="226">
        <f t="shared" si="0"/>
        <v>0.30285714285714288</v>
      </c>
    </row>
    <row r="23" spans="3:9" x14ac:dyDescent="0.35">
      <c r="C23" s="18">
        <v>22</v>
      </c>
      <c r="D23" s="18" t="s">
        <v>899</v>
      </c>
      <c r="E23" s="222" t="s">
        <v>900</v>
      </c>
      <c r="F23" s="223">
        <v>4</v>
      </c>
      <c r="G23" s="223">
        <v>150</v>
      </c>
      <c r="H23" s="223">
        <v>4</v>
      </c>
      <c r="I23" s="226">
        <f t="shared" si="0"/>
        <v>2.6666666666666668E-2</v>
      </c>
    </row>
    <row r="24" spans="3:9" x14ac:dyDescent="0.35">
      <c r="C24" s="18">
        <v>23</v>
      </c>
      <c r="D24" s="18" t="s">
        <v>901</v>
      </c>
      <c r="E24" s="18" t="s">
        <v>450</v>
      </c>
      <c r="F24" s="178">
        <v>5</v>
      </c>
      <c r="G24" s="178">
        <v>150</v>
      </c>
      <c r="H24" s="178">
        <v>70</v>
      </c>
      <c r="I24" s="225">
        <f>H24/G24*100%</f>
        <v>0.46666666666666667</v>
      </c>
    </row>
    <row r="25" spans="3:9" x14ac:dyDescent="0.35">
      <c r="C25" s="18">
        <v>24</v>
      </c>
      <c r="D25" s="18"/>
      <c r="E25" s="18" t="s">
        <v>451</v>
      </c>
      <c r="F25" s="178">
        <v>6</v>
      </c>
      <c r="G25" s="178">
        <v>190</v>
      </c>
      <c r="H25" s="178">
        <v>63</v>
      </c>
      <c r="I25" s="225">
        <f>H25/G25*100%</f>
        <v>0.33157894736842103</v>
      </c>
    </row>
    <row r="26" spans="3:9" x14ac:dyDescent="0.35">
      <c r="C26" s="18">
        <v>25</v>
      </c>
      <c r="D26" s="18" t="s">
        <v>336</v>
      </c>
      <c r="E26" s="18" t="s">
        <v>299</v>
      </c>
      <c r="F26" s="223">
        <v>7</v>
      </c>
      <c r="G26" s="178">
        <v>190</v>
      </c>
      <c r="H26" s="178">
        <v>120</v>
      </c>
      <c r="I26" s="225">
        <f>H26/G26*100%</f>
        <v>0.63157894736842102</v>
      </c>
    </row>
    <row r="27" spans="3:9" x14ac:dyDescent="0.35">
      <c r="C27" s="18">
        <v>26</v>
      </c>
      <c r="D27" s="18"/>
      <c r="E27" s="18" t="s">
        <v>301</v>
      </c>
      <c r="F27" s="223">
        <v>7</v>
      </c>
      <c r="G27" s="178">
        <v>190</v>
      </c>
      <c r="H27" s="178">
        <v>143</v>
      </c>
      <c r="I27" s="225">
        <f t="shared" ref="I27:I29" si="1">H27/G27*100%</f>
        <v>0.75263157894736843</v>
      </c>
    </row>
    <row r="28" spans="3:9" x14ac:dyDescent="0.35">
      <c r="C28" s="18">
        <v>27</v>
      </c>
      <c r="D28" s="18"/>
      <c r="E28" s="18" t="s">
        <v>300</v>
      </c>
      <c r="F28" s="223">
        <v>7</v>
      </c>
      <c r="G28" s="178">
        <v>190</v>
      </c>
      <c r="H28" s="178">
        <v>137</v>
      </c>
      <c r="I28" s="225">
        <f t="shared" si="1"/>
        <v>0.72105263157894739</v>
      </c>
    </row>
    <row r="29" spans="3:9" x14ac:dyDescent="0.35">
      <c r="C29" s="18">
        <v>28</v>
      </c>
      <c r="D29" s="18" t="s">
        <v>331</v>
      </c>
      <c r="E29" s="222" t="s">
        <v>902</v>
      </c>
      <c r="F29" s="223">
        <v>5</v>
      </c>
      <c r="G29" s="223">
        <v>150</v>
      </c>
      <c r="H29" s="223">
        <v>91</v>
      </c>
      <c r="I29" s="226">
        <f t="shared" si="1"/>
        <v>0.60666666666666669</v>
      </c>
    </row>
    <row r="30" spans="3:9" x14ac:dyDescent="0.35">
      <c r="C30" s="18">
        <v>29</v>
      </c>
      <c r="D30" s="18" t="s">
        <v>327</v>
      </c>
      <c r="E30" s="105" t="s">
        <v>835</v>
      </c>
      <c r="F30" s="223">
        <v>5</v>
      </c>
      <c r="G30" s="224">
        <v>150</v>
      </c>
      <c r="H30" s="224">
        <v>57</v>
      </c>
      <c r="I30" s="227">
        <f>H30/G30*100%</f>
        <v>0.38</v>
      </c>
    </row>
    <row r="31" spans="3:9" x14ac:dyDescent="0.35">
      <c r="C31" s="18">
        <v>30</v>
      </c>
      <c r="D31" s="18"/>
      <c r="E31" s="105" t="s">
        <v>836</v>
      </c>
      <c r="F31" s="223">
        <v>7</v>
      </c>
      <c r="G31" s="224">
        <v>190</v>
      </c>
      <c r="H31" s="224">
        <v>114</v>
      </c>
      <c r="I31" s="227">
        <f t="shared" ref="I31:I32" si="2">H31/G31*100%</f>
        <v>0.6</v>
      </c>
    </row>
    <row r="32" spans="3:9" x14ac:dyDescent="0.35">
      <c r="C32" s="18">
        <v>31</v>
      </c>
      <c r="D32" s="18"/>
      <c r="E32" s="105" t="s">
        <v>837</v>
      </c>
      <c r="F32" s="223">
        <v>7</v>
      </c>
      <c r="G32" s="224">
        <v>190</v>
      </c>
      <c r="H32" s="224">
        <v>106</v>
      </c>
      <c r="I32" s="227">
        <f t="shared" si="2"/>
        <v>0.55789473684210522</v>
      </c>
    </row>
    <row r="33" spans="3:9" x14ac:dyDescent="0.35">
      <c r="C33" s="18">
        <v>32</v>
      </c>
      <c r="D33" s="18" t="s">
        <v>328</v>
      </c>
      <c r="E33" s="18" t="s">
        <v>854</v>
      </c>
      <c r="F33" s="223">
        <v>7</v>
      </c>
      <c r="G33" s="178">
        <v>190</v>
      </c>
      <c r="H33" s="178">
        <v>161</v>
      </c>
      <c r="I33" s="225">
        <f>H33/G33*100%</f>
        <v>0.84736842105263155</v>
      </c>
    </row>
    <row r="34" spans="3:9" x14ac:dyDescent="0.35">
      <c r="C34" s="18">
        <v>33</v>
      </c>
      <c r="D34" s="18"/>
      <c r="E34" s="18" t="s">
        <v>855</v>
      </c>
      <c r="F34" s="223">
        <v>7</v>
      </c>
      <c r="G34" s="178">
        <v>190</v>
      </c>
      <c r="H34" s="178">
        <v>124</v>
      </c>
      <c r="I34" s="225">
        <f>H34/G34*100%</f>
        <v>0.65263157894736845</v>
      </c>
    </row>
    <row r="35" spans="3:9" x14ac:dyDescent="0.35">
      <c r="C35" s="18">
        <v>34</v>
      </c>
      <c r="D35" s="18" t="s">
        <v>329</v>
      </c>
      <c r="E35" s="105" t="s">
        <v>903</v>
      </c>
      <c r="F35" s="223">
        <v>3</v>
      </c>
      <c r="G35" s="224">
        <v>150</v>
      </c>
      <c r="H35" s="224">
        <v>80</v>
      </c>
      <c r="I35" s="227">
        <f>H35/G35*100%</f>
        <v>0.53333333333333333</v>
      </c>
    </row>
    <row r="36" spans="3:9" x14ac:dyDescent="0.35">
      <c r="C36" s="18">
        <v>35</v>
      </c>
      <c r="D36" s="18" t="s">
        <v>330</v>
      </c>
      <c r="E36" s="105" t="s">
        <v>898</v>
      </c>
      <c r="F36" s="223">
        <v>4</v>
      </c>
      <c r="G36" s="224">
        <v>100</v>
      </c>
      <c r="H36" s="224">
        <v>14</v>
      </c>
      <c r="I36" s="227">
        <f>H36/G36*100%</f>
        <v>0.14000000000000001</v>
      </c>
    </row>
    <row r="37" spans="3:9" x14ac:dyDescent="0.35">
      <c r="C37" s="18">
        <v>36</v>
      </c>
      <c r="D37" s="18" t="s">
        <v>618</v>
      </c>
      <c r="E37" s="105" t="s">
        <v>898</v>
      </c>
      <c r="F37" s="223">
        <v>5</v>
      </c>
      <c r="G37" s="224">
        <v>125</v>
      </c>
      <c r="H37" s="224">
        <v>83</v>
      </c>
      <c r="I37" s="227">
        <f>H37/G37*100%</f>
        <v>0.66400000000000003</v>
      </c>
    </row>
    <row r="38" spans="3:9" x14ac:dyDescent="0.35">
      <c r="C38" s="18">
        <v>37</v>
      </c>
      <c r="D38" s="18" t="s">
        <v>904</v>
      </c>
      <c r="E38" s="18" t="s">
        <v>597</v>
      </c>
      <c r="F38" s="223">
        <v>6</v>
      </c>
      <c r="G38" s="178">
        <v>190</v>
      </c>
      <c r="H38" s="178">
        <v>81</v>
      </c>
      <c r="I38" s="225">
        <f>H38/G38*100%</f>
        <v>0.4263157894736842</v>
      </c>
    </row>
    <row r="39" spans="3:9" x14ac:dyDescent="0.35">
      <c r="C39" s="18">
        <v>38</v>
      </c>
      <c r="D39" s="18"/>
      <c r="E39" s="18" t="s">
        <v>598</v>
      </c>
      <c r="F39" s="223">
        <v>5</v>
      </c>
      <c r="G39" s="178">
        <v>150</v>
      </c>
      <c r="H39" s="178">
        <v>91</v>
      </c>
      <c r="I39" s="225">
        <f t="shared" ref="I39:I40" si="3">H39/G39*100%</f>
        <v>0.60666666666666669</v>
      </c>
    </row>
    <row r="40" spans="3:9" x14ac:dyDescent="0.35">
      <c r="C40" s="18">
        <v>39</v>
      </c>
      <c r="D40" s="18"/>
      <c r="E40" s="18" t="s">
        <v>599</v>
      </c>
      <c r="F40" s="223">
        <v>5</v>
      </c>
      <c r="G40" s="178">
        <v>150</v>
      </c>
      <c r="H40" s="178">
        <v>90</v>
      </c>
      <c r="I40" s="225">
        <f t="shared" si="3"/>
        <v>0.6</v>
      </c>
    </row>
    <row r="41" spans="3:9" x14ac:dyDescent="0.35">
      <c r="C41" s="18">
        <v>40</v>
      </c>
      <c r="D41" s="18" t="s">
        <v>334</v>
      </c>
      <c r="E41" s="18" t="s">
        <v>619</v>
      </c>
      <c r="F41" s="223">
        <v>7</v>
      </c>
      <c r="G41" s="178">
        <v>190</v>
      </c>
      <c r="H41" s="178">
        <v>123</v>
      </c>
      <c r="I41" s="225">
        <f>H41/G41*100%</f>
        <v>0.64736842105263159</v>
      </c>
    </row>
    <row r="42" spans="3:9" x14ac:dyDescent="0.35">
      <c r="C42" s="18">
        <v>41</v>
      </c>
      <c r="D42" s="18"/>
      <c r="E42" s="18" t="s">
        <v>620</v>
      </c>
      <c r="F42" s="223">
        <v>5</v>
      </c>
      <c r="G42" s="178">
        <v>150</v>
      </c>
      <c r="H42" s="178">
        <v>85</v>
      </c>
      <c r="I42" s="225">
        <f t="shared" ref="I42:I43" si="4">H42/G42*100%</f>
        <v>0.56666666666666665</v>
      </c>
    </row>
    <row r="43" spans="3:9" x14ac:dyDescent="0.35">
      <c r="C43" s="18">
        <v>42</v>
      </c>
      <c r="D43" s="18"/>
      <c r="E43" s="18" t="s">
        <v>621</v>
      </c>
      <c r="F43" s="223">
        <v>3</v>
      </c>
      <c r="G43" s="178">
        <v>150</v>
      </c>
      <c r="H43" s="178">
        <v>12</v>
      </c>
      <c r="I43" s="225">
        <f t="shared" si="4"/>
        <v>0.08</v>
      </c>
    </row>
    <row r="44" spans="3:9" x14ac:dyDescent="0.35">
      <c r="C44" s="18">
        <v>43</v>
      </c>
      <c r="D44" s="18" t="s">
        <v>335</v>
      </c>
      <c r="E44" s="18" t="s">
        <v>634</v>
      </c>
      <c r="F44" s="223">
        <v>5</v>
      </c>
      <c r="G44" s="178">
        <v>150</v>
      </c>
      <c r="H44" s="178">
        <v>102</v>
      </c>
      <c r="I44" s="225">
        <f>H44/G44*100%</f>
        <v>0.68</v>
      </c>
    </row>
    <row r="45" spans="3:9" x14ac:dyDescent="0.35">
      <c r="C45" s="18">
        <v>44</v>
      </c>
      <c r="D45" s="18"/>
      <c r="E45" s="18" t="s">
        <v>635</v>
      </c>
      <c r="F45" s="223">
        <v>5</v>
      </c>
      <c r="G45" s="178">
        <v>150</v>
      </c>
      <c r="H45" s="178">
        <v>74</v>
      </c>
      <c r="I45" s="225">
        <f>H45/G45*100%</f>
        <v>0.49333333333333335</v>
      </c>
    </row>
    <row r="46" spans="3:9" x14ac:dyDescent="0.35">
      <c r="C46" s="18">
        <v>45</v>
      </c>
      <c r="D46" s="18" t="s">
        <v>321</v>
      </c>
      <c r="E46" s="222" t="s">
        <v>905</v>
      </c>
      <c r="F46" s="223">
        <v>6</v>
      </c>
      <c r="G46" s="223">
        <v>190</v>
      </c>
      <c r="H46" s="223">
        <v>83</v>
      </c>
      <c r="I46" s="226">
        <f>H46/G46*100%</f>
        <v>0.43684210526315792</v>
      </c>
    </row>
    <row r="47" spans="3:9" x14ac:dyDescent="0.35">
      <c r="C47" s="18">
        <v>46</v>
      </c>
      <c r="D47" s="18" t="s">
        <v>332</v>
      </c>
      <c r="E47" s="105" t="s">
        <v>670</v>
      </c>
      <c r="F47" s="223">
        <v>9</v>
      </c>
      <c r="G47" s="224">
        <v>230</v>
      </c>
      <c r="H47" s="224">
        <v>128</v>
      </c>
      <c r="I47" s="227">
        <f>H47/G47*100%</f>
        <v>0.55652173913043479</v>
      </c>
    </row>
    <row r="48" spans="3:9" x14ac:dyDescent="0.35">
      <c r="C48" s="18">
        <v>47</v>
      </c>
      <c r="D48" s="18"/>
      <c r="E48" s="105" t="s">
        <v>671</v>
      </c>
      <c r="F48" s="223">
        <v>7</v>
      </c>
      <c r="G48" s="224">
        <v>190</v>
      </c>
      <c r="H48" s="224">
        <v>174</v>
      </c>
      <c r="I48" s="227">
        <f t="shared" ref="I48:I49" si="5">H48/G48*100%</f>
        <v>0.91578947368421049</v>
      </c>
    </row>
    <row r="49" spans="3:9" x14ac:dyDescent="0.35">
      <c r="C49" s="18">
        <v>48</v>
      </c>
      <c r="D49" s="18"/>
      <c r="E49" s="105" t="s">
        <v>672</v>
      </c>
      <c r="F49" s="223">
        <v>7</v>
      </c>
      <c r="G49" s="224">
        <v>190</v>
      </c>
      <c r="H49" s="224">
        <v>140</v>
      </c>
      <c r="I49" s="227">
        <f t="shared" si="5"/>
        <v>0.73684210526315785</v>
      </c>
    </row>
    <row r="50" spans="3:9" x14ac:dyDescent="0.35">
      <c r="C50" s="18">
        <v>49</v>
      </c>
      <c r="D50" s="18" t="s">
        <v>906</v>
      </c>
      <c r="E50" s="18" t="s">
        <v>686</v>
      </c>
      <c r="F50" s="223">
        <v>5</v>
      </c>
      <c r="G50" s="178">
        <v>150</v>
      </c>
      <c r="H50" s="178">
        <v>91</v>
      </c>
      <c r="I50" s="225">
        <f>H50/G50*100%</f>
        <v>0.60666666666666669</v>
      </c>
    </row>
    <row r="51" spans="3:9" x14ac:dyDescent="0.35">
      <c r="C51" s="18">
        <v>50</v>
      </c>
      <c r="D51" s="18"/>
      <c r="E51" s="18" t="s">
        <v>687</v>
      </c>
      <c r="F51" s="223">
        <v>6</v>
      </c>
      <c r="G51" s="178">
        <v>190</v>
      </c>
      <c r="H51" s="178">
        <v>68</v>
      </c>
      <c r="I51" s="225">
        <f>H51/G51*100%</f>
        <v>0.35789473684210527</v>
      </c>
    </row>
    <row r="52" spans="3:9" x14ac:dyDescent="0.35">
      <c r="C52" s="18">
        <v>51</v>
      </c>
      <c r="D52" s="18" t="s">
        <v>337</v>
      </c>
      <c r="E52" s="18" t="s">
        <v>712</v>
      </c>
      <c r="F52" s="223">
        <v>7</v>
      </c>
      <c r="G52" s="178">
        <v>190</v>
      </c>
      <c r="H52" s="178">
        <v>148</v>
      </c>
      <c r="I52" s="225">
        <f>H52/G52*100%</f>
        <v>0.77894736842105261</v>
      </c>
    </row>
    <row r="53" spans="3:9" x14ac:dyDescent="0.35">
      <c r="C53" s="18">
        <v>52</v>
      </c>
      <c r="D53" s="18"/>
      <c r="E53" s="18" t="s">
        <v>713</v>
      </c>
      <c r="F53" s="223">
        <v>7</v>
      </c>
      <c r="G53" s="178">
        <v>190</v>
      </c>
      <c r="H53" s="178">
        <v>136</v>
      </c>
      <c r="I53" s="225">
        <f t="shared" ref="I53:I54" si="6">H53/G53*100%</f>
        <v>0.71578947368421053</v>
      </c>
    </row>
    <row r="54" spans="3:9" x14ac:dyDescent="0.35">
      <c r="C54" s="18">
        <v>53</v>
      </c>
      <c r="D54" s="18"/>
      <c r="E54" s="18" t="s">
        <v>714</v>
      </c>
      <c r="F54" s="223">
        <v>7</v>
      </c>
      <c r="G54" s="178">
        <v>190</v>
      </c>
      <c r="H54" s="178">
        <v>116</v>
      </c>
      <c r="I54" s="225">
        <f t="shared" si="6"/>
        <v>0.61052631578947369</v>
      </c>
    </row>
    <row r="55" spans="3:9" x14ac:dyDescent="0.35">
      <c r="C55" s="18">
        <v>54</v>
      </c>
      <c r="D55" s="18" t="s">
        <v>339</v>
      </c>
      <c r="E55" s="18" t="s">
        <v>907</v>
      </c>
      <c r="F55" s="223">
        <v>7</v>
      </c>
      <c r="G55" s="178">
        <v>190</v>
      </c>
      <c r="H55" s="178">
        <v>198</v>
      </c>
      <c r="I55" s="225">
        <f>H55/G55*100%</f>
        <v>1.0421052631578946</v>
      </c>
    </row>
    <row r="56" spans="3:9" x14ac:dyDescent="0.35">
      <c r="C56" s="18">
        <v>55</v>
      </c>
      <c r="D56" s="18"/>
      <c r="E56" s="18" t="s">
        <v>908</v>
      </c>
      <c r="F56" s="223">
        <v>5</v>
      </c>
      <c r="G56" s="178">
        <v>150</v>
      </c>
      <c r="H56" s="178">
        <v>119</v>
      </c>
      <c r="I56" s="225">
        <f t="shared" ref="I56:I62" si="7">H56/G56*100%</f>
        <v>0.79333333333333333</v>
      </c>
    </row>
    <row r="57" spans="3:9" x14ac:dyDescent="0.35">
      <c r="C57" s="18">
        <v>56</v>
      </c>
      <c r="D57" s="18"/>
      <c r="E57" s="18" t="s">
        <v>909</v>
      </c>
      <c r="F57" s="223">
        <v>5</v>
      </c>
      <c r="G57" s="178">
        <v>150</v>
      </c>
      <c r="H57" s="178">
        <v>140</v>
      </c>
      <c r="I57" s="225">
        <f t="shared" si="7"/>
        <v>0.93333333333333335</v>
      </c>
    </row>
    <row r="58" spans="3:9" x14ac:dyDescent="0.35">
      <c r="C58" s="18">
        <v>57</v>
      </c>
      <c r="D58" s="18"/>
      <c r="E58" s="18" t="s">
        <v>910</v>
      </c>
      <c r="F58" s="223">
        <v>5</v>
      </c>
      <c r="G58" s="178">
        <v>150</v>
      </c>
      <c r="H58" s="178">
        <v>129</v>
      </c>
      <c r="I58" s="225">
        <f t="shared" si="7"/>
        <v>0.86</v>
      </c>
    </row>
    <row r="59" spans="3:9" x14ac:dyDescent="0.35">
      <c r="C59" s="18">
        <v>58</v>
      </c>
      <c r="D59" s="18"/>
      <c r="E59" s="18" t="s">
        <v>911</v>
      </c>
      <c r="F59" s="223">
        <v>5</v>
      </c>
      <c r="G59" s="178">
        <v>150</v>
      </c>
      <c r="H59" s="178">
        <v>160</v>
      </c>
      <c r="I59" s="225">
        <f t="shared" si="7"/>
        <v>1.0666666666666667</v>
      </c>
    </row>
    <row r="60" spans="3:9" x14ac:dyDescent="0.35">
      <c r="C60" s="18">
        <v>59</v>
      </c>
      <c r="D60" s="18"/>
      <c r="E60" s="18" t="s">
        <v>912</v>
      </c>
      <c r="F60" s="223">
        <v>5</v>
      </c>
      <c r="G60" s="178">
        <v>150</v>
      </c>
      <c r="H60" s="178">
        <v>134</v>
      </c>
      <c r="I60" s="225">
        <f t="shared" si="7"/>
        <v>0.89333333333333331</v>
      </c>
    </row>
    <row r="61" spans="3:9" x14ac:dyDescent="0.35">
      <c r="C61" s="18">
        <v>60</v>
      </c>
      <c r="D61" s="18"/>
      <c r="E61" s="18" t="s">
        <v>913</v>
      </c>
      <c r="F61" s="223">
        <v>6</v>
      </c>
      <c r="G61" s="178">
        <v>190</v>
      </c>
      <c r="H61" s="178">
        <v>216</v>
      </c>
      <c r="I61" s="225">
        <f t="shared" si="7"/>
        <v>1.1368421052631579</v>
      </c>
    </row>
    <row r="62" spans="3:9" x14ac:dyDescent="0.35">
      <c r="C62" s="18">
        <v>61</v>
      </c>
      <c r="D62" s="18"/>
      <c r="E62" s="18" t="s">
        <v>914</v>
      </c>
      <c r="F62" s="223">
        <v>7</v>
      </c>
      <c r="G62" s="178">
        <v>190</v>
      </c>
      <c r="H62" s="178">
        <v>203</v>
      </c>
      <c r="I62" s="225">
        <f t="shared" si="7"/>
        <v>1.0684210526315789</v>
      </c>
    </row>
    <row r="63" spans="3:9" x14ac:dyDescent="0.35">
      <c r="C63" s="18">
        <v>62</v>
      </c>
      <c r="D63" s="18" t="s">
        <v>348</v>
      </c>
      <c r="E63" s="18" t="s">
        <v>66</v>
      </c>
      <c r="F63" s="223">
        <v>4</v>
      </c>
      <c r="G63" s="178">
        <v>150</v>
      </c>
      <c r="H63" s="178">
        <v>157</v>
      </c>
      <c r="I63" s="225">
        <f>H63/G63*100%</f>
        <v>1.0466666666666666</v>
      </c>
    </row>
    <row r="64" spans="3:9" x14ac:dyDescent="0.35">
      <c r="C64" s="18">
        <v>63</v>
      </c>
      <c r="D64" s="18"/>
      <c r="E64" s="18" t="s">
        <v>67</v>
      </c>
      <c r="F64" s="223">
        <v>5</v>
      </c>
      <c r="G64" s="178">
        <v>150</v>
      </c>
      <c r="H64" s="178">
        <v>126</v>
      </c>
      <c r="I64" s="225">
        <f t="shared" ref="I64:I65" si="8">H64/G64*100%</f>
        <v>0.84</v>
      </c>
    </row>
    <row r="65" spans="3:9" x14ac:dyDescent="0.35">
      <c r="C65" s="18">
        <v>64</v>
      </c>
      <c r="D65" s="18"/>
      <c r="E65" s="18" t="s">
        <v>68</v>
      </c>
      <c r="F65" s="223">
        <v>5</v>
      </c>
      <c r="G65" s="178">
        <v>150</v>
      </c>
      <c r="H65" s="178">
        <v>134</v>
      </c>
      <c r="I65" s="225">
        <f t="shared" si="8"/>
        <v>0.89333333333333331</v>
      </c>
    </row>
    <row r="66" spans="3:9" x14ac:dyDescent="0.35">
      <c r="C66" s="18">
        <v>65</v>
      </c>
      <c r="D66" s="18" t="s">
        <v>347</v>
      </c>
      <c r="E66" s="18" t="s">
        <v>70</v>
      </c>
      <c r="F66" s="223">
        <v>5</v>
      </c>
      <c r="G66" s="178">
        <v>150</v>
      </c>
      <c r="H66" s="178">
        <v>150</v>
      </c>
      <c r="I66" s="225">
        <f>H66/G66*100%</f>
        <v>1</v>
      </c>
    </row>
    <row r="67" spans="3:9" x14ac:dyDescent="0.35">
      <c r="C67" s="18">
        <v>66</v>
      </c>
      <c r="D67" s="18"/>
      <c r="E67" s="18" t="s">
        <v>898</v>
      </c>
      <c r="F67" s="223">
        <v>3</v>
      </c>
      <c r="G67" s="178">
        <v>75</v>
      </c>
      <c r="H67" s="178">
        <v>6</v>
      </c>
      <c r="I67" s="225">
        <f>H67/G67*100%</f>
        <v>0.08</v>
      </c>
    </row>
    <row r="68" spans="3:9" x14ac:dyDescent="0.35">
      <c r="C68" s="18">
        <v>67</v>
      </c>
      <c r="D68" s="18" t="s">
        <v>344</v>
      </c>
      <c r="E68" s="222" t="s">
        <v>915</v>
      </c>
      <c r="F68" s="223">
        <v>4</v>
      </c>
      <c r="G68" s="223">
        <v>150</v>
      </c>
      <c r="H68" s="223">
        <v>23</v>
      </c>
      <c r="I68" s="226">
        <f>H68/G68*100%</f>
        <v>0.15333333333333332</v>
      </c>
    </row>
    <row r="69" spans="3:9" x14ac:dyDescent="0.35">
      <c r="C69" s="18">
        <v>68</v>
      </c>
      <c r="D69" s="18" t="s">
        <v>349</v>
      </c>
      <c r="E69" s="18" t="s">
        <v>105</v>
      </c>
      <c r="F69" s="223">
        <v>5</v>
      </c>
      <c r="G69" s="178">
        <v>150</v>
      </c>
      <c r="H69" s="178">
        <v>118</v>
      </c>
      <c r="I69" s="225">
        <f>H69/G69*100%</f>
        <v>0.78666666666666663</v>
      </c>
    </row>
    <row r="70" spans="3:9" x14ac:dyDescent="0.35">
      <c r="C70" s="18">
        <v>69</v>
      </c>
      <c r="D70" s="18"/>
      <c r="E70" s="18" t="s">
        <v>916</v>
      </c>
      <c r="F70" s="223">
        <v>5</v>
      </c>
      <c r="G70" s="178">
        <v>150</v>
      </c>
      <c r="H70" s="178">
        <v>94</v>
      </c>
      <c r="I70" s="225">
        <f t="shared" ref="I70:I71" si="9">H70/G70*100%</f>
        <v>0.62666666666666671</v>
      </c>
    </row>
    <row r="71" spans="3:9" x14ac:dyDescent="0.35">
      <c r="C71" s="18">
        <v>70</v>
      </c>
      <c r="D71" s="18"/>
      <c r="E71" s="18" t="s">
        <v>917</v>
      </c>
      <c r="F71" s="223">
        <v>7</v>
      </c>
      <c r="G71" s="178">
        <v>175</v>
      </c>
      <c r="H71" s="178">
        <v>8</v>
      </c>
      <c r="I71" s="225">
        <f t="shared" si="9"/>
        <v>4.5714285714285714E-2</v>
      </c>
    </row>
    <row r="72" spans="3:9" x14ac:dyDescent="0.35">
      <c r="C72" s="18">
        <v>71</v>
      </c>
      <c r="D72" s="18" t="s">
        <v>341</v>
      </c>
      <c r="E72" s="18" t="s">
        <v>245</v>
      </c>
      <c r="F72" s="223">
        <v>7</v>
      </c>
      <c r="G72" s="178">
        <v>190</v>
      </c>
      <c r="H72" s="178">
        <v>194</v>
      </c>
      <c r="I72" s="225">
        <f>H72/G72*100%</f>
        <v>1.0210526315789474</v>
      </c>
    </row>
    <row r="73" spans="3:9" x14ac:dyDescent="0.35">
      <c r="C73" s="18">
        <v>72</v>
      </c>
      <c r="D73" s="18"/>
      <c r="E73" s="18" t="s">
        <v>246</v>
      </c>
      <c r="F73" s="223">
        <v>5</v>
      </c>
      <c r="G73" s="178">
        <v>150</v>
      </c>
      <c r="H73" s="178">
        <v>169</v>
      </c>
      <c r="I73" s="225">
        <f>H73/G73*100%</f>
        <v>1.1266666666666667</v>
      </c>
    </row>
    <row r="74" spans="3:9" x14ac:dyDescent="0.35">
      <c r="C74" s="18">
        <v>73</v>
      </c>
      <c r="D74" s="18" t="s">
        <v>342</v>
      </c>
      <c r="E74" s="18" t="s">
        <v>266</v>
      </c>
      <c r="F74" s="223">
        <v>5</v>
      </c>
      <c r="G74" s="178">
        <v>150</v>
      </c>
      <c r="H74" s="178">
        <v>136</v>
      </c>
      <c r="I74" s="225">
        <f>H74/G74*100%</f>
        <v>0.90666666666666662</v>
      </c>
    </row>
    <row r="75" spans="3:9" x14ac:dyDescent="0.35">
      <c r="C75" s="18">
        <v>74</v>
      </c>
      <c r="D75" s="18"/>
      <c r="E75" s="18" t="s">
        <v>267</v>
      </c>
      <c r="F75" s="223">
        <v>5</v>
      </c>
      <c r="G75" s="178">
        <v>150</v>
      </c>
      <c r="H75" s="178">
        <v>80</v>
      </c>
      <c r="I75" s="225">
        <f t="shared" ref="I75:I77" si="10">H75/G75*100%</f>
        <v>0.53333333333333333</v>
      </c>
    </row>
    <row r="76" spans="3:9" x14ac:dyDescent="0.35">
      <c r="C76" s="18">
        <v>75</v>
      </c>
      <c r="D76" s="18"/>
      <c r="E76" s="18" t="s">
        <v>918</v>
      </c>
      <c r="F76" s="223">
        <v>7</v>
      </c>
      <c r="G76" s="178">
        <v>190</v>
      </c>
      <c r="H76" s="178">
        <v>57</v>
      </c>
      <c r="I76" s="225">
        <f t="shared" si="10"/>
        <v>0.3</v>
      </c>
    </row>
    <row r="77" spans="3:9" x14ac:dyDescent="0.35">
      <c r="C77" s="18">
        <v>76</v>
      </c>
      <c r="D77" s="18" t="s">
        <v>340</v>
      </c>
      <c r="E77" s="222" t="s">
        <v>919</v>
      </c>
      <c r="F77" s="223">
        <v>3</v>
      </c>
      <c r="G77" s="223">
        <v>150</v>
      </c>
      <c r="H77" s="223">
        <v>42</v>
      </c>
      <c r="I77" s="226">
        <f t="shared" si="10"/>
        <v>0.28000000000000003</v>
      </c>
    </row>
    <row r="78" spans="3:9" x14ac:dyDescent="0.35">
      <c r="C78" s="18">
        <v>77</v>
      </c>
      <c r="D78" s="18" t="s">
        <v>345</v>
      </c>
      <c r="E78" s="18" t="s">
        <v>386</v>
      </c>
      <c r="F78" s="223">
        <v>6</v>
      </c>
      <c r="G78" s="178">
        <v>190</v>
      </c>
      <c r="H78" s="178">
        <v>89</v>
      </c>
      <c r="I78" s="225">
        <f>H78/G78*100%</f>
        <v>0.46842105263157896</v>
      </c>
    </row>
    <row r="79" spans="3:9" x14ac:dyDescent="0.35">
      <c r="C79" s="18">
        <v>78</v>
      </c>
      <c r="D79" s="18"/>
      <c r="E79" s="18" t="s">
        <v>388</v>
      </c>
      <c r="F79" s="223">
        <v>6</v>
      </c>
      <c r="G79" s="178">
        <v>190</v>
      </c>
      <c r="H79" s="178">
        <v>69</v>
      </c>
      <c r="I79" s="225">
        <f t="shared" ref="I79:I81" si="11">H79/G79*100%</f>
        <v>0.36315789473684212</v>
      </c>
    </row>
    <row r="80" spans="3:9" x14ac:dyDescent="0.35">
      <c r="C80" s="18">
        <v>79</v>
      </c>
      <c r="D80" s="18"/>
      <c r="E80" s="18" t="s">
        <v>387</v>
      </c>
      <c r="F80" s="223">
        <v>5</v>
      </c>
      <c r="G80" s="178">
        <v>150</v>
      </c>
      <c r="H80" s="178">
        <v>108</v>
      </c>
      <c r="I80" s="225">
        <f t="shared" si="11"/>
        <v>0.72</v>
      </c>
    </row>
    <row r="81" spans="3:9" x14ac:dyDescent="0.35">
      <c r="C81" s="18">
        <v>80</v>
      </c>
      <c r="D81" s="18" t="s">
        <v>346</v>
      </c>
      <c r="E81" s="222" t="s">
        <v>920</v>
      </c>
      <c r="F81" s="223">
        <v>6</v>
      </c>
      <c r="G81" s="223">
        <v>190</v>
      </c>
      <c r="H81" s="223">
        <v>86</v>
      </c>
      <c r="I81" s="226">
        <f t="shared" si="11"/>
        <v>0.45263157894736844</v>
      </c>
    </row>
    <row r="82" spans="3:9" x14ac:dyDescent="0.35">
      <c r="C82" s="18">
        <v>81</v>
      </c>
      <c r="D82" s="18"/>
      <c r="E82" s="18" t="s">
        <v>43</v>
      </c>
      <c r="F82" s="223">
        <v>7</v>
      </c>
      <c r="G82" s="178">
        <v>190</v>
      </c>
      <c r="H82" s="178">
        <v>82</v>
      </c>
      <c r="I82" s="225">
        <f>H82/G82*100%</f>
        <v>0.43157894736842106</v>
      </c>
    </row>
    <row r="83" spans="3:9" x14ac:dyDescent="0.35">
      <c r="C83" s="18">
        <v>82</v>
      </c>
      <c r="D83" s="18"/>
      <c r="E83" s="18" t="s">
        <v>44</v>
      </c>
      <c r="F83" s="223">
        <v>5</v>
      </c>
      <c r="G83" s="178">
        <v>150</v>
      </c>
      <c r="H83" s="178">
        <v>75</v>
      </c>
      <c r="I83" s="225">
        <f t="shared" ref="I83:I86" si="12">H83/G83*100%</f>
        <v>0.5</v>
      </c>
    </row>
    <row r="84" spans="3:9" x14ac:dyDescent="0.35">
      <c r="C84" s="18">
        <v>83</v>
      </c>
      <c r="D84" s="18"/>
      <c r="E84" s="18" t="s">
        <v>45</v>
      </c>
      <c r="F84" s="223">
        <v>5</v>
      </c>
      <c r="G84" s="178">
        <v>150</v>
      </c>
      <c r="H84" s="178">
        <v>96</v>
      </c>
      <c r="I84" s="225">
        <f t="shared" si="12"/>
        <v>0.64</v>
      </c>
    </row>
    <row r="85" spans="3:9" x14ac:dyDescent="0.35">
      <c r="C85" s="18">
        <v>84</v>
      </c>
      <c r="D85" s="18"/>
      <c r="E85" s="18" t="s">
        <v>46</v>
      </c>
      <c r="F85" s="223">
        <v>5</v>
      </c>
      <c r="G85" s="178">
        <v>150</v>
      </c>
      <c r="H85" s="178">
        <v>50</v>
      </c>
      <c r="I85" s="225">
        <f t="shared" si="12"/>
        <v>0.33333333333333331</v>
      </c>
    </row>
    <row r="86" spans="3:9" x14ac:dyDescent="0.35">
      <c r="C86" s="18">
        <v>85</v>
      </c>
      <c r="D86" s="18" t="s">
        <v>566</v>
      </c>
      <c r="E86" s="222" t="s">
        <v>921</v>
      </c>
      <c r="F86" s="223">
        <v>0</v>
      </c>
      <c r="G86" s="223">
        <v>150</v>
      </c>
      <c r="H86" s="223">
        <v>4</v>
      </c>
      <c r="I86" s="226">
        <f t="shared" si="12"/>
        <v>2.6666666666666668E-2</v>
      </c>
    </row>
    <row r="87" spans="3:9" x14ac:dyDescent="0.35">
      <c r="C87" s="18">
        <v>86</v>
      </c>
      <c r="D87" s="18" t="s">
        <v>359</v>
      </c>
      <c r="E87" s="18" t="s">
        <v>499</v>
      </c>
      <c r="F87" s="223">
        <v>4</v>
      </c>
      <c r="G87" s="178">
        <v>150</v>
      </c>
      <c r="H87" s="178">
        <v>44</v>
      </c>
      <c r="I87" s="225">
        <f>H87/G87*100%</f>
        <v>0.29333333333333333</v>
      </c>
    </row>
    <row r="88" spans="3:9" x14ac:dyDescent="0.35">
      <c r="C88" s="18">
        <v>87</v>
      </c>
      <c r="D88" s="18"/>
      <c r="E88" s="18" t="s">
        <v>500</v>
      </c>
      <c r="F88" s="223">
        <v>8</v>
      </c>
      <c r="G88" s="178">
        <v>230</v>
      </c>
      <c r="H88" s="178">
        <v>96</v>
      </c>
      <c r="I88" s="225">
        <f>H88/G88*100%</f>
        <v>0.41739130434782606</v>
      </c>
    </row>
    <row r="89" spans="3:9" x14ac:dyDescent="0.35">
      <c r="C89" s="18">
        <v>88</v>
      </c>
      <c r="D89" s="18" t="s">
        <v>352</v>
      </c>
      <c r="E89" s="222" t="s">
        <v>898</v>
      </c>
      <c r="F89" s="223">
        <v>3</v>
      </c>
      <c r="G89" s="223">
        <v>75</v>
      </c>
      <c r="H89" s="223">
        <v>10</v>
      </c>
      <c r="I89" s="226">
        <f>H89/G89*100%</f>
        <v>0.13333333333333333</v>
      </c>
    </row>
    <row r="90" spans="3:9" x14ac:dyDescent="0.35">
      <c r="C90" s="18">
        <v>89</v>
      </c>
      <c r="D90" s="18" t="s">
        <v>360</v>
      </c>
      <c r="E90" s="222" t="s">
        <v>922</v>
      </c>
      <c r="F90" s="223">
        <v>2</v>
      </c>
      <c r="G90" s="223">
        <v>150</v>
      </c>
      <c r="H90" s="223">
        <v>5</v>
      </c>
      <c r="I90" s="226">
        <f>H90/G90*100%</f>
        <v>3.3333333333333333E-2</v>
      </c>
    </row>
    <row r="91" spans="3:9" x14ac:dyDescent="0.35">
      <c r="C91" s="18">
        <v>90</v>
      </c>
      <c r="D91" s="18" t="s">
        <v>350</v>
      </c>
      <c r="E91" s="18" t="s">
        <v>184</v>
      </c>
      <c r="F91" s="223">
        <v>6</v>
      </c>
      <c r="G91" s="178">
        <v>190</v>
      </c>
      <c r="H91" s="178">
        <v>60</v>
      </c>
      <c r="I91" s="225">
        <f>H91/G91*100%</f>
        <v>0.31578947368421051</v>
      </c>
    </row>
    <row r="92" spans="3:9" x14ac:dyDescent="0.35">
      <c r="C92" s="18">
        <v>91</v>
      </c>
      <c r="D92" s="18"/>
      <c r="E92" s="18" t="s">
        <v>185</v>
      </c>
      <c r="F92" s="223">
        <v>7</v>
      </c>
      <c r="G92" s="178">
        <v>190</v>
      </c>
      <c r="H92" s="178">
        <v>75</v>
      </c>
      <c r="I92" s="225">
        <f>H92/G92*100%</f>
        <v>0.39473684210526316</v>
      </c>
    </row>
    <row r="93" spans="3:9" x14ac:dyDescent="0.35">
      <c r="C93" s="18">
        <v>92</v>
      </c>
      <c r="D93" s="18" t="s">
        <v>351</v>
      </c>
      <c r="E93" s="222" t="s">
        <v>898</v>
      </c>
      <c r="F93" s="223">
        <v>2</v>
      </c>
      <c r="G93" s="223">
        <v>50</v>
      </c>
      <c r="H93" s="223">
        <v>8</v>
      </c>
      <c r="I93" s="226">
        <f>H93/G93*100%</f>
        <v>0.16</v>
      </c>
    </row>
    <row r="94" spans="3:9" x14ac:dyDescent="0.35">
      <c r="C94" s="18">
        <v>93</v>
      </c>
      <c r="D94" s="18" t="s">
        <v>355</v>
      </c>
      <c r="E94" s="18" t="s">
        <v>884</v>
      </c>
      <c r="F94" s="223">
        <v>5</v>
      </c>
      <c r="G94" s="178">
        <v>150</v>
      </c>
      <c r="H94" s="178">
        <v>38</v>
      </c>
      <c r="I94" s="225">
        <f>H94/G94*100%</f>
        <v>0.25333333333333335</v>
      </c>
    </row>
    <row r="95" spans="3:9" x14ac:dyDescent="0.35">
      <c r="C95" s="18">
        <v>94</v>
      </c>
      <c r="D95" s="18"/>
      <c r="E95" s="18" t="s">
        <v>883</v>
      </c>
      <c r="F95" s="223">
        <v>7</v>
      </c>
      <c r="G95" s="178">
        <v>190</v>
      </c>
      <c r="H95" s="178">
        <v>104</v>
      </c>
      <c r="I95" s="225">
        <f t="shared" ref="I95:I96" si="13">H95/G95*100%</f>
        <v>0.54736842105263162</v>
      </c>
    </row>
    <row r="96" spans="3:9" x14ac:dyDescent="0.35">
      <c r="C96" s="18">
        <v>95</v>
      </c>
      <c r="D96" s="18"/>
      <c r="E96" s="18" t="s">
        <v>886</v>
      </c>
      <c r="F96" s="223">
        <v>4</v>
      </c>
      <c r="G96" s="178">
        <v>150</v>
      </c>
      <c r="H96" s="178">
        <v>14</v>
      </c>
      <c r="I96" s="225">
        <f t="shared" si="13"/>
        <v>9.3333333333333338E-2</v>
      </c>
    </row>
    <row r="97" spans="3:9" x14ac:dyDescent="0.35">
      <c r="C97" s="18">
        <v>96</v>
      </c>
      <c r="D97" s="18" t="s">
        <v>353</v>
      </c>
      <c r="E97" s="18" t="s">
        <v>477</v>
      </c>
      <c r="F97" s="223">
        <v>5</v>
      </c>
      <c r="G97" s="178">
        <v>150</v>
      </c>
      <c r="H97" s="178">
        <v>130</v>
      </c>
      <c r="I97" s="225">
        <f>H97/G97*100%</f>
        <v>0.8666666666666667</v>
      </c>
    </row>
    <row r="98" spans="3:9" x14ac:dyDescent="0.35">
      <c r="C98" s="18">
        <v>97</v>
      </c>
      <c r="D98" s="18"/>
      <c r="E98" s="18" t="s">
        <v>478</v>
      </c>
      <c r="F98" s="223">
        <v>7</v>
      </c>
      <c r="G98" s="178">
        <v>190</v>
      </c>
      <c r="H98" s="178">
        <v>151</v>
      </c>
      <c r="I98" s="225">
        <f t="shared" ref="I98:I101" si="14">H98/G98*100%</f>
        <v>0.79473684210526319</v>
      </c>
    </row>
    <row r="99" spans="3:9" x14ac:dyDescent="0.35">
      <c r="C99" s="18">
        <v>98</v>
      </c>
      <c r="D99" s="18"/>
      <c r="E99" s="18" t="s">
        <v>479</v>
      </c>
      <c r="F99" s="223">
        <v>5</v>
      </c>
      <c r="G99" s="178">
        <v>150</v>
      </c>
      <c r="H99" s="178">
        <v>69</v>
      </c>
      <c r="I99" s="225">
        <f t="shared" si="14"/>
        <v>0.46</v>
      </c>
    </row>
    <row r="100" spans="3:9" x14ac:dyDescent="0.35">
      <c r="C100" s="18">
        <v>99</v>
      </c>
      <c r="D100" s="18"/>
      <c r="E100" s="18" t="s">
        <v>923</v>
      </c>
      <c r="F100" s="223">
        <v>2</v>
      </c>
      <c r="G100" s="178">
        <v>150</v>
      </c>
      <c r="H100" s="178">
        <v>39</v>
      </c>
      <c r="I100" s="225">
        <f t="shared" si="14"/>
        <v>0.26</v>
      </c>
    </row>
    <row r="101" spans="3:9" x14ac:dyDescent="0.35">
      <c r="C101" s="18">
        <v>100</v>
      </c>
      <c r="D101" s="18" t="s">
        <v>354</v>
      </c>
      <c r="E101" s="222" t="s">
        <v>924</v>
      </c>
      <c r="F101" s="223">
        <v>4</v>
      </c>
      <c r="G101" s="223">
        <v>150</v>
      </c>
      <c r="H101" s="223">
        <v>60</v>
      </c>
      <c r="I101" s="226">
        <f t="shared" si="14"/>
        <v>0.4</v>
      </c>
    </row>
    <row r="102" spans="3:9" x14ac:dyDescent="0.35">
      <c r="C102" s="18">
        <v>101</v>
      </c>
      <c r="D102" s="18" t="s">
        <v>356</v>
      </c>
      <c r="E102" s="18" t="s">
        <v>129</v>
      </c>
      <c r="F102" s="223">
        <v>7</v>
      </c>
      <c r="G102" s="178">
        <v>190</v>
      </c>
      <c r="H102" s="178">
        <v>133</v>
      </c>
      <c r="I102" s="225">
        <f>H102/G102*100%</f>
        <v>0.7</v>
      </c>
    </row>
    <row r="103" spans="3:9" x14ac:dyDescent="0.35">
      <c r="C103" s="18">
        <v>102</v>
      </c>
      <c r="D103" s="18"/>
      <c r="E103" s="18" t="s">
        <v>130</v>
      </c>
      <c r="F103" s="223">
        <v>5</v>
      </c>
      <c r="G103" s="178">
        <v>150</v>
      </c>
      <c r="H103" s="178">
        <v>103</v>
      </c>
      <c r="I103" s="225">
        <f>H103/G103*100%</f>
        <v>0.68666666666666665</v>
      </c>
    </row>
    <row r="104" spans="3:9" x14ac:dyDescent="0.35">
      <c r="C104" s="18">
        <v>103</v>
      </c>
      <c r="D104" s="18" t="s">
        <v>358</v>
      </c>
      <c r="E104" s="18" t="s">
        <v>203</v>
      </c>
      <c r="F104" s="223">
        <v>5</v>
      </c>
      <c r="G104" s="178">
        <v>150</v>
      </c>
      <c r="H104" s="178">
        <v>101</v>
      </c>
      <c r="I104" s="225">
        <f>H104/G104*100%</f>
        <v>0.67333333333333334</v>
      </c>
    </row>
    <row r="105" spans="3:9" x14ac:dyDescent="0.35">
      <c r="C105" s="18">
        <v>104</v>
      </c>
      <c r="D105" s="18"/>
      <c r="E105" s="18" t="s">
        <v>204</v>
      </c>
      <c r="F105" s="223">
        <v>5</v>
      </c>
      <c r="G105" s="178">
        <v>150</v>
      </c>
      <c r="H105" s="178">
        <v>121</v>
      </c>
      <c r="I105" s="225">
        <f t="shared" ref="I105:I107" si="15">H105/G105*100%</f>
        <v>0.80666666666666664</v>
      </c>
    </row>
    <row r="106" spans="3:9" x14ac:dyDescent="0.35">
      <c r="C106" s="18">
        <v>105</v>
      </c>
      <c r="D106" s="18"/>
      <c r="E106" s="18" t="s">
        <v>205</v>
      </c>
      <c r="F106" s="223">
        <v>5</v>
      </c>
      <c r="G106" s="178">
        <v>150</v>
      </c>
      <c r="H106" s="178">
        <v>117</v>
      </c>
      <c r="I106" s="225">
        <f t="shared" si="15"/>
        <v>0.78</v>
      </c>
    </row>
    <row r="107" spans="3:9" x14ac:dyDescent="0.35">
      <c r="C107" s="18">
        <v>106</v>
      </c>
      <c r="D107" s="18"/>
      <c r="E107" s="18" t="s">
        <v>206</v>
      </c>
      <c r="F107" s="223">
        <v>5</v>
      </c>
      <c r="G107" s="178">
        <v>150</v>
      </c>
      <c r="H107" s="178">
        <v>152</v>
      </c>
      <c r="I107" s="225">
        <f t="shared" si="15"/>
        <v>1.0133333333333334</v>
      </c>
    </row>
    <row r="108" spans="3:9" x14ac:dyDescent="0.35">
      <c r="C108" s="18">
        <v>107</v>
      </c>
      <c r="D108" s="18" t="s">
        <v>357</v>
      </c>
      <c r="E108" s="18" t="s">
        <v>397</v>
      </c>
      <c r="F108" s="223">
        <v>4</v>
      </c>
      <c r="G108" s="178">
        <v>150</v>
      </c>
      <c r="H108" s="178">
        <v>125</v>
      </c>
      <c r="I108" s="225">
        <f>H108/G108*100%</f>
        <v>0.83333333333333337</v>
      </c>
    </row>
    <row r="109" spans="3:9" x14ac:dyDescent="0.35">
      <c r="C109" s="18">
        <v>108</v>
      </c>
      <c r="D109" s="18"/>
      <c r="E109" s="18" t="s">
        <v>398</v>
      </c>
      <c r="F109" s="223">
        <v>4</v>
      </c>
      <c r="G109" s="178">
        <v>150</v>
      </c>
      <c r="H109" s="178">
        <v>72</v>
      </c>
      <c r="I109" s="225">
        <f t="shared" ref="I109:I110" si="16">H109/G109*100%</f>
        <v>0.48</v>
      </c>
    </row>
    <row r="110" spans="3:9" x14ac:dyDescent="0.35">
      <c r="C110" s="18">
        <v>109</v>
      </c>
      <c r="D110" s="18"/>
      <c r="E110" s="18" t="s">
        <v>399</v>
      </c>
      <c r="F110" s="223">
        <v>4</v>
      </c>
      <c r="G110" s="178">
        <v>150</v>
      </c>
      <c r="H110" s="178">
        <v>73</v>
      </c>
      <c r="I110" s="225">
        <f t="shared" si="16"/>
        <v>0.48666666666666669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AB51-BEA4-4A34-BBF1-896F7B60AABF}">
  <dimension ref="A1:K6"/>
  <sheetViews>
    <sheetView workbookViewId="0">
      <selection activeCell="E12" sqref="E12"/>
    </sheetView>
  </sheetViews>
  <sheetFormatPr defaultRowHeight="14.5" x14ac:dyDescent="0.35"/>
  <cols>
    <col min="1" max="1" width="4.36328125" customWidth="1"/>
    <col min="2" max="2" width="25.81640625" customWidth="1"/>
    <col min="3" max="3" width="13.54296875" style="215" customWidth="1"/>
    <col min="4" max="4" width="16.1796875" customWidth="1"/>
    <col min="6" max="6" width="5.1796875" customWidth="1"/>
    <col min="7" max="7" width="28.08984375" customWidth="1"/>
    <col min="8" max="8" width="15.36328125" customWidth="1"/>
  </cols>
  <sheetData>
    <row r="1" spans="1:11" x14ac:dyDescent="0.35">
      <c r="A1" s="177"/>
      <c r="B1" s="148" t="s">
        <v>567</v>
      </c>
      <c r="D1" s="177"/>
      <c r="F1" s="177"/>
      <c r="G1" s="148" t="s">
        <v>571</v>
      </c>
      <c r="H1" s="181"/>
      <c r="I1" s="177"/>
      <c r="J1" s="177"/>
      <c r="K1" s="177"/>
    </row>
    <row r="2" spans="1:11" x14ac:dyDescent="0.35">
      <c r="A2" s="1" t="s">
        <v>0</v>
      </c>
      <c r="B2" s="1" t="s">
        <v>568</v>
      </c>
      <c r="C2" s="1" t="s">
        <v>569</v>
      </c>
      <c r="D2" s="1" t="s">
        <v>570</v>
      </c>
      <c r="F2" s="1" t="s">
        <v>0</v>
      </c>
      <c r="G2" s="1" t="s">
        <v>572</v>
      </c>
      <c r="H2" s="1" t="s">
        <v>1</v>
      </c>
      <c r="I2" s="1" t="s">
        <v>4</v>
      </c>
      <c r="J2" s="1" t="s">
        <v>5</v>
      </c>
      <c r="K2" s="1" t="s">
        <v>6</v>
      </c>
    </row>
    <row r="3" spans="1:11" x14ac:dyDescent="0.35">
      <c r="A3" s="18">
        <v>1</v>
      </c>
      <c r="B3" s="18" t="s">
        <v>547</v>
      </c>
      <c r="C3" s="178">
        <v>82</v>
      </c>
      <c r="D3" s="18" t="s">
        <v>926</v>
      </c>
      <c r="F3" s="18">
        <v>1</v>
      </c>
      <c r="G3" s="18" t="s">
        <v>563</v>
      </c>
      <c r="H3" s="18" t="s">
        <v>926</v>
      </c>
      <c r="I3" s="178">
        <v>190</v>
      </c>
      <c r="J3" s="178">
        <v>216</v>
      </c>
      <c r="K3" s="225">
        <f t="shared" ref="K3" si="0">J3/I3*100%</f>
        <v>1.1368421052631579</v>
      </c>
    </row>
    <row r="4" spans="1:11" x14ac:dyDescent="0.35">
      <c r="A4" s="18">
        <v>2</v>
      </c>
      <c r="B4" s="18" t="s">
        <v>928</v>
      </c>
      <c r="C4" s="178">
        <v>76</v>
      </c>
      <c r="D4" s="18" t="s">
        <v>929</v>
      </c>
      <c r="F4" s="18">
        <v>2</v>
      </c>
      <c r="G4" s="18" t="s">
        <v>925</v>
      </c>
      <c r="H4" s="18" t="s">
        <v>927</v>
      </c>
      <c r="I4" s="178">
        <v>150</v>
      </c>
      <c r="J4" s="178">
        <v>169</v>
      </c>
      <c r="K4" s="225">
        <f>J4/I4*100%</f>
        <v>1.1266666666666667</v>
      </c>
    </row>
    <row r="5" spans="1:11" x14ac:dyDescent="0.35">
      <c r="A5" s="18">
        <v>3</v>
      </c>
      <c r="B5" s="18" t="s">
        <v>551</v>
      </c>
      <c r="C5" s="178">
        <v>69</v>
      </c>
      <c r="D5" s="18" t="s">
        <v>926</v>
      </c>
      <c r="F5" s="18">
        <v>3</v>
      </c>
      <c r="G5" s="18" t="s">
        <v>564</v>
      </c>
      <c r="H5" s="18" t="s">
        <v>926</v>
      </c>
      <c r="I5" s="178">
        <v>190</v>
      </c>
      <c r="J5" s="178">
        <v>203</v>
      </c>
      <c r="K5" s="225">
        <f t="shared" ref="K5" si="1">J5/I5*100%</f>
        <v>1.0684210526315789</v>
      </c>
    </row>
    <row r="6" spans="1:11" x14ac:dyDescent="0.35">
      <c r="A6" s="180"/>
      <c r="B6" s="180"/>
      <c r="C6" s="191"/>
      <c r="D6" s="180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DBD3-EB97-492C-B363-4B9210B8456D}">
  <dimension ref="A1:M30"/>
  <sheetViews>
    <sheetView workbookViewId="0">
      <selection activeCell="C4" sqref="C4:G4"/>
    </sheetView>
  </sheetViews>
  <sheetFormatPr defaultRowHeight="14.5" x14ac:dyDescent="0.35"/>
  <cols>
    <col min="1" max="1" width="4.81640625" customWidth="1"/>
    <col min="2" max="2" width="33.1796875" customWidth="1"/>
    <col min="7" max="7" width="8.7265625" style="16"/>
    <col min="9" max="9" width="5.6328125" customWidth="1"/>
    <col min="10" max="10" width="23" customWidth="1"/>
  </cols>
  <sheetData>
    <row r="1" spans="1:13" x14ac:dyDescent="0.35">
      <c r="B1" s="5" t="s">
        <v>131</v>
      </c>
    </row>
    <row r="2" spans="1:13" x14ac:dyDescent="0.35">
      <c r="B2" s="5" t="s">
        <v>132</v>
      </c>
    </row>
    <row r="3" spans="1:13" x14ac:dyDescent="0.35">
      <c r="B3" s="5" t="s">
        <v>133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18">
        <v>1</v>
      </c>
      <c r="J5" s="18" t="s">
        <v>160</v>
      </c>
      <c r="K5" s="18">
        <v>190</v>
      </c>
      <c r="L5" s="18">
        <v>145</v>
      </c>
      <c r="M5" s="29">
        <f>L5/K5*100%</f>
        <v>0.76315789473684215</v>
      </c>
    </row>
    <row r="6" spans="1:13" x14ac:dyDescent="0.35">
      <c r="A6" s="78"/>
      <c r="B6" s="79"/>
      <c r="C6" s="81"/>
      <c r="D6" s="81"/>
      <c r="E6" s="81"/>
      <c r="F6" s="81"/>
      <c r="G6" s="83"/>
      <c r="I6" s="18">
        <v>2</v>
      </c>
      <c r="J6" s="18" t="s">
        <v>161</v>
      </c>
      <c r="K6" s="18">
        <v>190</v>
      </c>
      <c r="L6" s="18">
        <v>108</v>
      </c>
      <c r="M6" s="29">
        <f t="shared" ref="M6:M8" si="0">L6/K6*100%</f>
        <v>0.56842105263157894</v>
      </c>
    </row>
    <row r="7" spans="1:13" x14ac:dyDescent="0.35">
      <c r="A7" s="7">
        <v>1</v>
      </c>
      <c r="B7" s="37" t="s">
        <v>134</v>
      </c>
      <c r="C7" s="38" t="s">
        <v>16</v>
      </c>
      <c r="D7" s="39">
        <v>35</v>
      </c>
      <c r="E7" s="46">
        <v>3</v>
      </c>
      <c r="F7" s="7">
        <f>E7-D7</f>
        <v>-32</v>
      </c>
      <c r="G7" s="21">
        <f>E7/D7*100%</f>
        <v>8.5714285714285715E-2</v>
      </c>
      <c r="I7" s="18">
        <v>3</v>
      </c>
      <c r="J7" s="18" t="s">
        <v>162</v>
      </c>
      <c r="K7" s="18">
        <v>150</v>
      </c>
      <c r="L7" s="18">
        <v>114</v>
      </c>
      <c r="M7" s="29">
        <f t="shared" si="0"/>
        <v>0.76</v>
      </c>
    </row>
    <row r="8" spans="1:13" x14ac:dyDescent="0.35">
      <c r="A8" s="7">
        <v>2</v>
      </c>
      <c r="B8" s="37" t="s">
        <v>135</v>
      </c>
      <c r="C8" s="38" t="s">
        <v>18</v>
      </c>
      <c r="D8" s="39">
        <v>25</v>
      </c>
      <c r="E8" s="46">
        <v>21</v>
      </c>
      <c r="F8" s="7">
        <f t="shared" ref="F8:F30" si="1">E8-D8</f>
        <v>-4</v>
      </c>
      <c r="G8" s="21">
        <f t="shared" ref="G8:G30" si="2">E8/D8*100%</f>
        <v>0.84</v>
      </c>
      <c r="I8" s="18">
        <v>4</v>
      </c>
      <c r="J8" s="18" t="s">
        <v>163</v>
      </c>
      <c r="K8" s="18">
        <v>25</v>
      </c>
      <c r="L8" s="18">
        <v>3</v>
      </c>
      <c r="M8" s="29">
        <f t="shared" si="0"/>
        <v>0.12</v>
      </c>
    </row>
    <row r="9" spans="1:13" x14ac:dyDescent="0.35">
      <c r="A9" s="7">
        <v>3</v>
      </c>
      <c r="B9" s="37" t="s">
        <v>136</v>
      </c>
      <c r="C9" s="38" t="s">
        <v>18</v>
      </c>
      <c r="D9" s="39">
        <v>25</v>
      </c>
      <c r="E9" s="46">
        <v>25</v>
      </c>
      <c r="F9" s="7">
        <f t="shared" si="1"/>
        <v>0</v>
      </c>
      <c r="G9" s="21">
        <f t="shared" si="2"/>
        <v>1</v>
      </c>
    </row>
    <row r="10" spans="1:13" x14ac:dyDescent="0.35">
      <c r="A10" s="7">
        <v>4</v>
      </c>
      <c r="B10" s="37" t="s">
        <v>137</v>
      </c>
      <c r="C10" s="38" t="s">
        <v>18</v>
      </c>
      <c r="D10" s="39">
        <v>25</v>
      </c>
      <c r="E10" s="46">
        <v>14</v>
      </c>
      <c r="F10" s="7">
        <f t="shared" si="1"/>
        <v>-11</v>
      </c>
      <c r="G10" s="21">
        <f t="shared" si="2"/>
        <v>0.56000000000000005</v>
      </c>
    </row>
    <row r="11" spans="1:13" x14ac:dyDescent="0.35">
      <c r="A11" s="7">
        <v>5</v>
      </c>
      <c r="B11" s="37" t="s">
        <v>138</v>
      </c>
      <c r="C11" s="38" t="s">
        <v>18</v>
      </c>
      <c r="D11" s="39">
        <v>25</v>
      </c>
      <c r="E11" s="46">
        <v>26</v>
      </c>
      <c r="F11" s="7">
        <f t="shared" si="1"/>
        <v>1</v>
      </c>
      <c r="G11" s="21">
        <f t="shared" si="2"/>
        <v>1.04</v>
      </c>
    </row>
    <row r="12" spans="1:13" x14ac:dyDescent="0.35">
      <c r="A12" s="7">
        <v>6</v>
      </c>
      <c r="B12" s="37" t="s">
        <v>139</v>
      </c>
      <c r="C12" s="38" t="s">
        <v>18</v>
      </c>
      <c r="D12" s="39">
        <v>25</v>
      </c>
      <c r="E12" s="46">
        <v>9</v>
      </c>
      <c r="F12" s="7">
        <f t="shared" si="1"/>
        <v>-16</v>
      </c>
      <c r="G12" s="21">
        <f t="shared" si="2"/>
        <v>0.36</v>
      </c>
    </row>
    <row r="13" spans="1:13" x14ac:dyDescent="0.35">
      <c r="A13" s="7">
        <v>7</v>
      </c>
      <c r="B13" s="37" t="s">
        <v>140</v>
      </c>
      <c r="C13" s="38" t="s">
        <v>18</v>
      </c>
      <c r="D13" s="39">
        <v>25</v>
      </c>
      <c r="E13" s="46">
        <v>29</v>
      </c>
      <c r="F13" s="7">
        <f t="shared" si="1"/>
        <v>4</v>
      </c>
      <c r="G13" s="21">
        <f t="shared" si="2"/>
        <v>1.1599999999999999</v>
      </c>
    </row>
    <row r="14" spans="1:13" x14ac:dyDescent="0.35">
      <c r="A14" s="7">
        <v>8</v>
      </c>
      <c r="B14" s="37" t="s">
        <v>141</v>
      </c>
      <c r="C14" s="38" t="s">
        <v>18</v>
      </c>
      <c r="D14" s="39">
        <v>25</v>
      </c>
      <c r="E14" s="46">
        <v>18</v>
      </c>
      <c r="F14" s="7">
        <f t="shared" si="1"/>
        <v>-7</v>
      </c>
      <c r="G14" s="21">
        <f t="shared" si="2"/>
        <v>0.72</v>
      </c>
    </row>
    <row r="15" spans="1:13" x14ac:dyDescent="0.35">
      <c r="A15" s="7">
        <v>9</v>
      </c>
      <c r="B15" s="40" t="s">
        <v>142</v>
      </c>
      <c r="C15" s="41" t="s">
        <v>16</v>
      </c>
      <c r="D15" s="42">
        <v>35</v>
      </c>
      <c r="E15" s="47">
        <v>11</v>
      </c>
      <c r="F15" s="7">
        <f t="shared" si="1"/>
        <v>-24</v>
      </c>
      <c r="G15" s="21">
        <f t="shared" si="2"/>
        <v>0.31428571428571428</v>
      </c>
    </row>
    <row r="16" spans="1:13" x14ac:dyDescent="0.35">
      <c r="A16" s="7">
        <v>10</v>
      </c>
      <c r="B16" s="40" t="s">
        <v>143</v>
      </c>
      <c r="C16" s="41" t="s">
        <v>18</v>
      </c>
      <c r="D16" s="42">
        <v>25</v>
      </c>
      <c r="E16" s="47">
        <v>24</v>
      </c>
      <c r="F16" s="7">
        <f t="shared" si="1"/>
        <v>-1</v>
      </c>
      <c r="G16" s="21">
        <f t="shared" si="2"/>
        <v>0.96</v>
      </c>
    </row>
    <row r="17" spans="1:7" x14ac:dyDescent="0.35">
      <c r="A17" s="7">
        <v>11</v>
      </c>
      <c r="B17" s="40" t="s">
        <v>144</v>
      </c>
      <c r="C17" s="41" t="s">
        <v>18</v>
      </c>
      <c r="D17" s="42">
        <v>25</v>
      </c>
      <c r="E17" s="47">
        <v>15</v>
      </c>
      <c r="F17" s="7">
        <f t="shared" si="1"/>
        <v>-10</v>
      </c>
      <c r="G17" s="21">
        <f t="shared" si="2"/>
        <v>0.6</v>
      </c>
    </row>
    <row r="18" spans="1:7" x14ac:dyDescent="0.35">
      <c r="A18" s="7">
        <v>12</v>
      </c>
      <c r="B18" s="40" t="s">
        <v>145</v>
      </c>
      <c r="C18" s="41" t="s">
        <v>18</v>
      </c>
      <c r="D18" s="42">
        <v>25</v>
      </c>
      <c r="E18" s="47">
        <v>14</v>
      </c>
      <c r="F18" s="7">
        <f t="shared" si="1"/>
        <v>-11</v>
      </c>
      <c r="G18" s="21">
        <f t="shared" si="2"/>
        <v>0.56000000000000005</v>
      </c>
    </row>
    <row r="19" spans="1:7" x14ac:dyDescent="0.35">
      <c r="A19" s="7">
        <v>13</v>
      </c>
      <c r="B19" s="40" t="s">
        <v>146</v>
      </c>
      <c r="C19" s="41" t="s">
        <v>18</v>
      </c>
      <c r="D19" s="42">
        <v>25</v>
      </c>
      <c r="E19" s="47">
        <v>12</v>
      </c>
      <c r="F19" s="7">
        <f t="shared" si="1"/>
        <v>-13</v>
      </c>
      <c r="G19" s="21">
        <f t="shared" si="2"/>
        <v>0.48</v>
      </c>
    </row>
    <row r="20" spans="1:7" x14ac:dyDescent="0.35">
      <c r="A20" s="7">
        <v>14</v>
      </c>
      <c r="B20" s="40" t="s">
        <v>147</v>
      </c>
      <c r="C20" s="41" t="s">
        <v>18</v>
      </c>
      <c r="D20" s="42">
        <v>25</v>
      </c>
      <c r="E20" s="47">
        <v>11</v>
      </c>
      <c r="F20" s="7">
        <f t="shared" si="1"/>
        <v>-14</v>
      </c>
      <c r="G20" s="21">
        <f t="shared" si="2"/>
        <v>0.44</v>
      </c>
    </row>
    <row r="21" spans="1:7" x14ac:dyDescent="0.35">
      <c r="A21" s="7">
        <v>15</v>
      </c>
      <c r="B21" s="40" t="s">
        <v>148</v>
      </c>
      <c r="C21" s="41" t="s">
        <v>18</v>
      </c>
      <c r="D21" s="42">
        <v>25</v>
      </c>
      <c r="E21" s="47">
        <v>5</v>
      </c>
      <c r="F21" s="7">
        <f t="shared" si="1"/>
        <v>-20</v>
      </c>
      <c r="G21" s="21">
        <f t="shared" si="2"/>
        <v>0.2</v>
      </c>
    </row>
    <row r="22" spans="1:7" x14ac:dyDescent="0.35">
      <c r="A22" s="7">
        <v>16</v>
      </c>
      <c r="B22" s="40" t="s">
        <v>149</v>
      </c>
      <c r="C22" s="41" t="s">
        <v>18</v>
      </c>
      <c r="D22" s="42">
        <v>25</v>
      </c>
      <c r="E22" s="47">
        <v>16</v>
      </c>
      <c r="F22" s="7">
        <f t="shared" si="1"/>
        <v>-9</v>
      </c>
      <c r="G22" s="21">
        <f t="shared" si="2"/>
        <v>0.64</v>
      </c>
    </row>
    <row r="23" spans="1:7" x14ac:dyDescent="0.35">
      <c r="A23" s="7">
        <v>17</v>
      </c>
      <c r="B23" s="43" t="s">
        <v>150</v>
      </c>
      <c r="C23" s="44" t="s">
        <v>151</v>
      </c>
      <c r="D23" s="45">
        <v>35</v>
      </c>
      <c r="E23" s="45">
        <v>0</v>
      </c>
      <c r="F23" s="7">
        <f t="shared" si="1"/>
        <v>-35</v>
      </c>
      <c r="G23" s="21">
        <f t="shared" si="2"/>
        <v>0</v>
      </c>
    </row>
    <row r="24" spans="1:7" x14ac:dyDescent="0.35">
      <c r="A24" s="7">
        <v>18</v>
      </c>
      <c r="B24" s="43" t="s">
        <v>152</v>
      </c>
      <c r="C24" s="44" t="s">
        <v>18</v>
      </c>
      <c r="D24" s="45">
        <v>25</v>
      </c>
      <c r="E24" s="45">
        <v>25</v>
      </c>
      <c r="F24" s="7">
        <f t="shared" si="1"/>
        <v>0</v>
      </c>
      <c r="G24" s="21">
        <f t="shared" si="2"/>
        <v>1</v>
      </c>
    </row>
    <row r="25" spans="1:7" x14ac:dyDescent="0.35">
      <c r="A25" s="7">
        <v>19</v>
      </c>
      <c r="B25" s="43" t="s">
        <v>153</v>
      </c>
      <c r="C25" s="44" t="s">
        <v>18</v>
      </c>
      <c r="D25" s="45">
        <v>25</v>
      </c>
      <c r="E25" s="45">
        <v>25</v>
      </c>
      <c r="F25" s="7">
        <f t="shared" si="1"/>
        <v>0</v>
      </c>
      <c r="G25" s="21">
        <f t="shared" si="2"/>
        <v>1</v>
      </c>
    </row>
    <row r="26" spans="1:7" x14ac:dyDescent="0.35">
      <c r="A26" s="7">
        <v>20</v>
      </c>
      <c r="B26" s="43" t="s">
        <v>154</v>
      </c>
      <c r="C26" s="44" t="s">
        <v>18</v>
      </c>
      <c r="D26" s="45">
        <v>25</v>
      </c>
      <c r="E26" s="45">
        <v>24</v>
      </c>
      <c r="F26" s="7">
        <f t="shared" si="1"/>
        <v>-1</v>
      </c>
      <c r="G26" s="21">
        <f t="shared" si="2"/>
        <v>0.96</v>
      </c>
    </row>
    <row r="27" spans="1:7" x14ac:dyDescent="0.35">
      <c r="A27" s="7">
        <v>21</v>
      </c>
      <c r="B27" s="43" t="s">
        <v>155</v>
      </c>
      <c r="C27" s="44" t="s">
        <v>18</v>
      </c>
      <c r="D27" s="45">
        <v>25</v>
      </c>
      <c r="E27" s="45">
        <v>26</v>
      </c>
      <c r="F27" s="7">
        <f t="shared" si="1"/>
        <v>1</v>
      </c>
      <c r="G27" s="21">
        <f t="shared" si="2"/>
        <v>1.04</v>
      </c>
    </row>
    <row r="28" spans="1:7" x14ac:dyDescent="0.35">
      <c r="A28" s="7">
        <v>22</v>
      </c>
      <c r="B28" s="43" t="s">
        <v>156</v>
      </c>
      <c r="C28" s="44" t="s">
        <v>157</v>
      </c>
      <c r="D28" s="45">
        <v>25</v>
      </c>
      <c r="E28" s="45">
        <v>14</v>
      </c>
      <c r="F28" s="7">
        <f t="shared" si="1"/>
        <v>-11</v>
      </c>
      <c r="G28" s="21">
        <f t="shared" si="2"/>
        <v>0.56000000000000005</v>
      </c>
    </row>
    <row r="29" spans="1:7" x14ac:dyDescent="0.35">
      <c r="A29" s="7">
        <v>23</v>
      </c>
      <c r="B29" s="48" t="s">
        <v>158</v>
      </c>
      <c r="C29" s="49" t="s">
        <v>159</v>
      </c>
      <c r="D29" s="50">
        <v>25</v>
      </c>
      <c r="E29" s="50">
        <v>3</v>
      </c>
      <c r="F29" s="7">
        <f t="shared" si="1"/>
        <v>-22</v>
      </c>
      <c r="G29" s="21">
        <f t="shared" si="2"/>
        <v>0.12</v>
      </c>
    </row>
    <row r="30" spans="1:7" x14ac:dyDescent="0.35">
      <c r="A30" s="7"/>
      <c r="B30" s="7" t="s">
        <v>47</v>
      </c>
      <c r="C30" s="7"/>
      <c r="D30" s="7">
        <v>555</v>
      </c>
      <c r="E30" s="7">
        <f>SUM(E7:E29)</f>
        <v>370</v>
      </c>
      <c r="F30" s="7">
        <f t="shared" si="1"/>
        <v>-185</v>
      </c>
      <c r="G30" s="21">
        <f t="shared" si="2"/>
        <v>0.66666666666666663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F5B1-6F11-488F-878B-7214370148D8}">
  <dimension ref="A1:M16"/>
  <sheetViews>
    <sheetView topLeftCell="A4" workbookViewId="0">
      <selection activeCell="C4" sqref="C4:G4"/>
    </sheetView>
  </sheetViews>
  <sheetFormatPr defaultRowHeight="14.5" x14ac:dyDescent="0.35"/>
  <cols>
    <col min="1" max="1" width="6.08984375" customWidth="1"/>
    <col min="2" max="2" width="34.36328125" customWidth="1"/>
    <col min="7" max="7" width="8.7265625" style="16"/>
    <col min="9" max="9" width="6" customWidth="1"/>
    <col min="10" max="10" width="22.54296875" customWidth="1"/>
  </cols>
  <sheetData>
    <row r="1" spans="1:13" x14ac:dyDescent="0.35">
      <c r="B1" s="5" t="s">
        <v>131</v>
      </c>
    </row>
    <row r="2" spans="1:13" x14ac:dyDescent="0.35">
      <c r="B2" s="5" t="s">
        <v>132</v>
      </c>
    </row>
    <row r="3" spans="1:13" x14ac:dyDescent="0.35">
      <c r="B3" s="5" t="s">
        <v>133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18">
        <v>1</v>
      </c>
      <c r="J5" s="18" t="s">
        <v>173</v>
      </c>
      <c r="K5" s="18">
        <v>190</v>
      </c>
      <c r="L5" s="18">
        <v>113</v>
      </c>
      <c r="M5" s="29">
        <f>L5/K5*100%</f>
        <v>0.59473684210526312</v>
      </c>
    </row>
    <row r="6" spans="1:13" x14ac:dyDescent="0.35">
      <c r="A6" s="78"/>
      <c r="B6" s="79"/>
      <c r="C6" s="81"/>
      <c r="D6" s="81"/>
      <c r="E6" s="81"/>
      <c r="F6" s="81"/>
      <c r="G6" s="83"/>
      <c r="I6" s="18">
        <v>2</v>
      </c>
      <c r="J6" s="18" t="s">
        <v>174</v>
      </c>
      <c r="K6" s="18">
        <v>25</v>
      </c>
      <c r="L6" s="18">
        <v>2</v>
      </c>
      <c r="M6" s="29">
        <f t="shared" ref="M6" si="0">L6/K6*100%</f>
        <v>0.08</v>
      </c>
    </row>
    <row r="7" spans="1:13" x14ac:dyDescent="0.35">
      <c r="A7" s="7">
        <v>1</v>
      </c>
      <c r="B7" s="51" t="s">
        <v>164</v>
      </c>
      <c r="C7" s="52" t="s">
        <v>16</v>
      </c>
      <c r="D7" s="53">
        <v>35</v>
      </c>
      <c r="E7" s="53">
        <v>0</v>
      </c>
      <c r="F7" s="7">
        <f>E7-D7</f>
        <v>-35</v>
      </c>
      <c r="G7" s="21">
        <f>E7/D7*100%</f>
        <v>0</v>
      </c>
    </row>
    <row r="8" spans="1:13" x14ac:dyDescent="0.35">
      <c r="A8" s="7">
        <v>2</v>
      </c>
      <c r="B8" s="51" t="s">
        <v>165</v>
      </c>
      <c r="C8" s="52" t="s">
        <v>18</v>
      </c>
      <c r="D8" s="53">
        <v>25</v>
      </c>
      <c r="E8" s="53">
        <v>27</v>
      </c>
      <c r="F8" s="7">
        <f t="shared" ref="F8:F16" si="1">E8-D8</f>
        <v>2</v>
      </c>
      <c r="G8" s="21">
        <f t="shared" ref="G8:G16" si="2">E8/D8*100%</f>
        <v>1.08</v>
      </c>
    </row>
    <row r="9" spans="1:13" x14ac:dyDescent="0.35">
      <c r="A9" s="7">
        <v>3</v>
      </c>
      <c r="B9" s="51" t="s">
        <v>166</v>
      </c>
      <c r="C9" s="52" t="s">
        <v>18</v>
      </c>
      <c r="D9" s="53">
        <v>25</v>
      </c>
      <c r="E9" s="53">
        <v>40</v>
      </c>
      <c r="F9" s="7">
        <f t="shared" si="1"/>
        <v>15</v>
      </c>
      <c r="G9" s="21">
        <f t="shared" si="2"/>
        <v>1.6</v>
      </c>
    </row>
    <row r="10" spans="1:13" x14ac:dyDescent="0.35">
      <c r="A10" s="7">
        <v>4</v>
      </c>
      <c r="B10" s="51" t="s">
        <v>167</v>
      </c>
      <c r="C10" s="52" t="s">
        <v>18</v>
      </c>
      <c r="D10" s="53">
        <v>25</v>
      </c>
      <c r="E10" s="53">
        <v>18</v>
      </c>
      <c r="F10" s="7">
        <f t="shared" si="1"/>
        <v>-7</v>
      </c>
      <c r="G10" s="21">
        <f t="shared" si="2"/>
        <v>0.72</v>
      </c>
    </row>
    <row r="11" spans="1:13" x14ac:dyDescent="0.35">
      <c r="A11" s="7">
        <v>5</v>
      </c>
      <c r="B11" s="51" t="s">
        <v>168</v>
      </c>
      <c r="C11" s="52" t="s">
        <v>18</v>
      </c>
      <c r="D11" s="53">
        <v>25</v>
      </c>
      <c r="E11" s="53">
        <v>5</v>
      </c>
      <c r="F11" s="7">
        <f t="shared" si="1"/>
        <v>-20</v>
      </c>
      <c r="G11" s="21">
        <f t="shared" si="2"/>
        <v>0.2</v>
      </c>
    </row>
    <row r="12" spans="1:13" x14ac:dyDescent="0.35">
      <c r="A12" s="7">
        <v>6</v>
      </c>
      <c r="B12" s="51" t="s">
        <v>169</v>
      </c>
      <c r="C12" s="52" t="s">
        <v>18</v>
      </c>
      <c r="D12" s="53">
        <v>25</v>
      </c>
      <c r="E12" s="53">
        <v>3</v>
      </c>
      <c r="F12" s="7">
        <f t="shared" si="1"/>
        <v>-22</v>
      </c>
      <c r="G12" s="21">
        <f t="shared" si="2"/>
        <v>0.12</v>
      </c>
    </row>
    <row r="13" spans="1:13" x14ac:dyDescent="0.35">
      <c r="A13" s="7">
        <v>7</v>
      </c>
      <c r="B13" s="51" t="s">
        <v>170</v>
      </c>
      <c r="C13" s="52" t="s">
        <v>18</v>
      </c>
      <c r="D13" s="53">
        <v>25</v>
      </c>
      <c r="E13" s="53">
        <v>17</v>
      </c>
      <c r="F13" s="7">
        <f t="shared" si="1"/>
        <v>-8</v>
      </c>
      <c r="G13" s="21">
        <f t="shared" si="2"/>
        <v>0.68</v>
      </c>
    </row>
    <row r="14" spans="1:13" x14ac:dyDescent="0.35">
      <c r="A14" s="7">
        <v>8</v>
      </c>
      <c r="B14" s="51" t="s">
        <v>171</v>
      </c>
      <c r="C14" s="52" t="s">
        <v>18</v>
      </c>
      <c r="D14" s="53">
        <v>25</v>
      </c>
      <c r="E14" s="53">
        <v>3</v>
      </c>
      <c r="F14" s="7">
        <f t="shared" si="1"/>
        <v>-22</v>
      </c>
      <c r="G14" s="21">
        <f t="shared" si="2"/>
        <v>0.12</v>
      </c>
    </row>
    <row r="15" spans="1:13" ht="15.5" x14ac:dyDescent="0.35">
      <c r="A15" s="7">
        <v>9</v>
      </c>
      <c r="B15" s="54" t="s">
        <v>172</v>
      </c>
      <c r="C15" s="56" t="s">
        <v>159</v>
      </c>
      <c r="D15" s="57">
        <v>25</v>
      </c>
      <c r="E15" s="57">
        <v>2</v>
      </c>
      <c r="F15" s="7">
        <f t="shared" si="1"/>
        <v>-23</v>
      </c>
      <c r="G15" s="21">
        <f t="shared" si="2"/>
        <v>0.08</v>
      </c>
    </row>
    <row r="16" spans="1:13" x14ac:dyDescent="0.35">
      <c r="A16" s="7"/>
      <c r="B16" s="55" t="s">
        <v>47</v>
      </c>
      <c r="C16" s="7"/>
      <c r="D16" s="7">
        <v>215</v>
      </c>
      <c r="E16" s="7">
        <f>SUM(E7:E15)</f>
        <v>115</v>
      </c>
      <c r="F16" s="7">
        <f t="shared" si="1"/>
        <v>-100</v>
      </c>
      <c r="G16" s="21">
        <f t="shared" si="2"/>
        <v>0.53488372093023251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3E7C-BDEB-4499-A561-91DC99B9976C}">
  <dimension ref="A1:G15"/>
  <sheetViews>
    <sheetView topLeftCell="A4" workbookViewId="0">
      <selection activeCell="C4" sqref="C4:G4"/>
    </sheetView>
  </sheetViews>
  <sheetFormatPr defaultRowHeight="14.5" x14ac:dyDescent="0.35"/>
  <cols>
    <col min="1" max="1" width="4.54296875" customWidth="1"/>
    <col min="2" max="2" width="28.81640625" customWidth="1"/>
    <col min="7" max="7" width="8.7265625" style="16"/>
  </cols>
  <sheetData>
    <row r="1" spans="1:7" x14ac:dyDescent="0.35">
      <c r="B1" s="5" t="s">
        <v>131</v>
      </c>
    </row>
    <row r="2" spans="1:7" x14ac:dyDescent="0.35">
      <c r="B2" s="5" t="s">
        <v>132</v>
      </c>
    </row>
    <row r="3" spans="1:7" x14ac:dyDescent="0.35">
      <c r="B3" s="5" t="s">
        <v>133</v>
      </c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</row>
    <row r="6" spans="1:7" x14ac:dyDescent="0.35">
      <c r="A6" s="78"/>
      <c r="B6" s="79"/>
      <c r="C6" s="81"/>
      <c r="D6" s="81"/>
      <c r="E6" s="81"/>
      <c r="F6" s="81"/>
      <c r="G6" s="83"/>
    </row>
    <row r="7" spans="1:7" x14ac:dyDescent="0.35">
      <c r="A7" s="7">
        <v>1</v>
      </c>
      <c r="B7" s="58" t="s">
        <v>175</v>
      </c>
      <c r="C7" s="59" t="s">
        <v>16</v>
      </c>
      <c r="D7" s="60">
        <v>35</v>
      </c>
      <c r="E7" s="60">
        <v>35</v>
      </c>
      <c r="F7" s="7">
        <f>E7-D7</f>
        <v>0</v>
      </c>
      <c r="G7" s="21">
        <f>E7/D7*100%</f>
        <v>1</v>
      </c>
    </row>
    <row r="8" spans="1:7" x14ac:dyDescent="0.35">
      <c r="A8" s="7">
        <v>2</v>
      </c>
      <c r="B8" s="61" t="s">
        <v>176</v>
      </c>
      <c r="C8" s="62" t="s">
        <v>18</v>
      </c>
      <c r="D8" s="62">
        <v>25</v>
      </c>
      <c r="E8" s="62">
        <v>35</v>
      </c>
      <c r="F8" s="7">
        <f t="shared" ref="F8:F15" si="0">E8-D8</f>
        <v>10</v>
      </c>
      <c r="G8" s="21">
        <f t="shared" ref="G8:G15" si="1">E8/D8*100%</f>
        <v>1.4</v>
      </c>
    </row>
    <row r="9" spans="1:7" x14ac:dyDescent="0.35">
      <c r="A9" s="7">
        <v>3</v>
      </c>
      <c r="B9" s="58" t="s">
        <v>177</v>
      </c>
      <c r="C9" s="59" t="s">
        <v>18</v>
      </c>
      <c r="D9" s="60">
        <v>25</v>
      </c>
      <c r="E9" s="60">
        <v>25</v>
      </c>
      <c r="F9" s="7">
        <f t="shared" si="0"/>
        <v>0</v>
      </c>
      <c r="G9" s="21">
        <f t="shared" si="1"/>
        <v>1</v>
      </c>
    </row>
    <row r="10" spans="1:7" x14ac:dyDescent="0.35">
      <c r="A10" s="7">
        <v>4</v>
      </c>
      <c r="B10" s="58" t="s">
        <v>178</v>
      </c>
      <c r="C10" s="59" t="s">
        <v>18</v>
      </c>
      <c r="D10" s="60">
        <v>25</v>
      </c>
      <c r="E10" s="60">
        <v>23</v>
      </c>
      <c r="F10" s="7">
        <f t="shared" si="0"/>
        <v>-2</v>
      </c>
      <c r="G10" s="21">
        <f t="shared" si="1"/>
        <v>0.92</v>
      </c>
    </row>
    <row r="11" spans="1:7" x14ac:dyDescent="0.35">
      <c r="A11" s="7">
        <v>5</v>
      </c>
      <c r="B11" s="58" t="s">
        <v>179</v>
      </c>
      <c r="C11" s="59" t="s">
        <v>18</v>
      </c>
      <c r="D11" s="60">
        <v>25</v>
      </c>
      <c r="E11" s="60">
        <v>41</v>
      </c>
      <c r="F11" s="7">
        <f t="shared" si="0"/>
        <v>16</v>
      </c>
      <c r="G11" s="21">
        <f t="shared" si="1"/>
        <v>1.64</v>
      </c>
    </row>
    <row r="12" spans="1:7" x14ac:dyDescent="0.35">
      <c r="A12" s="7">
        <v>6</v>
      </c>
      <c r="B12" s="58" t="s">
        <v>180</v>
      </c>
      <c r="C12" s="59" t="s">
        <v>18</v>
      </c>
      <c r="D12" s="60">
        <v>25</v>
      </c>
      <c r="E12" s="60">
        <v>9</v>
      </c>
      <c r="F12" s="7">
        <f t="shared" si="0"/>
        <v>-16</v>
      </c>
      <c r="G12" s="21">
        <f t="shared" si="1"/>
        <v>0.36</v>
      </c>
    </row>
    <row r="13" spans="1:7" x14ac:dyDescent="0.35">
      <c r="A13" s="7">
        <v>7</v>
      </c>
      <c r="B13" s="58" t="s">
        <v>181</v>
      </c>
      <c r="C13" s="59" t="s">
        <v>18</v>
      </c>
      <c r="D13" s="60">
        <v>25</v>
      </c>
      <c r="E13" s="60">
        <v>18</v>
      </c>
      <c r="F13" s="7">
        <f t="shared" si="0"/>
        <v>-7</v>
      </c>
      <c r="G13" s="21">
        <f t="shared" si="1"/>
        <v>0.72</v>
      </c>
    </row>
    <row r="14" spans="1:7" x14ac:dyDescent="0.35">
      <c r="A14" s="7">
        <v>8</v>
      </c>
      <c r="B14" s="58" t="s">
        <v>182</v>
      </c>
      <c r="C14" s="59" t="s">
        <v>18</v>
      </c>
      <c r="D14" s="60">
        <v>25</v>
      </c>
      <c r="E14" s="60">
        <v>9</v>
      </c>
      <c r="F14" s="7">
        <f t="shared" si="0"/>
        <v>-16</v>
      </c>
      <c r="G14" s="21">
        <f t="shared" si="1"/>
        <v>0.36</v>
      </c>
    </row>
    <row r="15" spans="1:7" x14ac:dyDescent="0.35">
      <c r="A15" s="7"/>
      <c r="B15" s="7" t="s">
        <v>47</v>
      </c>
      <c r="C15" s="7"/>
      <c r="D15" s="7">
        <v>190</v>
      </c>
      <c r="E15" s="7">
        <v>195</v>
      </c>
      <c r="F15" s="7">
        <f t="shared" si="0"/>
        <v>5</v>
      </c>
      <c r="G15" s="21">
        <f t="shared" si="1"/>
        <v>1.0263157894736843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18EF-775E-4960-8B85-D6D33EB6B561}">
  <dimension ref="A1:G14"/>
  <sheetViews>
    <sheetView topLeftCell="A4" workbookViewId="0">
      <selection activeCell="C5" sqref="C5:G5"/>
    </sheetView>
  </sheetViews>
  <sheetFormatPr defaultRowHeight="14.5" x14ac:dyDescent="0.35"/>
  <cols>
    <col min="1" max="1" width="3.6328125" customWidth="1"/>
    <col min="2" max="2" width="30.7265625" customWidth="1"/>
    <col min="7" max="7" width="8.7265625" style="16"/>
  </cols>
  <sheetData>
    <row r="1" spans="1:7" x14ac:dyDescent="0.35">
      <c r="A1" s="190"/>
      <c r="B1" s="5" t="s">
        <v>131</v>
      </c>
      <c r="C1" s="190"/>
      <c r="D1" s="190"/>
      <c r="E1" s="190"/>
      <c r="F1" s="190"/>
    </row>
    <row r="2" spans="1:7" x14ac:dyDescent="0.35">
      <c r="A2" s="190"/>
      <c r="B2" s="5" t="s">
        <v>132</v>
      </c>
      <c r="C2" s="190"/>
      <c r="D2" s="190"/>
      <c r="E2" s="190"/>
      <c r="F2" s="190"/>
    </row>
    <row r="3" spans="1:7" x14ac:dyDescent="0.35">
      <c r="A3" s="190"/>
      <c r="B3" s="5" t="s">
        <v>715</v>
      </c>
      <c r="C3" s="190"/>
      <c r="D3" s="190"/>
      <c r="E3" s="190"/>
      <c r="F3" s="190"/>
    </row>
    <row r="4" spans="1:7" x14ac:dyDescent="0.35">
      <c r="A4" s="190"/>
      <c r="B4" s="190" t="s">
        <v>740</v>
      </c>
      <c r="C4" s="190"/>
      <c r="D4" s="190"/>
      <c r="E4" s="190"/>
      <c r="F4" s="190"/>
    </row>
    <row r="5" spans="1:7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</row>
    <row r="6" spans="1:7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100" t="s">
        <v>6</v>
      </c>
    </row>
    <row r="7" spans="1:7" x14ac:dyDescent="0.35">
      <c r="A7" s="78"/>
      <c r="B7" s="79"/>
      <c r="C7" s="81"/>
      <c r="D7" s="81"/>
      <c r="E7" s="81"/>
      <c r="F7" s="81"/>
      <c r="G7" s="101"/>
    </row>
    <row r="8" spans="1:7" x14ac:dyDescent="0.35">
      <c r="A8" s="91">
        <v>1</v>
      </c>
      <c r="B8" s="200" t="s">
        <v>741</v>
      </c>
      <c r="C8" s="103" t="s">
        <v>16</v>
      </c>
      <c r="D8" s="103">
        <v>35</v>
      </c>
      <c r="E8" s="197">
        <v>0</v>
      </c>
      <c r="F8" s="91">
        <f>E8-D8</f>
        <v>-35</v>
      </c>
      <c r="G8" s="102">
        <f>E8/D8*100%</f>
        <v>0</v>
      </c>
    </row>
    <row r="9" spans="1:7" x14ac:dyDescent="0.35">
      <c r="A9" s="91">
        <v>2</v>
      </c>
      <c r="B9" s="200" t="s">
        <v>742</v>
      </c>
      <c r="C9" s="103" t="s">
        <v>18</v>
      </c>
      <c r="D9" s="103">
        <v>25</v>
      </c>
      <c r="E9" s="197">
        <v>6</v>
      </c>
      <c r="F9" s="91">
        <f t="shared" ref="F9:F14" si="0">E9-D9</f>
        <v>-19</v>
      </c>
      <c r="G9" s="102">
        <f t="shared" ref="G9:G14" si="1">E9/D9*100%</f>
        <v>0.24</v>
      </c>
    </row>
    <row r="10" spans="1:7" x14ac:dyDescent="0.35">
      <c r="A10" s="91">
        <v>3</v>
      </c>
      <c r="B10" s="200" t="s">
        <v>743</v>
      </c>
      <c r="C10" s="103" t="s">
        <v>18</v>
      </c>
      <c r="D10" s="103">
        <v>25</v>
      </c>
      <c r="E10" s="197">
        <v>10</v>
      </c>
      <c r="F10" s="91">
        <f t="shared" si="0"/>
        <v>-15</v>
      </c>
      <c r="G10" s="102">
        <f t="shared" si="1"/>
        <v>0.4</v>
      </c>
    </row>
    <row r="11" spans="1:7" x14ac:dyDescent="0.35">
      <c r="A11" s="91">
        <v>4</v>
      </c>
      <c r="B11" s="200" t="s">
        <v>744</v>
      </c>
      <c r="C11" s="103" t="s">
        <v>18</v>
      </c>
      <c r="D11" s="103">
        <v>25</v>
      </c>
      <c r="E11" s="197">
        <v>10</v>
      </c>
      <c r="F11" s="91">
        <f t="shared" si="0"/>
        <v>-15</v>
      </c>
      <c r="G11" s="102">
        <f t="shared" si="1"/>
        <v>0.4</v>
      </c>
    </row>
    <row r="12" spans="1:7" x14ac:dyDescent="0.35">
      <c r="A12" s="91">
        <v>5</v>
      </c>
      <c r="B12" s="200" t="s">
        <v>745</v>
      </c>
      <c r="C12" s="103" t="s">
        <v>18</v>
      </c>
      <c r="D12" s="103">
        <v>25</v>
      </c>
      <c r="E12" s="197">
        <v>7</v>
      </c>
      <c r="F12" s="91">
        <f t="shared" si="0"/>
        <v>-18</v>
      </c>
      <c r="G12" s="102">
        <f t="shared" si="1"/>
        <v>0.28000000000000003</v>
      </c>
    </row>
    <row r="13" spans="1:7" x14ac:dyDescent="0.35">
      <c r="A13" s="91">
        <v>6</v>
      </c>
      <c r="B13" s="200" t="s">
        <v>746</v>
      </c>
      <c r="C13" s="103" t="s">
        <v>18</v>
      </c>
      <c r="D13" s="103">
        <v>25</v>
      </c>
      <c r="E13" s="197">
        <v>23</v>
      </c>
      <c r="F13" s="91">
        <f t="shared" si="0"/>
        <v>-2</v>
      </c>
      <c r="G13" s="102">
        <f t="shared" si="1"/>
        <v>0.92</v>
      </c>
    </row>
    <row r="14" spans="1:7" x14ac:dyDescent="0.35">
      <c r="A14" s="91"/>
      <c r="B14" s="91" t="s">
        <v>47</v>
      </c>
      <c r="C14" s="91"/>
      <c r="D14" s="91">
        <v>150</v>
      </c>
      <c r="E14" s="91">
        <f>SUM(E8:E13)</f>
        <v>56</v>
      </c>
      <c r="F14" s="91">
        <f t="shared" si="0"/>
        <v>-94</v>
      </c>
      <c r="G14" s="102">
        <f t="shared" si="1"/>
        <v>0.37333333333333335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4639-48FC-4E5E-9175-D116496DE468}">
  <dimension ref="A1:M23"/>
  <sheetViews>
    <sheetView workbookViewId="0">
      <selection activeCell="C5" sqref="C5:G5"/>
    </sheetView>
  </sheetViews>
  <sheetFormatPr defaultRowHeight="14.5" x14ac:dyDescent="0.35"/>
  <cols>
    <col min="1" max="1" width="3.7265625" customWidth="1"/>
    <col min="2" max="2" width="40.08984375" customWidth="1"/>
    <col min="7" max="7" width="8.7265625" style="16"/>
    <col min="9" max="9" width="5.81640625" customWidth="1"/>
    <col min="10" max="10" width="21.453125" customWidth="1"/>
  </cols>
  <sheetData>
    <row r="1" spans="1:13" x14ac:dyDescent="0.35">
      <c r="A1" s="190"/>
      <c r="B1" s="5" t="s">
        <v>131</v>
      </c>
      <c r="C1" s="190"/>
      <c r="D1" s="190"/>
      <c r="E1" s="190"/>
      <c r="F1" s="190"/>
    </row>
    <row r="2" spans="1:13" x14ac:dyDescent="0.35">
      <c r="A2" s="190"/>
      <c r="B2" s="5" t="s">
        <v>132</v>
      </c>
      <c r="C2" s="190"/>
      <c r="D2" s="190"/>
      <c r="E2" s="190"/>
      <c r="F2" s="190"/>
    </row>
    <row r="3" spans="1:13" x14ac:dyDescent="0.35">
      <c r="A3" s="190"/>
      <c r="B3" s="5" t="s">
        <v>715</v>
      </c>
      <c r="C3" s="190"/>
      <c r="D3" s="190"/>
      <c r="E3" s="190"/>
      <c r="F3" s="190"/>
    </row>
    <row r="4" spans="1:13" x14ac:dyDescent="0.35">
      <c r="A4" s="190"/>
      <c r="B4" s="190" t="s">
        <v>716</v>
      </c>
      <c r="C4" s="190"/>
      <c r="D4" s="190"/>
      <c r="E4" s="190"/>
      <c r="F4" s="190"/>
    </row>
    <row r="5" spans="1:13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  <c r="I5" s="27" t="s">
        <v>0</v>
      </c>
      <c r="J5" s="27" t="s">
        <v>2</v>
      </c>
      <c r="K5" s="27" t="s">
        <v>4</v>
      </c>
      <c r="L5" s="27" t="s">
        <v>5</v>
      </c>
      <c r="M5" s="28" t="s">
        <v>6</v>
      </c>
    </row>
    <row r="6" spans="1:13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100" t="s">
        <v>6</v>
      </c>
      <c r="I6" s="18">
        <v>1</v>
      </c>
      <c r="J6" s="18" t="s">
        <v>732</v>
      </c>
      <c r="K6" s="18">
        <v>190</v>
      </c>
      <c r="L6" s="18">
        <v>133</v>
      </c>
      <c r="M6" s="29">
        <f>L6/K6*100%</f>
        <v>0.7</v>
      </c>
    </row>
    <row r="7" spans="1:13" x14ac:dyDescent="0.35">
      <c r="A7" s="78"/>
      <c r="B7" s="79"/>
      <c r="C7" s="81"/>
      <c r="D7" s="81"/>
      <c r="E7" s="81"/>
      <c r="F7" s="81"/>
      <c r="G7" s="101"/>
      <c r="I7" s="18">
        <v>2</v>
      </c>
      <c r="J7" s="18" t="s">
        <v>733</v>
      </c>
      <c r="K7" s="18">
        <v>190</v>
      </c>
      <c r="L7" s="18">
        <v>112</v>
      </c>
      <c r="M7" s="29">
        <f>L7/K7*100%</f>
        <v>0.58947368421052626</v>
      </c>
    </row>
    <row r="8" spans="1:13" x14ac:dyDescent="0.35">
      <c r="A8" s="91">
        <v>1</v>
      </c>
      <c r="B8" s="106" t="s">
        <v>717</v>
      </c>
      <c r="C8" s="107" t="s">
        <v>16</v>
      </c>
      <c r="D8" s="107">
        <v>35</v>
      </c>
      <c r="E8" s="113">
        <v>5</v>
      </c>
      <c r="F8" s="91">
        <f>E8-D8</f>
        <v>-30</v>
      </c>
      <c r="G8" s="102">
        <f>E8/D8*100%</f>
        <v>0.14285714285714285</v>
      </c>
    </row>
    <row r="9" spans="1:13" x14ac:dyDescent="0.35">
      <c r="A9" s="91">
        <v>2</v>
      </c>
      <c r="B9" s="106" t="s">
        <v>718</v>
      </c>
      <c r="C9" s="107" t="s">
        <v>18</v>
      </c>
      <c r="D9" s="107">
        <v>25</v>
      </c>
      <c r="E9" s="113">
        <v>18</v>
      </c>
      <c r="F9" s="91">
        <f t="shared" ref="F9:F23" si="0">E9-D9</f>
        <v>-7</v>
      </c>
      <c r="G9" s="102">
        <f t="shared" ref="G9:G23" si="1">E9/D9*100%</f>
        <v>0.72</v>
      </c>
    </row>
    <row r="10" spans="1:13" x14ac:dyDescent="0.35">
      <c r="A10" s="91">
        <v>3</v>
      </c>
      <c r="B10" s="106" t="s">
        <v>719</v>
      </c>
      <c r="C10" s="107" t="s">
        <v>18</v>
      </c>
      <c r="D10" s="107">
        <v>25</v>
      </c>
      <c r="E10" s="113">
        <v>24</v>
      </c>
      <c r="F10" s="91">
        <f t="shared" si="0"/>
        <v>-1</v>
      </c>
      <c r="G10" s="102">
        <f t="shared" si="1"/>
        <v>0.96</v>
      </c>
    </row>
    <row r="11" spans="1:13" x14ac:dyDescent="0.35">
      <c r="A11" s="91">
        <v>4</v>
      </c>
      <c r="B11" s="106" t="s">
        <v>720</v>
      </c>
      <c r="C11" s="107" t="s">
        <v>18</v>
      </c>
      <c r="D11" s="107">
        <v>25</v>
      </c>
      <c r="E11" s="113">
        <v>11</v>
      </c>
      <c r="F11" s="91">
        <f t="shared" si="0"/>
        <v>-14</v>
      </c>
      <c r="G11" s="102">
        <f t="shared" si="1"/>
        <v>0.44</v>
      </c>
    </row>
    <row r="12" spans="1:13" x14ac:dyDescent="0.35">
      <c r="A12" s="91">
        <v>5</v>
      </c>
      <c r="B12" s="106" t="s">
        <v>721</v>
      </c>
      <c r="C12" s="107" t="s">
        <v>18</v>
      </c>
      <c r="D12" s="107">
        <v>25</v>
      </c>
      <c r="E12" s="113">
        <v>26</v>
      </c>
      <c r="F12" s="91">
        <f t="shared" si="0"/>
        <v>1</v>
      </c>
      <c r="G12" s="102">
        <f t="shared" si="1"/>
        <v>1.04</v>
      </c>
    </row>
    <row r="13" spans="1:13" x14ac:dyDescent="0.35">
      <c r="A13" s="91">
        <v>6</v>
      </c>
      <c r="B13" s="106" t="s">
        <v>722</v>
      </c>
      <c r="C13" s="107" t="s">
        <v>18</v>
      </c>
      <c r="D13" s="107">
        <v>25</v>
      </c>
      <c r="E13" s="113">
        <v>10</v>
      </c>
      <c r="F13" s="91">
        <f t="shared" si="0"/>
        <v>-15</v>
      </c>
      <c r="G13" s="102">
        <f t="shared" si="1"/>
        <v>0.4</v>
      </c>
    </row>
    <row r="14" spans="1:13" x14ac:dyDescent="0.35">
      <c r="A14" s="91">
        <v>7</v>
      </c>
      <c r="B14" s="198" t="s">
        <v>723</v>
      </c>
      <c r="C14" s="107" t="s">
        <v>18</v>
      </c>
      <c r="D14" s="107">
        <v>25</v>
      </c>
      <c r="E14" s="113">
        <v>25</v>
      </c>
      <c r="F14" s="91">
        <f t="shared" si="0"/>
        <v>0</v>
      </c>
      <c r="G14" s="102">
        <f t="shared" si="1"/>
        <v>1</v>
      </c>
    </row>
    <row r="15" spans="1:13" x14ac:dyDescent="0.35">
      <c r="A15" s="91">
        <v>8</v>
      </c>
      <c r="B15" s="198" t="s">
        <v>724</v>
      </c>
      <c r="C15" s="107" t="s">
        <v>18</v>
      </c>
      <c r="D15" s="107">
        <v>25</v>
      </c>
      <c r="E15" s="113">
        <v>14</v>
      </c>
      <c r="F15" s="91">
        <f t="shared" si="0"/>
        <v>-11</v>
      </c>
      <c r="G15" s="102">
        <f t="shared" si="1"/>
        <v>0.56000000000000005</v>
      </c>
    </row>
    <row r="16" spans="1:13" x14ac:dyDescent="0.35">
      <c r="A16" s="91">
        <v>9</v>
      </c>
      <c r="B16" s="199" t="s">
        <v>725</v>
      </c>
      <c r="C16" s="107" t="s">
        <v>16</v>
      </c>
      <c r="D16" s="107">
        <v>35</v>
      </c>
      <c r="E16" s="113">
        <v>2</v>
      </c>
      <c r="F16" s="91">
        <f t="shared" si="0"/>
        <v>-33</v>
      </c>
      <c r="G16" s="102">
        <f t="shared" si="1"/>
        <v>5.7142857142857141E-2</v>
      </c>
    </row>
    <row r="17" spans="1:7" x14ac:dyDescent="0.35">
      <c r="A17" s="91">
        <v>10</v>
      </c>
      <c r="B17" s="199" t="s">
        <v>726</v>
      </c>
      <c r="C17" s="107" t="s">
        <v>18</v>
      </c>
      <c r="D17" s="107">
        <v>25</v>
      </c>
      <c r="E17" s="113">
        <v>19</v>
      </c>
      <c r="F17" s="91">
        <f t="shared" si="0"/>
        <v>-6</v>
      </c>
      <c r="G17" s="102">
        <f t="shared" si="1"/>
        <v>0.76</v>
      </c>
    </row>
    <row r="18" spans="1:7" x14ac:dyDescent="0.35">
      <c r="A18" s="91">
        <v>11</v>
      </c>
      <c r="B18" s="199" t="s">
        <v>727</v>
      </c>
      <c r="C18" s="107" t="s">
        <v>18</v>
      </c>
      <c r="D18" s="107">
        <v>25</v>
      </c>
      <c r="E18" s="113">
        <v>22</v>
      </c>
      <c r="F18" s="91">
        <f t="shared" si="0"/>
        <v>-3</v>
      </c>
      <c r="G18" s="102">
        <f t="shared" si="1"/>
        <v>0.88</v>
      </c>
    </row>
    <row r="19" spans="1:7" x14ac:dyDescent="0.35">
      <c r="A19" s="91">
        <v>12</v>
      </c>
      <c r="B19" s="199" t="s">
        <v>728</v>
      </c>
      <c r="C19" s="107" t="s">
        <v>18</v>
      </c>
      <c r="D19" s="107">
        <v>25</v>
      </c>
      <c r="E19" s="113">
        <v>32</v>
      </c>
      <c r="F19" s="91">
        <f t="shared" si="0"/>
        <v>7</v>
      </c>
      <c r="G19" s="102">
        <f t="shared" si="1"/>
        <v>1.28</v>
      </c>
    </row>
    <row r="20" spans="1:7" x14ac:dyDescent="0.35">
      <c r="A20" s="91">
        <v>13</v>
      </c>
      <c r="B20" s="199" t="s">
        <v>729</v>
      </c>
      <c r="C20" s="107" t="s">
        <v>18</v>
      </c>
      <c r="D20" s="107">
        <v>25</v>
      </c>
      <c r="E20" s="113">
        <v>26</v>
      </c>
      <c r="F20" s="91">
        <f t="shared" si="0"/>
        <v>1</v>
      </c>
      <c r="G20" s="102">
        <f t="shared" si="1"/>
        <v>1.04</v>
      </c>
    </row>
    <row r="21" spans="1:7" x14ac:dyDescent="0.35">
      <c r="A21" s="91">
        <v>14</v>
      </c>
      <c r="B21" s="199" t="s">
        <v>730</v>
      </c>
      <c r="C21" s="107" t="s">
        <v>18</v>
      </c>
      <c r="D21" s="107">
        <v>25</v>
      </c>
      <c r="E21" s="113">
        <v>1</v>
      </c>
      <c r="F21" s="91">
        <f t="shared" si="0"/>
        <v>-24</v>
      </c>
      <c r="G21" s="102">
        <f t="shared" si="1"/>
        <v>0.04</v>
      </c>
    </row>
    <row r="22" spans="1:7" x14ac:dyDescent="0.35">
      <c r="A22" s="91">
        <v>15</v>
      </c>
      <c r="B22" s="199" t="s">
        <v>731</v>
      </c>
      <c r="C22" s="107" t="s">
        <v>18</v>
      </c>
      <c r="D22" s="107">
        <v>25</v>
      </c>
      <c r="E22" s="113">
        <v>0</v>
      </c>
      <c r="F22" s="91">
        <f t="shared" si="0"/>
        <v>-25</v>
      </c>
      <c r="G22" s="102">
        <f t="shared" si="1"/>
        <v>0</v>
      </c>
    </row>
    <row r="23" spans="1:7" x14ac:dyDescent="0.35">
      <c r="A23" s="91"/>
      <c r="B23" s="91" t="s">
        <v>47</v>
      </c>
      <c r="C23" s="91"/>
      <c r="D23" s="91">
        <v>380</v>
      </c>
      <c r="E23" s="91">
        <f>SUM(E8:E22)</f>
        <v>235</v>
      </c>
      <c r="F23" s="91">
        <f t="shared" si="0"/>
        <v>-145</v>
      </c>
      <c r="G23" s="102">
        <f t="shared" si="1"/>
        <v>0.61842105263157898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5830-8577-4742-88BB-B858A84DB4E6}">
  <dimension ref="A1:G13"/>
  <sheetViews>
    <sheetView topLeftCell="A4" workbookViewId="0">
      <selection activeCell="C5" sqref="C5:G5"/>
    </sheetView>
  </sheetViews>
  <sheetFormatPr defaultRowHeight="14.5" x14ac:dyDescent="0.35"/>
  <cols>
    <col min="1" max="1" width="6" customWidth="1"/>
    <col min="2" max="2" width="30" customWidth="1"/>
    <col min="7" max="7" width="8.7265625" style="16"/>
  </cols>
  <sheetData>
    <row r="1" spans="1:7" x14ac:dyDescent="0.35">
      <c r="A1" s="190"/>
      <c r="B1" s="5" t="s">
        <v>131</v>
      </c>
      <c r="C1" s="190"/>
      <c r="D1" s="190"/>
      <c r="E1" s="190"/>
      <c r="F1" s="190"/>
    </row>
    <row r="2" spans="1:7" x14ac:dyDescent="0.35">
      <c r="A2" s="190"/>
      <c r="B2" s="5" t="s">
        <v>132</v>
      </c>
      <c r="C2" s="190"/>
      <c r="D2" s="190"/>
      <c r="E2" s="190"/>
      <c r="F2" s="190"/>
    </row>
    <row r="3" spans="1:7" x14ac:dyDescent="0.35">
      <c r="A3" s="190"/>
      <c r="B3" s="5" t="s">
        <v>715</v>
      </c>
      <c r="C3" s="190"/>
      <c r="D3" s="190"/>
      <c r="E3" s="190"/>
      <c r="F3" s="190"/>
    </row>
    <row r="4" spans="1:7" x14ac:dyDescent="0.35">
      <c r="A4" s="190"/>
      <c r="B4" s="190" t="s">
        <v>739</v>
      </c>
      <c r="C4" s="190"/>
      <c r="D4" s="190"/>
      <c r="E4" s="190"/>
      <c r="F4" s="190"/>
    </row>
    <row r="5" spans="1:7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</row>
    <row r="6" spans="1:7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100" t="s">
        <v>6</v>
      </c>
    </row>
    <row r="7" spans="1:7" x14ac:dyDescent="0.35">
      <c r="A7" s="78"/>
      <c r="B7" s="79"/>
      <c r="C7" s="81"/>
      <c r="D7" s="81"/>
      <c r="E7" s="81"/>
      <c r="F7" s="81"/>
      <c r="G7" s="101"/>
    </row>
    <row r="8" spans="1:7" x14ac:dyDescent="0.35">
      <c r="A8" s="91">
        <v>1</v>
      </c>
      <c r="B8" s="104" t="s">
        <v>734</v>
      </c>
      <c r="C8" s="103" t="s">
        <v>16</v>
      </c>
      <c r="D8" s="103">
        <v>35</v>
      </c>
      <c r="E8" s="197">
        <v>0</v>
      </c>
      <c r="F8" s="91">
        <f>E8-D8</f>
        <v>-35</v>
      </c>
      <c r="G8" s="102">
        <f>E8/D8*100%</f>
        <v>0</v>
      </c>
    </row>
    <row r="9" spans="1:7" x14ac:dyDescent="0.35">
      <c r="A9" s="91">
        <v>2</v>
      </c>
      <c r="B9" s="104" t="s">
        <v>735</v>
      </c>
      <c r="C9" s="103" t="s">
        <v>18</v>
      </c>
      <c r="D9" s="103">
        <v>25</v>
      </c>
      <c r="E9" s="197">
        <v>43</v>
      </c>
      <c r="F9" s="91">
        <f t="shared" ref="F9:F13" si="0">E9-D9</f>
        <v>18</v>
      </c>
      <c r="G9" s="102">
        <f t="shared" ref="G9:G13" si="1">E9/D9*100%</f>
        <v>1.72</v>
      </c>
    </row>
    <row r="10" spans="1:7" x14ac:dyDescent="0.35">
      <c r="A10" s="91">
        <v>3</v>
      </c>
      <c r="B10" s="104" t="s">
        <v>736</v>
      </c>
      <c r="C10" s="103" t="s">
        <v>18</v>
      </c>
      <c r="D10" s="103">
        <v>25</v>
      </c>
      <c r="E10" s="197">
        <v>31</v>
      </c>
      <c r="F10" s="91">
        <f t="shared" si="0"/>
        <v>6</v>
      </c>
      <c r="G10" s="102">
        <f t="shared" si="1"/>
        <v>1.24</v>
      </c>
    </row>
    <row r="11" spans="1:7" x14ac:dyDescent="0.35">
      <c r="A11" s="91">
        <v>4</v>
      </c>
      <c r="B11" s="104" t="s">
        <v>737</v>
      </c>
      <c r="C11" s="103" t="s">
        <v>18</v>
      </c>
      <c r="D11" s="103">
        <v>25</v>
      </c>
      <c r="E11" s="197">
        <v>18</v>
      </c>
      <c r="F11" s="91">
        <f t="shared" si="0"/>
        <v>-7</v>
      </c>
      <c r="G11" s="102">
        <f t="shared" si="1"/>
        <v>0.72</v>
      </c>
    </row>
    <row r="12" spans="1:7" x14ac:dyDescent="0.35">
      <c r="A12" s="91">
        <v>5</v>
      </c>
      <c r="B12" s="104" t="s">
        <v>738</v>
      </c>
      <c r="C12" s="103" t="s">
        <v>18</v>
      </c>
      <c r="D12" s="103">
        <v>25</v>
      </c>
      <c r="E12" s="197">
        <v>28</v>
      </c>
      <c r="F12" s="91">
        <f t="shared" si="0"/>
        <v>3</v>
      </c>
      <c r="G12" s="102">
        <f t="shared" si="1"/>
        <v>1.1200000000000001</v>
      </c>
    </row>
    <row r="13" spans="1:7" x14ac:dyDescent="0.35">
      <c r="A13" s="91"/>
      <c r="B13" s="91" t="s">
        <v>47</v>
      </c>
      <c r="C13" s="91"/>
      <c r="D13" s="91">
        <v>150</v>
      </c>
      <c r="E13" s="91">
        <f>SUM(E8:E12)</f>
        <v>120</v>
      </c>
      <c r="F13" s="91">
        <f t="shared" si="0"/>
        <v>-30</v>
      </c>
      <c r="G13" s="102">
        <f t="shared" si="1"/>
        <v>0.8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4B8D-E083-4BF8-922F-CF50F584588D}">
  <dimension ref="A1:M45"/>
  <sheetViews>
    <sheetView workbookViewId="0">
      <selection activeCell="C4" sqref="C4:G4"/>
    </sheetView>
  </sheetViews>
  <sheetFormatPr defaultRowHeight="14.5" x14ac:dyDescent="0.35"/>
  <cols>
    <col min="1" max="1" width="5.90625" customWidth="1"/>
    <col min="2" max="2" width="32.08984375" customWidth="1"/>
    <col min="7" max="7" width="8.7265625" style="16"/>
    <col min="9" max="9" width="5.26953125" customWidth="1"/>
    <col min="10" max="10" width="21" customWidth="1"/>
  </cols>
  <sheetData>
    <row r="1" spans="1:13" x14ac:dyDescent="0.35">
      <c r="A1" s="190"/>
      <c r="B1" s="5" t="s">
        <v>131</v>
      </c>
      <c r="C1" s="190"/>
      <c r="D1" s="190"/>
      <c r="E1" s="190"/>
      <c r="F1" s="190"/>
    </row>
    <row r="2" spans="1:13" x14ac:dyDescent="0.35">
      <c r="A2" s="190"/>
      <c r="B2" s="5" t="s">
        <v>132</v>
      </c>
      <c r="C2" s="190"/>
      <c r="D2" s="190"/>
      <c r="E2" s="190"/>
      <c r="F2" s="190"/>
    </row>
    <row r="3" spans="1:13" x14ac:dyDescent="0.35">
      <c r="A3" s="190"/>
      <c r="B3" s="5" t="s">
        <v>747</v>
      </c>
      <c r="C3" s="190"/>
      <c r="D3" s="190"/>
      <c r="E3" s="190"/>
      <c r="F3" s="190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27" t="s">
        <v>2</v>
      </c>
      <c r="K4" s="27" t="s">
        <v>4</v>
      </c>
      <c r="L4" s="27" t="s">
        <v>5</v>
      </c>
      <c r="M4" s="28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779</v>
      </c>
      <c r="K5" s="18">
        <v>190</v>
      </c>
      <c r="L5" s="18">
        <v>102</v>
      </c>
      <c r="M5" s="29">
        <f>L5/K5*100%</f>
        <v>0.5368421052631579</v>
      </c>
    </row>
    <row r="6" spans="1:13" x14ac:dyDescent="0.35">
      <c r="A6" s="78"/>
      <c r="B6" s="79"/>
      <c r="C6" s="81"/>
      <c r="D6" s="81"/>
      <c r="E6" s="81"/>
      <c r="F6" s="81"/>
      <c r="G6" s="101"/>
      <c r="I6" s="18">
        <v>2</v>
      </c>
      <c r="J6" s="18" t="s">
        <v>780</v>
      </c>
      <c r="K6" s="18">
        <v>190</v>
      </c>
      <c r="L6" s="18">
        <v>87</v>
      </c>
      <c r="M6" s="29">
        <f t="shared" ref="M6:M9" si="0">L6/K6*100%</f>
        <v>0.45789473684210524</v>
      </c>
    </row>
    <row r="7" spans="1:13" x14ac:dyDescent="0.35">
      <c r="A7" s="91">
        <v>1</v>
      </c>
      <c r="B7" s="91" t="s">
        <v>748</v>
      </c>
      <c r="C7" s="150" t="s">
        <v>16</v>
      </c>
      <c r="D7" s="150">
        <v>35</v>
      </c>
      <c r="E7" s="150">
        <v>7</v>
      </c>
      <c r="F7" s="91">
        <f>E7-D7</f>
        <v>-28</v>
      </c>
      <c r="G7" s="102">
        <f>E7/D7*100%</f>
        <v>0.2</v>
      </c>
      <c r="I7" s="18">
        <v>3</v>
      </c>
      <c r="J7" s="18" t="s">
        <v>781</v>
      </c>
      <c r="K7" s="18">
        <v>190</v>
      </c>
      <c r="L7" s="18">
        <v>87</v>
      </c>
      <c r="M7" s="29">
        <f t="shared" si="0"/>
        <v>0.45789473684210524</v>
      </c>
    </row>
    <row r="8" spans="1:13" x14ac:dyDescent="0.35">
      <c r="A8" s="91">
        <v>2</v>
      </c>
      <c r="B8" s="91" t="s">
        <v>749</v>
      </c>
      <c r="C8" s="65" t="s">
        <v>18</v>
      </c>
      <c r="D8" s="65">
        <v>25</v>
      </c>
      <c r="E8" s="150">
        <v>24</v>
      </c>
      <c r="F8" s="91">
        <f t="shared" ref="F8:F45" si="1">E8-D8</f>
        <v>-1</v>
      </c>
      <c r="G8" s="102">
        <f t="shared" ref="G8:G45" si="2">E8/D8*100%</f>
        <v>0.96</v>
      </c>
      <c r="I8" s="18">
        <v>4</v>
      </c>
      <c r="J8" s="18" t="s">
        <v>783</v>
      </c>
      <c r="K8" s="18">
        <v>230</v>
      </c>
      <c r="L8" s="18">
        <v>49</v>
      </c>
      <c r="M8" s="29">
        <f t="shared" si="0"/>
        <v>0.21304347826086956</v>
      </c>
    </row>
    <row r="9" spans="1:13" x14ac:dyDescent="0.35">
      <c r="A9" s="91">
        <v>3</v>
      </c>
      <c r="B9" s="91" t="s">
        <v>750</v>
      </c>
      <c r="C9" s="65" t="s">
        <v>18</v>
      </c>
      <c r="D9" s="150">
        <v>25</v>
      </c>
      <c r="E9" s="150">
        <v>25</v>
      </c>
      <c r="F9" s="91">
        <f t="shared" si="1"/>
        <v>0</v>
      </c>
      <c r="G9" s="102">
        <f t="shared" si="2"/>
        <v>1</v>
      </c>
      <c r="I9" s="18">
        <v>5</v>
      </c>
      <c r="J9" s="18" t="s">
        <v>782</v>
      </c>
      <c r="K9" s="18">
        <v>190</v>
      </c>
      <c r="L9" s="18">
        <v>70</v>
      </c>
      <c r="M9" s="29">
        <f t="shared" si="0"/>
        <v>0.36842105263157893</v>
      </c>
    </row>
    <row r="10" spans="1:13" x14ac:dyDescent="0.35">
      <c r="A10" s="91">
        <v>4</v>
      </c>
      <c r="B10" s="91" t="s">
        <v>751</v>
      </c>
      <c r="C10" s="65" t="s">
        <v>18</v>
      </c>
      <c r="D10" s="65">
        <v>25</v>
      </c>
      <c r="E10" s="150">
        <v>14</v>
      </c>
      <c r="F10" s="91">
        <f t="shared" si="1"/>
        <v>-11</v>
      </c>
      <c r="G10" s="102">
        <f t="shared" si="2"/>
        <v>0.56000000000000005</v>
      </c>
      <c r="K10">
        <f>SUM(K5:K9)</f>
        <v>990</v>
      </c>
      <c r="L10">
        <f>SUM(L5:L9)</f>
        <v>395</v>
      </c>
    </row>
    <row r="11" spans="1:13" x14ac:dyDescent="0.35">
      <c r="A11" s="91">
        <v>5</v>
      </c>
      <c r="B11" s="203" t="s">
        <v>752</v>
      </c>
      <c r="C11" s="150" t="s">
        <v>18</v>
      </c>
      <c r="D11" s="150">
        <v>35</v>
      </c>
      <c r="E11" s="150">
        <v>16</v>
      </c>
      <c r="F11" s="91">
        <f t="shared" si="1"/>
        <v>-19</v>
      </c>
      <c r="G11" s="102">
        <f t="shared" si="2"/>
        <v>0.45714285714285713</v>
      </c>
    </row>
    <row r="12" spans="1:13" x14ac:dyDescent="0.35">
      <c r="A12" s="91">
        <v>6</v>
      </c>
      <c r="B12" s="91" t="s">
        <v>753</v>
      </c>
      <c r="C12" s="65" t="s">
        <v>18</v>
      </c>
      <c r="D12" s="150">
        <v>25</v>
      </c>
      <c r="E12" s="150">
        <v>16</v>
      </c>
      <c r="F12" s="91">
        <f t="shared" si="1"/>
        <v>-9</v>
      </c>
      <c r="G12" s="102">
        <f t="shared" si="2"/>
        <v>0.64</v>
      </c>
      <c r="J12">
        <f>SUM(E7:E13)</f>
        <v>102</v>
      </c>
    </row>
    <row r="13" spans="1:13" x14ac:dyDescent="0.35">
      <c r="A13" s="91">
        <v>7</v>
      </c>
      <c r="B13" s="203" t="s">
        <v>754</v>
      </c>
      <c r="C13" s="65" t="s">
        <v>18</v>
      </c>
      <c r="D13" s="150">
        <v>25</v>
      </c>
      <c r="E13" s="150">
        <v>0</v>
      </c>
      <c r="F13" s="91">
        <f t="shared" si="1"/>
        <v>-25</v>
      </c>
      <c r="G13" s="102">
        <f t="shared" si="2"/>
        <v>0</v>
      </c>
      <c r="J13">
        <f>SUM(E14:E22)</f>
        <v>49</v>
      </c>
    </row>
    <row r="14" spans="1:13" x14ac:dyDescent="0.35">
      <c r="A14" s="91">
        <v>8</v>
      </c>
      <c r="B14" s="91" t="s">
        <v>755</v>
      </c>
      <c r="C14" s="65" t="s">
        <v>16</v>
      </c>
      <c r="D14" s="65">
        <v>25</v>
      </c>
      <c r="E14" s="150">
        <v>10</v>
      </c>
      <c r="F14" s="91">
        <f t="shared" si="1"/>
        <v>-15</v>
      </c>
      <c r="G14" s="102">
        <f t="shared" si="2"/>
        <v>0.4</v>
      </c>
      <c r="J14">
        <f>SUM(E23:E29)</f>
        <v>87</v>
      </c>
    </row>
    <row r="15" spans="1:13" x14ac:dyDescent="0.35">
      <c r="A15" s="91">
        <v>9</v>
      </c>
      <c r="B15" s="91" t="s">
        <v>756</v>
      </c>
      <c r="C15" s="65" t="s">
        <v>18</v>
      </c>
      <c r="D15" s="65">
        <v>25</v>
      </c>
      <c r="E15" s="150">
        <v>8</v>
      </c>
      <c r="F15" s="91">
        <f t="shared" si="1"/>
        <v>-17</v>
      </c>
      <c r="G15" s="102">
        <f t="shared" si="2"/>
        <v>0.32</v>
      </c>
    </row>
    <row r="16" spans="1:13" x14ac:dyDescent="0.35">
      <c r="A16" s="91">
        <v>10</v>
      </c>
      <c r="B16" s="203" t="s">
        <v>757</v>
      </c>
      <c r="C16" s="65" t="s">
        <v>18</v>
      </c>
      <c r="D16" s="150">
        <v>25</v>
      </c>
      <c r="E16" s="150">
        <v>6</v>
      </c>
      <c r="F16" s="91">
        <f t="shared" si="1"/>
        <v>-19</v>
      </c>
      <c r="G16" s="102">
        <f t="shared" si="2"/>
        <v>0.24</v>
      </c>
    </row>
    <row r="17" spans="1:7" x14ac:dyDescent="0.35">
      <c r="A17" s="91">
        <v>11</v>
      </c>
      <c r="B17" s="203" t="s">
        <v>758</v>
      </c>
      <c r="C17" s="65" t="s">
        <v>18</v>
      </c>
      <c r="D17" s="65">
        <v>25</v>
      </c>
      <c r="E17" s="150">
        <v>10</v>
      </c>
      <c r="F17" s="91">
        <f t="shared" si="1"/>
        <v>-15</v>
      </c>
      <c r="G17" s="102">
        <f t="shared" si="2"/>
        <v>0.4</v>
      </c>
    </row>
    <row r="18" spans="1:7" x14ac:dyDescent="0.35">
      <c r="A18" s="91">
        <v>12</v>
      </c>
      <c r="B18" s="203" t="s">
        <v>759</v>
      </c>
      <c r="C18" s="65" t="s">
        <v>18</v>
      </c>
      <c r="D18" s="150">
        <v>25</v>
      </c>
      <c r="E18" s="150">
        <v>2</v>
      </c>
      <c r="F18" s="91">
        <f t="shared" si="1"/>
        <v>-23</v>
      </c>
      <c r="G18" s="102">
        <f t="shared" si="2"/>
        <v>0.08</v>
      </c>
    </row>
    <row r="19" spans="1:7" x14ac:dyDescent="0.35">
      <c r="A19" s="91">
        <v>13</v>
      </c>
      <c r="B19" s="91" t="s">
        <v>760</v>
      </c>
      <c r="C19" s="65" t="s">
        <v>18</v>
      </c>
      <c r="D19" s="65">
        <v>25</v>
      </c>
      <c r="E19" s="150">
        <v>3</v>
      </c>
      <c r="F19" s="91">
        <f t="shared" si="1"/>
        <v>-22</v>
      </c>
      <c r="G19" s="102">
        <f t="shared" si="2"/>
        <v>0.12</v>
      </c>
    </row>
    <row r="20" spans="1:7" x14ac:dyDescent="0.35">
      <c r="A20" s="91">
        <v>14</v>
      </c>
      <c r="B20" s="91" t="s">
        <v>761</v>
      </c>
      <c r="C20" s="65" t="s">
        <v>18</v>
      </c>
      <c r="D20" s="65">
        <v>25</v>
      </c>
      <c r="E20" s="150">
        <v>3</v>
      </c>
      <c r="F20" s="91">
        <f t="shared" si="1"/>
        <v>-22</v>
      </c>
      <c r="G20" s="102">
        <f t="shared" si="2"/>
        <v>0.12</v>
      </c>
    </row>
    <row r="21" spans="1:7" x14ac:dyDescent="0.35">
      <c r="A21" s="91">
        <v>15</v>
      </c>
      <c r="B21" s="91" t="s">
        <v>762</v>
      </c>
      <c r="C21" s="65" t="s">
        <v>18</v>
      </c>
      <c r="D21" s="65">
        <v>25</v>
      </c>
      <c r="E21" s="150">
        <v>1</v>
      </c>
      <c r="F21" s="91">
        <f t="shared" si="1"/>
        <v>-24</v>
      </c>
      <c r="G21" s="102">
        <f t="shared" si="2"/>
        <v>0.04</v>
      </c>
    </row>
    <row r="22" spans="1:7" x14ac:dyDescent="0.35">
      <c r="A22" s="91">
        <v>16</v>
      </c>
      <c r="B22" s="91" t="s">
        <v>763</v>
      </c>
      <c r="C22" s="65" t="s">
        <v>18</v>
      </c>
      <c r="D22" s="65">
        <v>25</v>
      </c>
      <c r="E22" s="150">
        <v>6</v>
      </c>
      <c r="F22" s="91">
        <f t="shared" si="1"/>
        <v>-19</v>
      </c>
      <c r="G22" s="102">
        <f t="shared" si="2"/>
        <v>0.24</v>
      </c>
    </row>
    <row r="23" spans="1:7" x14ac:dyDescent="0.35">
      <c r="A23" s="91">
        <v>17</v>
      </c>
      <c r="B23" s="91" t="s">
        <v>764</v>
      </c>
      <c r="C23" s="150" t="s">
        <v>16</v>
      </c>
      <c r="D23" s="150">
        <v>35</v>
      </c>
      <c r="E23" s="150">
        <v>3</v>
      </c>
      <c r="F23" s="91">
        <f t="shared" si="1"/>
        <v>-32</v>
      </c>
      <c r="G23" s="102">
        <f t="shared" si="2"/>
        <v>8.5714285714285715E-2</v>
      </c>
    </row>
    <row r="24" spans="1:7" x14ac:dyDescent="0.35">
      <c r="A24" s="91">
        <v>18</v>
      </c>
      <c r="B24" s="91" t="s">
        <v>765</v>
      </c>
      <c r="C24" s="65" t="s">
        <v>18</v>
      </c>
      <c r="D24" s="150">
        <v>25</v>
      </c>
      <c r="E24" s="150">
        <v>17</v>
      </c>
      <c r="F24" s="91">
        <f t="shared" si="1"/>
        <v>-8</v>
      </c>
      <c r="G24" s="102">
        <f t="shared" si="2"/>
        <v>0.68</v>
      </c>
    </row>
    <row r="25" spans="1:7" x14ac:dyDescent="0.35">
      <c r="A25" s="91">
        <v>19</v>
      </c>
      <c r="B25" s="203" t="s">
        <v>766</v>
      </c>
      <c r="C25" s="65" t="s">
        <v>18</v>
      </c>
      <c r="D25" s="65">
        <v>25</v>
      </c>
      <c r="E25" s="150">
        <v>19</v>
      </c>
      <c r="F25" s="91">
        <f t="shared" si="1"/>
        <v>-6</v>
      </c>
      <c r="G25" s="102">
        <f t="shared" si="2"/>
        <v>0.76</v>
      </c>
    </row>
    <row r="26" spans="1:7" x14ac:dyDescent="0.35">
      <c r="A26" s="91">
        <v>20</v>
      </c>
      <c r="B26" s="91" t="s">
        <v>767</v>
      </c>
      <c r="C26" s="65" t="s">
        <v>18</v>
      </c>
      <c r="D26" s="65">
        <v>25</v>
      </c>
      <c r="E26" s="150">
        <v>23</v>
      </c>
      <c r="F26" s="91">
        <f t="shared" si="1"/>
        <v>-2</v>
      </c>
      <c r="G26" s="102">
        <f t="shared" si="2"/>
        <v>0.92</v>
      </c>
    </row>
    <row r="27" spans="1:7" x14ac:dyDescent="0.35">
      <c r="A27" s="91">
        <v>21</v>
      </c>
      <c r="B27" s="91" t="s">
        <v>768</v>
      </c>
      <c r="C27" s="65" t="s">
        <v>18</v>
      </c>
      <c r="D27" s="150">
        <v>25</v>
      </c>
      <c r="E27" s="150">
        <v>22</v>
      </c>
      <c r="F27" s="91">
        <f t="shared" si="1"/>
        <v>-3</v>
      </c>
      <c r="G27" s="102">
        <f t="shared" si="2"/>
        <v>0.88</v>
      </c>
    </row>
    <row r="28" spans="1:7" x14ac:dyDescent="0.35">
      <c r="A28" s="91">
        <v>22</v>
      </c>
      <c r="B28" s="91" t="s">
        <v>769</v>
      </c>
      <c r="C28" s="65" t="s">
        <v>18</v>
      </c>
      <c r="D28" s="65">
        <v>25</v>
      </c>
      <c r="E28" s="150">
        <v>2</v>
      </c>
      <c r="F28" s="91">
        <f t="shared" si="1"/>
        <v>-23</v>
      </c>
      <c r="G28" s="102">
        <f t="shared" si="2"/>
        <v>0.08</v>
      </c>
    </row>
    <row r="29" spans="1:7" x14ac:dyDescent="0.35">
      <c r="A29" s="91">
        <v>23</v>
      </c>
      <c r="B29" s="91" t="s">
        <v>770</v>
      </c>
      <c r="C29" s="65" t="s">
        <v>18</v>
      </c>
      <c r="D29" s="65">
        <v>25</v>
      </c>
      <c r="E29" s="150">
        <v>1</v>
      </c>
      <c r="F29" s="91">
        <f t="shared" si="1"/>
        <v>-24</v>
      </c>
      <c r="G29" s="102">
        <f t="shared" si="2"/>
        <v>0.04</v>
      </c>
    </row>
    <row r="30" spans="1:7" x14ac:dyDescent="0.35">
      <c r="A30" s="91">
        <v>24</v>
      </c>
      <c r="B30" s="91" t="s">
        <v>771</v>
      </c>
      <c r="C30" s="150" t="s">
        <v>16</v>
      </c>
      <c r="D30" s="150">
        <v>35</v>
      </c>
      <c r="E30" s="150">
        <v>7</v>
      </c>
      <c r="F30" s="91">
        <f t="shared" si="1"/>
        <v>-28</v>
      </c>
      <c r="G30" s="102">
        <f t="shared" si="2"/>
        <v>0.2</v>
      </c>
    </row>
    <row r="31" spans="1:7" x14ac:dyDescent="0.35">
      <c r="A31" s="91">
        <v>25</v>
      </c>
      <c r="B31" s="203" t="s">
        <v>772</v>
      </c>
      <c r="C31" s="65" t="s">
        <v>18</v>
      </c>
      <c r="D31" s="150">
        <v>25</v>
      </c>
      <c r="E31" s="150">
        <v>21</v>
      </c>
      <c r="F31" s="91">
        <f t="shared" si="1"/>
        <v>-4</v>
      </c>
      <c r="G31" s="102">
        <f t="shared" si="2"/>
        <v>0.84</v>
      </c>
    </row>
    <row r="32" spans="1:7" x14ac:dyDescent="0.35">
      <c r="A32" s="91">
        <v>26</v>
      </c>
      <c r="B32" s="91" t="s">
        <v>773</v>
      </c>
      <c r="C32" s="65" t="s">
        <v>18</v>
      </c>
      <c r="D32" s="150">
        <v>25</v>
      </c>
      <c r="E32" s="150">
        <v>17</v>
      </c>
      <c r="F32" s="91">
        <f t="shared" si="1"/>
        <v>-8</v>
      </c>
      <c r="G32" s="102">
        <f t="shared" si="2"/>
        <v>0.68</v>
      </c>
    </row>
    <row r="33" spans="1:10" x14ac:dyDescent="0.35">
      <c r="A33" s="91">
        <v>27</v>
      </c>
      <c r="B33" s="203" t="s">
        <v>774</v>
      </c>
      <c r="C33" s="65" t="s">
        <v>18</v>
      </c>
      <c r="D33" s="150">
        <v>25</v>
      </c>
      <c r="E33" s="150">
        <v>15</v>
      </c>
      <c r="F33" s="91">
        <f t="shared" si="1"/>
        <v>-10</v>
      </c>
      <c r="G33" s="102">
        <f t="shared" si="2"/>
        <v>0.6</v>
      </c>
      <c r="J33">
        <f>SUM(E30:E37)</f>
        <v>87</v>
      </c>
    </row>
    <row r="34" spans="1:10" x14ac:dyDescent="0.35">
      <c r="A34" s="91">
        <v>28</v>
      </c>
      <c r="B34" s="91" t="s">
        <v>775</v>
      </c>
      <c r="C34" s="65" t="s">
        <v>18</v>
      </c>
      <c r="D34" s="65">
        <v>25</v>
      </c>
      <c r="E34" s="150">
        <v>10</v>
      </c>
      <c r="F34" s="91">
        <f t="shared" si="1"/>
        <v>-15</v>
      </c>
      <c r="G34" s="102">
        <f t="shared" si="2"/>
        <v>0.4</v>
      </c>
    </row>
    <row r="35" spans="1:10" x14ac:dyDescent="0.35">
      <c r="A35" s="91">
        <v>29</v>
      </c>
      <c r="B35" s="91" t="s">
        <v>776</v>
      </c>
      <c r="C35" s="65" t="s">
        <v>18</v>
      </c>
      <c r="D35" s="150">
        <v>25</v>
      </c>
      <c r="E35" s="150">
        <v>13</v>
      </c>
      <c r="F35" s="91">
        <f t="shared" si="1"/>
        <v>-12</v>
      </c>
      <c r="G35" s="102">
        <f t="shared" si="2"/>
        <v>0.52</v>
      </c>
    </row>
    <row r="36" spans="1:10" x14ac:dyDescent="0.35">
      <c r="A36" s="91">
        <v>30</v>
      </c>
      <c r="B36" s="202" t="s">
        <v>777</v>
      </c>
      <c r="C36" s="65" t="s">
        <v>18</v>
      </c>
      <c r="D36" s="65">
        <v>25</v>
      </c>
      <c r="E36" s="150">
        <v>3</v>
      </c>
      <c r="F36" s="91">
        <f t="shared" si="1"/>
        <v>-22</v>
      </c>
      <c r="G36" s="102">
        <f t="shared" si="2"/>
        <v>0.12</v>
      </c>
    </row>
    <row r="37" spans="1:10" x14ac:dyDescent="0.35">
      <c r="A37" s="91">
        <v>31</v>
      </c>
      <c r="B37" s="91" t="s">
        <v>778</v>
      </c>
      <c r="C37" s="65" t="s">
        <v>18</v>
      </c>
      <c r="D37" s="150">
        <v>25</v>
      </c>
      <c r="E37" s="150">
        <v>1</v>
      </c>
      <c r="F37" s="91">
        <f t="shared" si="1"/>
        <v>-24</v>
      </c>
      <c r="G37" s="102">
        <f t="shared" si="2"/>
        <v>0.04</v>
      </c>
    </row>
    <row r="38" spans="1:10" s="201" customFormat="1" x14ac:dyDescent="0.35">
      <c r="A38" s="91">
        <v>32</v>
      </c>
      <c r="B38" s="91" t="s">
        <v>784</v>
      </c>
      <c r="C38" s="205" t="s">
        <v>16</v>
      </c>
      <c r="D38" s="150">
        <v>35</v>
      </c>
      <c r="E38" s="150">
        <v>10</v>
      </c>
      <c r="F38" s="91">
        <f t="shared" si="1"/>
        <v>-25</v>
      </c>
      <c r="G38" s="102">
        <f t="shared" si="2"/>
        <v>0.2857142857142857</v>
      </c>
    </row>
    <row r="39" spans="1:10" s="201" customFormat="1" x14ac:dyDescent="0.35">
      <c r="A39" s="91">
        <v>33</v>
      </c>
      <c r="B39" s="91" t="s">
        <v>785</v>
      </c>
      <c r="C39" s="206" t="s">
        <v>18</v>
      </c>
      <c r="D39" s="65">
        <v>25</v>
      </c>
      <c r="E39" s="150">
        <v>5</v>
      </c>
      <c r="F39" s="91">
        <f t="shared" si="1"/>
        <v>-20</v>
      </c>
      <c r="G39" s="102">
        <f t="shared" si="2"/>
        <v>0.2</v>
      </c>
    </row>
    <row r="40" spans="1:10" s="201" customFormat="1" x14ac:dyDescent="0.35">
      <c r="A40" s="91">
        <v>34</v>
      </c>
      <c r="B40" s="203" t="s">
        <v>786</v>
      </c>
      <c r="C40" s="206" t="s">
        <v>18</v>
      </c>
      <c r="D40" s="150">
        <v>25</v>
      </c>
      <c r="E40" s="150">
        <v>25</v>
      </c>
      <c r="F40" s="91">
        <f t="shared" si="1"/>
        <v>0</v>
      </c>
      <c r="G40" s="102">
        <f t="shared" si="2"/>
        <v>1</v>
      </c>
    </row>
    <row r="41" spans="1:10" s="201" customFormat="1" x14ac:dyDescent="0.35">
      <c r="A41" s="91">
        <v>35</v>
      </c>
      <c r="B41" s="203" t="s">
        <v>787</v>
      </c>
      <c r="C41" s="206" t="s">
        <v>18</v>
      </c>
      <c r="D41" s="150">
        <v>25</v>
      </c>
      <c r="E41" s="150">
        <v>13</v>
      </c>
      <c r="F41" s="91">
        <f t="shared" si="1"/>
        <v>-12</v>
      </c>
      <c r="G41" s="102">
        <f t="shared" si="2"/>
        <v>0.52</v>
      </c>
    </row>
    <row r="42" spans="1:10" s="201" customFormat="1" x14ac:dyDescent="0.35">
      <c r="A42" s="91">
        <v>36</v>
      </c>
      <c r="B42" s="203" t="s">
        <v>788</v>
      </c>
      <c r="C42" s="206" t="s">
        <v>18</v>
      </c>
      <c r="D42" s="150">
        <v>25</v>
      </c>
      <c r="E42" s="150">
        <v>11</v>
      </c>
      <c r="F42" s="91">
        <f t="shared" si="1"/>
        <v>-14</v>
      </c>
      <c r="G42" s="102">
        <f t="shared" si="2"/>
        <v>0.44</v>
      </c>
    </row>
    <row r="43" spans="1:10" s="201" customFormat="1" x14ac:dyDescent="0.35">
      <c r="A43" s="91">
        <v>37</v>
      </c>
      <c r="B43" s="91" t="s">
        <v>789</v>
      </c>
      <c r="C43" s="206" t="s">
        <v>18</v>
      </c>
      <c r="D43" s="150">
        <v>25</v>
      </c>
      <c r="E43" s="150">
        <v>5</v>
      </c>
      <c r="F43" s="91">
        <f t="shared" si="1"/>
        <v>-20</v>
      </c>
      <c r="G43" s="102">
        <f t="shared" si="2"/>
        <v>0.2</v>
      </c>
    </row>
    <row r="44" spans="1:10" s="201" customFormat="1" x14ac:dyDescent="0.35">
      <c r="A44" s="91">
        <v>38</v>
      </c>
      <c r="B44" s="91" t="s">
        <v>790</v>
      </c>
      <c r="C44" s="206" t="s">
        <v>18</v>
      </c>
      <c r="D44" s="150">
        <v>25</v>
      </c>
      <c r="E44" s="150">
        <v>1</v>
      </c>
      <c r="F44" s="91">
        <f t="shared" si="1"/>
        <v>-24</v>
      </c>
      <c r="G44" s="102">
        <f t="shared" si="2"/>
        <v>0.04</v>
      </c>
    </row>
    <row r="45" spans="1:10" x14ac:dyDescent="0.35">
      <c r="A45" s="91"/>
      <c r="B45" s="91" t="s">
        <v>47</v>
      </c>
      <c r="C45" s="91"/>
      <c r="D45" s="91">
        <v>990</v>
      </c>
      <c r="E45" s="91">
        <f>SUM(E7:E44)</f>
        <v>395</v>
      </c>
      <c r="F45" s="91">
        <f t="shared" si="1"/>
        <v>-595</v>
      </c>
      <c r="G45" s="102">
        <f>E45/D45*100%</f>
        <v>0.39898989898989901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DCAC-7EE0-4E0F-AC7C-BF8395703B3C}">
  <dimension ref="A1:M22"/>
  <sheetViews>
    <sheetView workbookViewId="0">
      <selection activeCell="C4" sqref="C4:G4"/>
    </sheetView>
  </sheetViews>
  <sheetFormatPr defaultRowHeight="14.5" x14ac:dyDescent="0.35"/>
  <cols>
    <col min="1" max="1" width="3.90625" customWidth="1"/>
    <col min="2" max="2" width="37" customWidth="1"/>
    <col min="7" max="7" width="8.7265625" style="16"/>
    <col min="9" max="9" width="5" customWidth="1"/>
    <col min="10" max="10" width="24.08984375" customWidth="1"/>
  </cols>
  <sheetData>
    <row r="1" spans="1:13" x14ac:dyDescent="0.35">
      <c r="A1" s="181"/>
      <c r="B1" s="5" t="s">
        <v>131</v>
      </c>
      <c r="C1" s="204"/>
      <c r="D1" s="204"/>
      <c r="E1" s="204"/>
      <c r="F1" s="204"/>
    </row>
    <row r="2" spans="1:13" x14ac:dyDescent="0.35">
      <c r="A2" s="181"/>
      <c r="B2" s="5" t="s">
        <v>132</v>
      </c>
      <c r="C2" s="204"/>
      <c r="D2" s="204"/>
      <c r="E2" s="204"/>
      <c r="F2" s="204"/>
    </row>
    <row r="3" spans="1:13" x14ac:dyDescent="0.35">
      <c r="A3" s="181"/>
      <c r="B3" s="5" t="s">
        <v>747</v>
      </c>
      <c r="C3" s="204"/>
      <c r="D3" s="204"/>
      <c r="E3" s="204"/>
      <c r="F3" s="204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27" t="s">
        <v>2</v>
      </c>
      <c r="K4" s="27" t="s">
        <v>4</v>
      </c>
      <c r="L4" s="27" t="s">
        <v>5</v>
      </c>
      <c r="M4" s="28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894</v>
      </c>
      <c r="K5" s="18">
        <v>190</v>
      </c>
      <c r="L5" s="18">
        <v>150</v>
      </c>
      <c r="M5" s="29">
        <f>L5/K5*100%</f>
        <v>0.78947368421052633</v>
      </c>
    </row>
    <row r="6" spans="1:13" x14ac:dyDescent="0.35">
      <c r="A6" s="78"/>
      <c r="B6" s="79"/>
      <c r="C6" s="81"/>
      <c r="D6" s="81"/>
      <c r="E6" s="81"/>
      <c r="F6" s="81"/>
      <c r="G6" s="101"/>
      <c r="I6" s="18">
        <v>2</v>
      </c>
      <c r="J6" s="18" t="s">
        <v>895</v>
      </c>
      <c r="K6" s="18">
        <v>190</v>
      </c>
      <c r="L6" s="18">
        <v>63</v>
      </c>
      <c r="M6" s="29">
        <f t="shared" ref="M6:M7" si="0">L6/K6*100%</f>
        <v>0.33157894736842103</v>
      </c>
    </row>
    <row r="7" spans="1:13" x14ac:dyDescent="0.35">
      <c r="A7" s="91">
        <v>1</v>
      </c>
      <c r="B7" s="208" t="s">
        <v>791</v>
      </c>
      <c r="C7" s="150" t="s">
        <v>16</v>
      </c>
      <c r="D7" s="150">
        <v>35</v>
      </c>
      <c r="E7" s="150">
        <v>8</v>
      </c>
      <c r="F7" s="91">
        <f>E7-D7</f>
        <v>-27</v>
      </c>
      <c r="G7" s="102">
        <f>E7/D7*100%</f>
        <v>0.22857142857142856</v>
      </c>
      <c r="I7" s="18"/>
      <c r="J7" s="18"/>
      <c r="K7" s="18"/>
      <c r="L7" s="18"/>
      <c r="M7" s="29"/>
    </row>
    <row r="8" spans="1:13" x14ac:dyDescent="0.35">
      <c r="A8" s="91">
        <v>2</v>
      </c>
      <c r="B8" s="208" t="s">
        <v>792</v>
      </c>
      <c r="C8" s="65" t="s">
        <v>18</v>
      </c>
      <c r="D8" s="65">
        <v>25</v>
      </c>
      <c r="E8" s="150">
        <v>25</v>
      </c>
      <c r="F8" s="91">
        <f t="shared" ref="F8:F22" si="1">E8-D8</f>
        <v>0</v>
      </c>
      <c r="G8" s="102">
        <f t="shared" ref="G8:G22" si="2">E8/D8*100%</f>
        <v>1</v>
      </c>
    </row>
    <row r="9" spans="1:13" x14ac:dyDescent="0.35">
      <c r="A9" s="91">
        <v>3</v>
      </c>
      <c r="B9" s="208" t="s">
        <v>793</v>
      </c>
      <c r="C9" s="65" t="s">
        <v>18</v>
      </c>
      <c r="D9" s="65">
        <v>25</v>
      </c>
      <c r="E9" s="150">
        <v>29</v>
      </c>
      <c r="F9" s="91">
        <f t="shared" si="1"/>
        <v>4</v>
      </c>
      <c r="G9" s="102">
        <f t="shared" si="2"/>
        <v>1.1599999999999999</v>
      </c>
    </row>
    <row r="10" spans="1:13" x14ac:dyDescent="0.35">
      <c r="A10" s="91">
        <v>4</v>
      </c>
      <c r="B10" s="208" t="s">
        <v>794</v>
      </c>
      <c r="C10" s="65" t="s">
        <v>18</v>
      </c>
      <c r="D10" s="150">
        <v>25</v>
      </c>
      <c r="E10" s="150">
        <v>7</v>
      </c>
      <c r="F10" s="91">
        <f t="shared" si="1"/>
        <v>-18</v>
      </c>
      <c r="G10" s="102">
        <f t="shared" si="2"/>
        <v>0.28000000000000003</v>
      </c>
    </row>
    <row r="11" spans="1:13" x14ac:dyDescent="0.35">
      <c r="A11" s="91">
        <v>5</v>
      </c>
      <c r="B11" s="91" t="s">
        <v>795</v>
      </c>
      <c r="C11" s="65" t="s">
        <v>18</v>
      </c>
      <c r="D11" s="150">
        <v>25</v>
      </c>
      <c r="E11" s="150">
        <v>33</v>
      </c>
      <c r="F11" s="91">
        <f t="shared" si="1"/>
        <v>8</v>
      </c>
      <c r="G11" s="102">
        <f t="shared" si="2"/>
        <v>1.32</v>
      </c>
    </row>
    <row r="12" spans="1:13" x14ac:dyDescent="0.35">
      <c r="A12" s="91">
        <v>6</v>
      </c>
      <c r="B12" s="208" t="s">
        <v>796</v>
      </c>
      <c r="C12" s="65" t="s">
        <v>18</v>
      </c>
      <c r="D12" s="65">
        <v>25</v>
      </c>
      <c r="E12" s="150">
        <v>27</v>
      </c>
      <c r="F12" s="91">
        <f t="shared" si="1"/>
        <v>2</v>
      </c>
      <c r="G12" s="102">
        <f t="shared" si="2"/>
        <v>1.08</v>
      </c>
      <c r="I12">
        <f>SUM(E7:E13)</f>
        <v>150</v>
      </c>
    </row>
    <row r="13" spans="1:13" x14ac:dyDescent="0.35">
      <c r="A13" s="91">
        <v>7</v>
      </c>
      <c r="B13" s="208" t="s">
        <v>797</v>
      </c>
      <c r="C13" s="65" t="s">
        <v>18</v>
      </c>
      <c r="D13" s="65">
        <v>25</v>
      </c>
      <c r="E13" s="150">
        <v>21</v>
      </c>
      <c r="F13" s="91">
        <f t="shared" si="1"/>
        <v>-4</v>
      </c>
      <c r="G13" s="102">
        <f t="shared" si="2"/>
        <v>0.84</v>
      </c>
      <c r="I13">
        <f>SUM(E14:E21)</f>
        <v>63</v>
      </c>
    </row>
    <row r="14" spans="1:13" x14ac:dyDescent="0.35">
      <c r="A14" s="91">
        <v>8</v>
      </c>
      <c r="B14" s="208" t="s">
        <v>798</v>
      </c>
      <c r="C14" s="150" t="s">
        <v>16</v>
      </c>
      <c r="D14" s="150">
        <v>35</v>
      </c>
      <c r="E14" s="150">
        <v>13</v>
      </c>
      <c r="F14" s="91">
        <f t="shared" si="1"/>
        <v>-22</v>
      </c>
      <c r="G14" s="102">
        <f t="shared" si="2"/>
        <v>0.37142857142857144</v>
      </c>
    </row>
    <row r="15" spans="1:13" x14ac:dyDescent="0.35">
      <c r="A15" s="91">
        <v>9</v>
      </c>
      <c r="B15" s="208" t="s">
        <v>799</v>
      </c>
      <c r="C15" s="65" t="s">
        <v>18</v>
      </c>
      <c r="D15" s="150">
        <v>25</v>
      </c>
      <c r="E15" s="150">
        <v>3</v>
      </c>
      <c r="F15" s="91">
        <f t="shared" si="1"/>
        <v>-22</v>
      </c>
      <c r="G15" s="102">
        <f t="shared" si="2"/>
        <v>0.12</v>
      </c>
    </row>
    <row r="16" spans="1:13" x14ac:dyDescent="0.35">
      <c r="A16" s="91">
        <v>10</v>
      </c>
      <c r="B16" s="208" t="s">
        <v>800</v>
      </c>
      <c r="C16" s="65" t="s">
        <v>18</v>
      </c>
      <c r="D16" s="65">
        <v>25</v>
      </c>
      <c r="E16" s="150">
        <v>9</v>
      </c>
      <c r="F16" s="91">
        <f t="shared" si="1"/>
        <v>-16</v>
      </c>
      <c r="G16" s="102">
        <f t="shared" si="2"/>
        <v>0.36</v>
      </c>
    </row>
    <row r="17" spans="1:7" x14ac:dyDescent="0.35">
      <c r="A17" s="91">
        <v>11</v>
      </c>
      <c r="B17" s="208" t="s">
        <v>801</v>
      </c>
      <c r="C17" s="65" t="s">
        <v>18</v>
      </c>
      <c r="D17" s="150">
        <v>25</v>
      </c>
      <c r="E17" s="150">
        <v>23</v>
      </c>
      <c r="F17" s="91">
        <f t="shared" si="1"/>
        <v>-2</v>
      </c>
      <c r="G17" s="102">
        <f t="shared" si="2"/>
        <v>0.92</v>
      </c>
    </row>
    <row r="18" spans="1:7" x14ac:dyDescent="0.35">
      <c r="A18" s="91">
        <v>12</v>
      </c>
      <c r="B18" s="208" t="s">
        <v>802</v>
      </c>
      <c r="C18" s="65" t="s">
        <v>18</v>
      </c>
      <c r="D18" s="65">
        <v>25</v>
      </c>
      <c r="E18" s="150">
        <v>7</v>
      </c>
      <c r="F18" s="91">
        <f t="shared" si="1"/>
        <v>-18</v>
      </c>
      <c r="G18" s="102">
        <f t="shared" si="2"/>
        <v>0.28000000000000003</v>
      </c>
    </row>
    <row r="19" spans="1:7" x14ac:dyDescent="0.35">
      <c r="A19" s="91">
        <v>13</v>
      </c>
      <c r="B19" s="208" t="s">
        <v>803</v>
      </c>
      <c r="C19" s="65" t="s">
        <v>18</v>
      </c>
      <c r="D19" s="150">
        <v>25</v>
      </c>
      <c r="E19" s="150">
        <v>8</v>
      </c>
      <c r="F19" s="91">
        <f t="shared" si="1"/>
        <v>-17</v>
      </c>
      <c r="G19" s="102">
        <f t="shared" si="2"/>
        <v>0.32</v>
      </c>
    </row>
    <row r="20" spans="1:7" x14ac:dyDescent="0.35">
      <c r="A20" s="91">
        <v>14</v>
      </c>
      <c r="B20" s="133" t="s">
        <v>804</v>
      </c>
      <c r="C20" s="65" t="s">
        <v>18</v>
      </c>
      <c r="D20" s="65">
        <v>25</v>
      </c>
      <c r="E20" s="150">
        <v>0</v>
      </c>
      <c r="F20" s="91">
        <f t="shared" si="1"/>
        <v>-25</v>
      </c>
      <c r="G20" s="102">
        <f t="shared" si="2"/>
        <v>0</v>
      </c>
    </row>
    <row r="21" spans="1:7" x14ac:dyDescent="0.35">
      <c r="A21" s="91">
        <v>15</v>
      </c>
      <c r="B21" s="133" t="s">
        <v>805</v>
      </c>
      <c r="C21" s="65" t="s">
        <v>18</v>
      </c>
      <c r="D21" s="150">
        <v>25</v>
      </c>
      <c r="E21" s="150">
        <v>0</v>
      </c>
      <c r="F21" s="91">
        <f t="shared" si="1"/>
        <v>-25</v>
      </c>
      <c r="G21" s="102">
        <f t="shared" si="2"/>
        <v>0</v>
      </c>
    </row>
    <row r="22" spans="1:7" x14ac:dyDescent="0.35">
      <c r="A22" s="91"/>
      <c r="B22" s="91" t="s">
        <v>47</v>
      </c>
      <c r="C22" s="91"/>
      <c r="D22" s="91">
        <v>380</v>
      </c>
      <c r="E22" s="91">
        <f>SUM(E7:E21)</f>
        <v>213</v>
      </c>
      <c r="F22" s="91">
        <f t="shared" si="1"/>
        <v>-167</v>
      </c>
      <c r="G22" s="102">
        <f t="shared" si="2"/>
        <v>0.56052631578947365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D0F6-6772-4097-9FCE-BA1433DD6939}">
  <dimension ref="A1:G12"/>
  <sheetViews>
    <sheetView workbookViewId="0">
      <selection activeCell="C4" sqref="C4:G4"/>
    </sheetView>
  </sheetViews>
  <sheetFormatPr defaultRowHeight="14.5" x14ac:dyDescent="0.35"/>
  <cols>
    <col min="1" max="1" width="5.26953125" customWidth="1"/>
    <col min="2" max="2" width="35" customWidth="1"/>
    <col min="7" max="7" width="8.7265625" style="16"/>
  </cols>
  <sheetData>
    <row r="1" spans="1:7" x14ac:dyDescent="0.35">
      <c r="A1" s="181"/>
      <c r="B1" s="5" t="s">
        <v>131</v>
      </c>
      <c r="C1" s="207"/>
      <c r="D1" s="207"/>
      <c r="E1" s="207"/>
      <c r="F1" s="207"/>
    </row>
    <row r="2" spans="1:7" x14ac:dyDescent="0.35">
      <c r="A2" s="181"/>
      <c r="B2" s="5" t="s">
        <v>132</v>
      </c>
      <c r="C2" s="207"/>
      <c r="D2" s="207"/>
      <c r="E2" s="207"/>
      <c r="F2" s="207"/>
    </row>
    <row r="3" spans="1:7" x14ac:dyDescent="0.35">
      <c r="A3" s="181"/>
      <c r="B3" s="5" t="s">
        <v>747</v>
      </c>
      <c r="C3" s="207"/>
      <c r="D3" s="207"/>
      <c r="E3" s="207"/>
      <c r="F3" s="207"/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78"/>
      <c r="B6" s="79"/>
      <c r="C6" s="81"/>
      <c r="D6" s="81"/>
      <c r="E6" s="81"/>
      <c r="F6" s="81"/>
      <c r="G6" s="101"/>
    </row>
    <row r="7" spans="1:7" x14ac:dyDescent="0.35">
      <c r="A7" s="91">
        <v>1</v>
      </c>
      <c r="B7" s="91" t="s">
        <v>806</v>
      </c>
      <c r="C7" s="150" t="s">
        <v>16</v>
      </c>
      <c r="D7" s="150">
        <v>35</v>
      </c>
      <c r="E7" s="210">
        <v>0</v>
      </c>
      <c r="F7" s="91">
        <f>E7-D7</f>
        <v>-35</v>
      </c>
      <c r="G7" s="102">
        <f>E7/D7*100%</f>
        <v>0</v>
      </c>
    </row>
    <row r="8" spans="1:7" x14ac:dyDescent="0.35">
      <c r="A8" s="91">
        <v>2</v>
      </c>
      <c r="B8" s="91" t="s">
        <v>807</v>
      </c>
      <c r="C8" s="65" t="s">
        <v>18</v>
      </c>
      <c r="D8" s="65">
        <v>25</v>
      </c>
      <c r="E8" s="210">
        <v>17</v>
      </c>
      <c r="F8" s="91">
        <f t="shared" ref="F8:F12" si="0">E8-D8</f>
        <v>-8</v>
      </c>
      <c r="G8" s="102">
        <f t="shared" ref="G8:G12" si="1">E8/D8*100%</f>
        <v>0.68</v>
      </c>
    </row>
    <row r="9" spans="1:7" x14ac:dyDescent="0.35">
      <c r="A9" s="91">
        <v>3</v>
      </c>
      <c r="B9" s="91" t="s">
        <v>808</v>
      </c>
      <c r="C9" s="65" t="s">
        <v>18</v>
      </c>
      <c r="D9" s="65">
        <v>25</v>
      </c>
      <c r="E9" s="210">
        <v>18</v>
      </c>
      <c r="F9" s="91">
        <f t="shared" si="0"/>
        <v>-7</v>
      </c>
      <c r="G9" s="102">
        <f t="shared" si="1"/>
        <v>0.72</v>
      </c>
    </row>
    <row r="10" spans="1:7" x14ac:dyDescent="0.35">
      <c r="A10" s="91">
        <v>4</v>
      </c>
      <c r="B10" s="91" t="s">
        <v>809</v>
      </c>
      <c r="C10" s="65" t="s">
        <v>18</v>
      </c>
      <c r="D10" s="65">
        <v>25</v>
      </c>
      <c r="E10" s="210">
        <v>27</v>
      </c>
      <c r="F10" s="91">
        <f t="shared" si="0"/>
        <v>2</v>
      </c>
      <c r="G10" s="102">
        <f t="shared" si="1"/>
        <v>1.08</v>
      </c>
    </row>
    <row r="11" spans="1:7" x14ac:dyDescent="0.35">
      <c r="A11" s="91">
        <v>5</v>
      </c>
      <c r="B11" s="91" t="s">
        <v>810</v>
      </c>
      <c r="C11" s="65" t="s">
        <v>18</v>
      </c>
      <c r="D11" s="150">
        <v>25</v>
      </c>
      <c r="E11" s="210">
        <v>3</v>
      </c>
      <c r="F11" s="91">
        <f t="shared" si="0"/>
        <v>-22</v>
      </c>
      <c r="G11" s="102">
        <f t="shared" si="1"/>
        <v>0.12</v>
      </c>
    </row>
    <row r="12" spans="1:7" x14ac:dyDescent="0.35">
      <c r="A12" s="91"/>
      <c r="B12" s="91" t="s">
        <v>47</v>
      </c>
      <c r="C12" s="91"/>
      <c r="D12" s="91">
        <v>150</v>
      </c>
      <c r="E12" s="91">
        <f>SUM(E7:E11)</f>
        <v>65</v>
      </c>
      <c r="F12" s="91">
        <f t="shared" si="0"/>
        <v>-85</v>
      </c>
      <c r="G12" s="102">
        <f t="shared" si="1"/>
        <v>0.43333333333333335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D9F4-B3DB-452F-92DA-FEC7C0E4B562}">
  <dimension ref="A1:G16"/>
  <sheetViews>
    <sheetView workbookViewId="0">
      <selection activeCell="C5" sqref="C5:G5"/>
    </sheetView>
  </sheetViews>
  <sheetFormatPr defaultRowHeight="14.5" x14ac:dyDescent="0.35"/>
  <cols>
    <col min="1" max="1" width="4.1796875" customWidth="1"/>
    <col min="2" max="2" width="32.26953125" customWidth="1"/>
    <col min="7" max="7" width="8.7265625" style="16"/>
  </cols>
  <sheetData>
    <row r="1" spans="1:7" x14ac:dyDescent="0.35">
      <c r="B1" s="5" t="s">
        <v>131</v>
      </c>
    </row>
    <row r="2" spans="1:7" x14ac:dyDescent="0.35">
      <c r="B2" s="5" t="s">
        <v>132</v>
      </c>
    </row>
    <row r="3" spans="1:7" x14ac:dyDescent="0.35">
      <c r="B3" s="5" t="s">
        <v>415</v>
      </c>
    </row>
    <row r="4" spans="1:7" x14ac:dyDescent="0.35">
      <c r="B4" t="s">
        <v>319</v>
      </c>
    </row>
    <row r="5" spans="1:7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</row>
    <row r="6" spans="1:7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100" t="s">
        <v>6</v>
      </c>
    </row>
    <row r="7" spans="1:7" x14ac:dyDescent="0.35">
      <c r="A7" s="84"/>
      <c r="B7" s="85"/>
      <c r="C7" s="88"/>
      <c r="D7" s="88"/>
      <c r="E7" s="88"/>
      <c r="F7" s="88"/>
      <c r="G7" s="128"/>
    </row>
    <row r="8" spans="1:7" x14ac:dyDescent="0.35">
      <c r="A8" s="91">
        <v>1</v>
      </c>
      <c r="B8" s="133" t="s">
        <v>416</v>
      </c>
      <c r="C8" s="134" t="s">
        <v>16</v>
      </c>
      <c r="D8" s="134">
        <v>35</v>
      </c>
      <c r="E8" s="134">
        <v>0</v>
      </c>
      <c r="F8" s="91">
        <f>E8-D8</f>
        <v>-35</v>
      </c>
      <c r="G8" s="102">
        <f>E8/D8*100%</f>
        <v>0</v>
      </c>
    </row>
    <row r="9" spans="1:7" x14ac:dyDescent="0.35">
      <c r="A9" s="91">
        <v>2</v>
      </c>
      <c r="B9" s="133" t="s">
        <v>417</v>
      </c>
      <c r="C9" s="134" t="s">
        <v>418</v>
      </c>
      <c r="D9" s="134">
        <v>25</v>
      </c>
      <c r="E9" s="134">
        <v>18</v>
      </c>
      <c r="F9" s="91">
        <f t="shared" ref="F9:F16" si="0">E9-D9</f>
        <v>-7</v>
      </c>
      <c r="G9" s="102">
        <f t="shared" ref="G9:G16" si="1">E9/D9*100%</f>
        <v>0.72</v>
      </c>
    </row>
    <row r="10" spans="1:7" x14ac:dyDescent="0.35">
      <c r="A10" s="91">
        <v>3</v>
      </c>
      <c r="B10" s="133" t="s">
        <v>419</v>
      </c>
      <c r="C10" s="134" t="s">
        <v>418</v>
      </c>
      <c r="D10" s="134">
        <v>25</v>
      </c>
      <c r="E10" s="134">
        <v>18</v>
      </c>
      <c r="F10" s="91">
        <f t="shared" si="0"/>
        <v>-7</v>
      </c>
      <c r="G10" s="102">
        <f t="shared" si="1"/>
        <v>0.72</v>
      </c>
    </row>
    <row r="11" spans="1:7" x14ac:dyDescent="0.35">
      <c r="A11" s="91">
        <v>4</v>
      </c>
      <c r="B11" s="133" t="s">
        <v>420</v>
      </c>
      <c r="C11" s="134" t="s">
        <v>418</v>
      </c>
      <c r="D11" s="134">
        <v>25</v>
      </c>
      <c r="E11" s="134">
        <v>21</v>
      </c>
      <c r="F11" s="91">
        <f t="shared" si="0"/>
        <v>-4</v>
      </c>
      <c r="G11" s="102">
        <f t="shared" si="1"/>
        <v>0.84</v>
      </c>
    </row>
    <row r="12" spans="1:7" x14ac:dyDescent="0.35">
      <c r="A12" s="91">
        <v>5</v>
      </c>
      <c r="B12" s="133" t="s">
        <v>421</v>
      </c>
      <c r="C12" s="134" t="s">
        <v>418</v>
      </c>
      <c r="D12" s="134">
        <v>25</v>
      </c>
      <c r="E12" s="134">
        <v>20</v>
      </c>
      <c r="F12" s="91">
        <f t="shared" si="0"/>
        <v>-5</v>
      </c>
      <c r="G12" s="102">
        <f t="shared" si="1"/>
        <v>0.8</v>
      </c>
    </row>
    <row r="13" spans="1:7" x14ac:dyDescent="0.35">
      <c r="A13" s="91">
        <v>6</v>
      </c>
      <c r="B13" s="133" t="s">
        <v>422</v>
      </c>
      <c r="C13" s="134" t="s">
        <v>418</v>
      </c>
      <c r="D13" s="134">
        <v>25</v>
      </c>
      <c r="E13" s="134">
        <v>27</v>
      </c>
      <c r="F13" s="91">
        <f t="shared" si="0"/>
        <v>2</v>
      </c>
      <c r="G13" s="102">
        <f t="shared" si="1"/>
        <v>1.08</v>
      </c>
    </row>
    <row r="14" spans="1:7" x14ac:dyDescent="0.35">
      <c r="A14" s="91">
        <v>7</v>
      </c>
      <c r="B14" s="133" t="s">
        <v>423</v>
      </c>
      <c r="C14" s="134" t="s">
        <v>418</v>
      </c>
      <c r="D14" s="134">
        <v>25</v>
      </c>
      <c r="E14" s="134">
        <v>18</v>
      </c>
      <c r="F14" s="91">
        <f t="shared" si="0"/>
        <v>-7</v>
      </c>
      <c r="G14" s="102">
        <f t="shared" si="1"/>
        <v>0.72</v>
      </c>
    </row>
    <row r="15" spans="1:7" x14ac:dyDescent="0.35">
      <c r="A15" s="91">
        <v>8</v>
      </c>
      <c r="B15" s="133" t="s">
        <v>424</v>
      </c>
      <c r="C15" s="134" t="s">
        <v>418</v>
      </c>
      <c r="D15" s="134">
        <v>25</v>
      </c>
      <c r="E15" s="134">
        <v>23</v>
      </c>
      <c r="F15" s="91">
        <f t="shared" si="0"/>
        <v>-2</v>
      </c>
      <c r="G15" s="102">
        <f t="shared" si="1"/>
        <v>0.92</v>
      </c>
    </row>
    <row r="16" spans="1:7" x14ac:dyDescent="0.35">
      <c r="A16" s="91"/>
      <c r="B16" s="91" t="s">
        <v>47</v>
      </c>
      <c r="C16" s="91"/>
      <c r="D16" s="91">
        <v>190</v>
      </c>
      <c r="E16" s="91">
        <f>SUM(E8:E15)</f>
        <v>145</v>
      </c>
      <c r="F16" s="91">
        <f t="shared" si="0"/>
        <v>-45</v>
      </c>
      <c r="G16" s="102">
        <f t="shared" si="1"/>
        <v>0.76315789473684215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CFF3-ADA1-43F0-AD52-C35A813305B6}">
  <dimension ref="A1:G15"/>
  <sheetViews>
    <sheetView workbookViewId="0">
      <selection activeCell="C5" sqref="C5:G5"/>
    </sheetView>
  </sheetViews>
  <sheetFormatPr defaultRowHeight="14.5" x14ac:dyDescent="0.35"/>
  <cols>
    <col min="1" max="1" width="5.26953125" customWidth="1"/>
    <col min="2" max="2" width="30.90625" customWidth="1"/>
    <col min="7" max="7" width="8.7265625" style="16"/>
  </cols>
  <sheetData>
    <row r="1" spans="1:7" s="132" customFormat="1" x14ac:dyDescent="0.35">
      <c r="B1" s="5" t="s">
        <v>131</v>
      </c>
      <c r="G1" s="16"/>
    </row>
    <row r="2" spans="1:7" s="132" customFormat="1" x14ac:dyDescent="0.35">
      <c r="B2" s="5" t="s">
        <v>132</v>
      </c>
      <c r="G2" s="16"/>
    </row>
    <row r="3" spans="1:7" s="132" customFormat="1" x14ac:dyDescent="0.35">
      <c r="B3" s="5" t="s">
        <v>415</v>
      </c>
      <c r="G3" s="16"/>
    </row>
    <row r="4" spans="1:7" s="132" customFormat="1" x14ac:dyDescent="0.35">
      <c r="G4" s="16"/>
    </row>
    <row r="5" spans="1:7" s="132" customFormat="1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</row>
    <row r="6" spans="1:7" s="132" customFormat="1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100" t="s">
        <v>6</v>
      </c>
    </row>
    <row r="7" spans="1:7" s="132" customFormat="1" x14ac:dyDescent="0.35">
      <c r="A7" s="84"/>
      <c r="B7" s="85"/>
      <c r="C7" s="88"/>
      <c r="D7" s="88"/>
      <c r="E7" s="88"/>
      <c r="F7" s="88"/>
      <c r="G7" s="128"/>
    </row>
    <row r="8" spans="1:7" x14ac:dyDescent="0.35">
      <c r="A8" s="91">
        <v>1</v>
      </c>
      <c r="B8" s="133" t="s">
        <v>425</v>
      </c>
      <c r="C8" s="134" t="s">
        <v>418</v>
      </c>
      <c r="D8" s="134">
        <v>25</v>
      </c>
      <c r="E8" s="134">
        <v>12</v>
      </c>
      <c r="F8" s="91">
        <f>E8-D8</f>
        <v>-13</v>
      </c>
      <c r="G8" s="102">
        <f>E8/D8*100%</f>
        <v>0.48</v>
      </c>
    </row>
    <row r="9" spans="1:7" x14ac:dyDescent="0.35">
      <c r="A9" s="91">
        <v>2</v>
      </c>
      <c r="B9" s="133" t="s">
        <v>426</v>
      </c>
      <c r="C9" s="134" t="s">
        <v>418</v>
      </c>
      <c r="D9" s="134">
        <v>25</v>
      </c>
      <c r="E9" s="134">
        <v>5</v>
      </c>
      <c r="F9" s="91">
        <f t="shared" ref="F9:F15" si="0">E9-D9</f>
        <v>-20</v>
      </c>
      <c r="G9" s="102">
        <f t="shared" ref="G9:G15" si="1">E9/D9*100%</f>
        <v>0.2</v>
      </c>
    </row>
    <row r="10" spans="1:7" x14ac:dyDescent="0.35">
      <c r="A10" s="91">
        <v>3</v>
      </c>
      <c r="B10" s="133" t="s">
        <v>427</v>
      </c>
      <c r="C10" s="134" t="s">
        <v>418</v>
      </c>
      <c r="D10" s="134">
        <v>25</v>
      </c>
      <c r="E10" s="134">
        <v>10</v>
      </c>
      <c r="F10" s="91">
        <f t="shared" si="0"/>
        <v>-15</v>
      </c>
      <c r="G10" s="102">
        <f t="shared" si="1"/>
        <v>0.4</v>
      </c>
    </row>
    <row r="11" spans="1:7" x14ac:dyDescent="0.35">
      <c r="A11" s="91">
        <v>4</v>
      </c>
      <c r="B11" s="133" t="s">
        <v>428</v>
      </c>
      <c r="C11" s="134" t="s">
        <v>418</v>
      </c>
      <c r="D11" s="134">
        <v>25</v>
      </c>
      <c r="E11" s="134">
        <v>10</v>
      </c>
      <c r="F11" s="91">
        <f t="shared" si="0"/>
        <v>-15</v>
      </c>
      <c r="G11" s="102">
        <f t="shared" si="1"/>
        <v>0.4</v>
      </c>
    </row>
    <row r="12" spans="1:7" x14ac:dyDescent="0.35">
      <c r="A12" s="91">
        <v>5</v>
      </c>
      <c r="B12" s="133" t="s">
        <v>429</v>
      </c>
      <c r="C12" s="134" t="s">
        <v>418</v>
      </c>
      <c r="D12" s="134">
        <v>25</v>
      </c>
      <c r="E12" s="134">
        <v>13</v>
      </c>
      <c r="F12" s="91">
        <f t="shared" si="0"/>
        <v>-12</v>
      </c>
      <c r="G12" s="102">
        <f t="shared" si="1"/>
        <v>0.52</v>
      </c>
    </row>
    <row r="13" spans="1:7" x14ac:dyDescent="0.35">
      <c r="A13" s="91">
        <v>6</v>
      </c>
      <c r="B13" s="133" t="s">
        <v>430</v>
      </c>
      <c r="C13" s="134" t="s">
        <v>418</v>
      </c>
      <c r="D13" s="134">
        <v>25</v>
      </c>
      <c r="E13" s="134">
        <v>3</v>
      </c>
      <c r="F13" s="91">
        <f t="shared" si="0"/>
        <v>-22</v>
      </c>
      <c r="G13" s="102">
        <f t="shared" si="1"/>
        <v>0.12</v>
      </c>
    </row>
    <row r="14" spans="1:7" x14ac:dyDescent="0.35">
      <c r="A14" s="91">
        <v>7</v>
      </c>
      <c r="B14" s="133" t="s">
        <v>431</v>
      </c>
      <c r="C14" s="134" t="s">
        <v>418</v>
      </c>
      <c r="D14" s="134">
        <v>25</v>
      </c>
      <c r="E14" s="134">
        <v>0</v>
      </c>
      <c r="F14" s="91">
        <f t="shared" si="0"/>
        <v>-25</v>
      </c>
      <c r="G14" s="102">
        <f t="shared" si="1"/>
        <v>0</v>
      </c>
    </row>
    <row r="15" spans="1:7" x14ac:dyDescent="0.35">
      <c r="A15" s="91"/>
      <c r="B15" s="91" t="s">
        <v>47</v>
      </c>
      <c r="C15" s="91"/>
      <c r="D15" s="91">
        <v>175</v>
      </c>
      <c r="E15" s="91">
        <f>SUM(E8:E14)</f>
        <v>53</v>
      </c>
      <c r="F15" s="91">
        <f t="shared" si="0"/>
        <v>-122</v>
      </c>
      <c r="G15" s="102">
        <f t="shared" si="1"/>
        <v>0.30285714285714288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7E2F-871B-4C89-8791-4794338255A0}">
  <dimension ref="A1:G13"/>
  <sheetViews>
    <sheetView workbookViewId="0">
      <selection activeCell="C5" sqref="C5:G5"/>
    </sheetView>
  </sheetViews>
  <sheetFormatPr defaultRowHeight="14.5" x14ac:dyDescent="0.35"/>
  <cols>
    <col min="1" max="1" width="4.54296875" customWidth="1"/>
    <col min="2" max="2" width="32.453125" customWidth="1"/>
    <col min="7" max="7" width="8.7265625" style="16"/>
  </cols>
  <sheetData>
    <row r="1" spans="1:7" x14ac:dyDescent="0.35">
      <c r="A1" s="135"/>
      <c r="B1" s="5" t="s">
        <v>131</v>
      </c>
      <c r="C1" s="135"/>
      <c r="D1" s="135"/>
      <c r="E1" s="135"/>
      <c r="F1" s="135"/>
    </row>
    <row r="2" spans="1:7" x14ac:dyDescent="0.35">
      <c r="A2" s="135"/>
      <c r="B2" s="5" t="s">
        <v>132</v>
      </c>
      <c r="C2" s="135"/>
      <c r="D2" s="135"/>
      <c r="E2" s="135"/>
      <c r="F2" s="135"/>
    </row>
    <row r="3" spans="1:7" x14ac:dyDescent="0.35">
      <c r="A3" s="135"/>
      <c r="B3" s="5" t="s">
        <v>415</v>
      </c>
      <c r="C3" s="135"/>
      <c r="D3" s="135"/>
      <c r="E3" s="135"/>
      <c r="F3" s="135"/>
    </row>
    <row r="4" spans="1:7" x14ac:dyDescent="0.35">
      <c r="A4" s="135"/>
      <c r="B4" s="135"/>
      <c r="C4" s="135"/>
      <c r="D4" s="135"/>
      <c r="E4" s="135"/>
      <c r="F4" s="135"/>
    </row>
    <row r="5" spans="1:7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</row>
    <row r="6" spans="1:7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100" t="s">
        <v>6</v>
      </c>
    </row>
    <row r="7" spans="1:7" x14ac:dyDescent="0.35">
      <c r="A7" s="84"/>
      <c r="B7" s="85"/>
      <c r="C7" s="88"/>
      <c r="D7" s="88"/>
      <c r="E7" s="88"/>
      <c r="F7" s="88"/>
      <c r="G7" s="128"/>
    </row>
    <row r="8" spans="1:7" x14ac:dyDescent="0.35">
      <c r="A8" s="91">
        <v>1</v>
      </c>
      <c r="B8" s="133" t="s">
        <v>432</v>
      </c>
      <c r="C8" s="134" t="s">
        <v>16</v>
      </c>
      <c r="D8" s="134">
        <v>35</v>
      </c>
      <c r="E8" s="134">
        <v>1</v>
      </c>
      <c r="F8" s="91">
        <f>E8-D8</f>
        <v>-34</v>
      </c>
      <c r="G8" s="102">
        <f>E8/D8*100%</f>
        <v>2.8571428571428571E-2</v>
      </c>
    </row>
    <row r="9" spans="1:7" x14ac:dyDescent="0.35">
      <c r="A9" s="91">
        <v>2</v>
      </c>
      <c r="B9" s="133" t="s">
        <v>433</v>
      </c>
      <c r="C9" s="134" t="s">
        <v>418</v>
      </c>
      <c r="D9" s="134">
        <v>25</v>
      </c>
      <c r="E9" s="134">
        <v>1</v>
      </c>
      <c r="F9" s="91">
        <f t="shared" ref="F9:F13" si="0">E9-D9</f>
        <v>-24</v>
      </c>
      <c r="G9" s="102">
        <f t="shared" ref="G9:G13" si="1">E9/D9*100%</f>
        <v>0.04</v>
      </c>
    </row>
    <row r="10" spans="1:7" x14ac:dyDescent="0.35">
      <c r="A10" s="91">
        <v>3</v>
      </c>
      <c r="B10" s="133" t="s">
        <v>434</v>
      </c>
      <c r="C10" s="134" t="s">
        <v>418</v>
      </c>
      <c r="D10" s="134">
        <v>25</v>
      </c>
      <c r="E10" s="134">
        <v>0</v>
      </c>
      <c r="F10" s="91">
        <f t="shared" si="0"/>
        <v>-25</v>
      </c>
      <c r="G10" s="102">
        <f t="shared" si="1"/>
        <v>0</v>
      </c>
    </row>
    <row r="11" spans="1:7" x14ac:dyDescent="0.35">
      <c r="A11" s="91">
        <v>4</v>
      </c>
      <c r="B11" s="133" t="s">
        <v>435</v>
      </c>
      <c r="C11" s="134" t="s">
        <v>418</v>
      </c>
      <c r="D11" s="134">
        <v>25</v>
      </c>
      <c r="E11" s="134">
        <v>1</v>
      </c>
      <c r="F11" s="91">
        <f t="shared" si="0"/>
        <v>-24</v>
      </c>
      <c r="G11" s="102">
        <f t="shared" si="1"/>
        <v>0.04</v>
      </c>
    </row>
    <row r="12" spans="1:7" x14ac:dyDescent="0.35">
      <c r="A12" s="91">
        <v>5</v>
      </c>
      <c r="B12" s="133" t="s">
        <v>436</v>
      </c>
      <c r="C12" s="134" t="s">
        <v>418</v>
      </c>
      <c r="D12" s="134">
        <v>25</v>
      </c>
      <c r="E12" s="134">
        <v>1</v>
      </c>
      <c r="F12" s="91">
        <f t="shared" si="0"/>
        <v>-24</v>
      </c>
      <c r="G12" s="102">
        <f t="shared" si="1"/>
        <v>0.04</v>
      </c>
    </row>
    <row r="13" spans="1:7" x14ac:dyDescent="0.35">
      <c r="A13" s="91"/>
      <c r="B13" s="91" t="s">
        <v>47</v>
      </c>
      <c r="C13" s="91"/>
      <c r="D13" s="91">
        <v>150</v>
      </c>
      <c r="E13" s="91">
        <f>SUM(E8:E12)</f>
        <v>4</v>
      </c>
      <c r="F13" s="91">
        <f t="shared" si="0"/>
        <v>-146</v>
      </c>
      <c r="G13" s="102">
        <f t="shared" si="1"/>
        <v>2.6666666666666668E-2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DBAA-4C39-40E4-B2ED-EA30DAF63CC5}">
  <dimension ref="A1:M21"/>
  <sheetViews>
    <sheetView workbookViewId="0">
      <selection activeCell="C5" sqref="C5:G5"/>
    </sheetView>
  </sheetViews>
  <sheetFormatPr defaultRowHeight="14.5" x14ac:dyDescent="0.35"/>
  <cols>
    <col min="1" max="1" width="6.08984375" customWidth="1"/>
    <col min="2" max="2" width="34.08984375" customWidth="1"/>
    <col min="7" max="7" width="8.7265625" style="16"/>
    <col min="9" max="9" width="3.90625" customWidth="1"/>
    <col min="10" max="10" width="23.26953125" customWidth="1"/>
    <col min="13" max="13" width="8.7265625" style="16"/>
  </cols>
  <sheetData>
    <row r="1" spans="1:13" x14ac:dyDescent="0.35">
      <c r="A1" s="136"/>
      <c r="B1" s="5" t="s">
        <v>131</v>
      </c>
      <c r="C1" s="136"/>
      <c r="D1" s="136"/>
      <c r="E1" s="136"/>
      <c r="F1" s="136"/>
    </row>
    <row r="2" spans="1:13" x14ac:dyDescent="0.35">
      <c r="A2" s="136"/>
      <c r="B2" s="5" t="s">
        <v>132</v>
      </c>
      <c r="C2" s="136"/>
      <c r="D2" s="136"/>
      <c r="E2" s="136"/>
      <c r="F2" s="136"/>
    </row>
    <row r="3" spans="1:13" x14ac:dyDescent="0.35">
      <c r="A3" s="136"/>
      <c r="B3" s="5" t="s">
        <v>415</v>
      </c>
      <c r="C3" s="136"/>
      <c r="D3" s="136"/>
      <c r="E3" s="136"/>
      <c r="F3" s="136"/>
    </row>
    <row r="4" spans="1:13" x14ac:dyDescent="0.35">
      <c r="A4" s="136"/>
      <c r="B4" s="136"/>
      <c r="C4" s="136"/>
      <c r="D4" s="136"/>
      <c r="E4" s="136"/>
      <c r="F4" s="136"/>
    </row>
    <row r="5" spans="1:13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  <c r="I5" s="1" t="s">
        <v>0</v>
      </c>
      <c r="J5" s="1" t="s">
        <v>2</v>
      </c>
      <c r="K5" s="1" t="s">
        <v>4</v>
      </c>
      <c r="L5" s="1" t="s">
        <v>5</v>
      </c>
      <c r="M5" s="2" t="s">
        <v>6</v>
      </c>
    </row>
    <row r="6" spans="1:13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100" t="s">
        <v>6</v>
      </c>
      <c r="I6" s="138"/>
      <c r="J6" s="138" t="s">
        <v>450</v>
      </c>
      <c r="K6" s="138">
        <v>150</v>
      </c>
      <c r="L6" s="138">
        <v>70</v>
      </c>
      <c r="M6" s="17">
        <f>L6/K6*100%</f>
        <v>0.46666666666666667</v>
      </c>
    </row>
    <row r="7" spans="1:13" x14ac:dyDescent="0.35">
      <c r="A7" s="84"/>
      <c r="B7" s="85"/>
      <c r="C7" s="88"/>
      <c r="D7" s="88"/>
      <c r="E7" s="88"/>
      <c r="F7" s="88"/>
      <c r="G7" s="128"/>
      <c r="I7" s="138"/>
      <c r="J7" s="138" t="s">
        <v>451</v>
      </c>
      <c r="K7" s="138">
        <v>190</v>
      </c>
      <c r="L7" s="138">
        <v>63</v>
      </c>
      <c r="M7" s="17">
        <f>L7/K7*100%</f>
        <v>0.33157894736842103</v>
      </c>
    </row>
    <row r="8" spans="1:13" x14ac:dyDescent="0.35">
      <c r="A8" s="91">
        <v>1</v>
      </c>
      <c r="B8" s="133" t="s">
        <v>437</v>
      </c>
      <c r="C8" s="134" t="s">
        <v>16</v>
      </c>
      <c r="D8" s="134">
        <v>35</v>
      </c>
      <c r="E8" s="134">
        <v>0</v>
      </c>
      <c r="F8" s="91">
        <f>E8-D8</f>
        <v>-35</v>
      </c>
      <c r="G8" s="102">
        <f>E8/D8*100%</f>
        <v>0</v>
      </c>
    </row>
    <row r="9" spans="1:13" x14ac:dyDescent="0.35">
      <c r="A9" s="91">
        <v>2</v>
      </c>
      <c r="B9" s="133" t="s">
        <v>438</v>
      </c>
      <c r="C9" s="134" t="s">
        <v>418</v>
      </c>
      <c r="D9" s="134">
        <v>25</v>
      </c>
      <c r="E9" s="134">
        <v>41</v>
      </c>
      <c r="F9" s="91">
        <f t="shared" ref="F9:F21" si="0">E9-D9</f>
        <v>16</v>
      </c>
      <c r="G9" s="102">
        <f t="shared" ref="G9:G21" si="1">E9/D9*100%</f>
        <v>1.64</v>
      </c>
    </row>
    <row r="10" spans="1:13" x14ac:dyDescent="0.35">
      <c r="A10" s="91">
        <v>3</v>
      </c>
      <c r="B10" s="133" t="s">
        <v>439</v>
      </c>
      <c r="C10" s="134" t="s">
        <v>418</v>
      </c>
      <c r="D10" s="134">
        <v>25</v>
      </c>
      <c r="E10" s="134">
        <v>12</v>
      </c>
      <c r="F10" s="91">
        <f t="shared" si="0"/>
        <v>-13</v>
      </c>
      <c r="G10" s="102">
        <f t="shared" si="1"/>
        <v>0.48</v>
      </c>
    </row>
    <row r="11" spans="1:13" x14ac:dyDescent="0.35">
      <c r="A11" s="91">
        <v>4</v>
      </c>
      <c r="B11" s="133" t="s">
        <v>440</v>
      </c>
      <c r="C11" s="134" t="s">
        <v>418</v>
      </c>
      <c r="D11" s="134">
        <v>25</v>
      </c>
      <c r="E11" s="134">
        <v>8</v>
      </c>
      <c r="F11" s="91">
        <f t="shared" si="0"/>
        <v>-17</v>
      </c>
      <c r="G11" s="102">
        <f t="shared" si="1"/>
        <v>0.32</v>
      </c>
    </row>
    <row r="12" spans="1:13" x14ac:dyDescent="0.35">
      <c r="A12" s="91">
        <v>5</v>
      </c>
      <c r="B12" s="133" t="s">
        <v>441</v>
      </c>
      <c r="C12" s="134" t="s">
        <v>418</v>
      </c>
      <c r="D12" s="134">
        <v>25</v>
      </c>
      <c r="E12" s="134">
        <v>9</v>
      </c>
      <c r="F12" s="91">
        <f t="shared" si="0"/>
        <v>-16</v>
      </c>
      <c r="G12" s="102">
        <f t="shared" si="1"/>
        <v>0.36</v>
      </c>
    </row>
    <row r="13" spans="1:13" x14ac:dyDescent="0.35">
      <c r="A13" s="91">
        <v>6</v>
      </c>
      <c r="B13" s="133" t="s">
        <v>442</v>
      </c>
      <c r="C13" s="134" t="s">
        <v>418</v>
      </c>
      <c r="D13" s="134">
        <v>25</v>
      </c>
      <c r="E13" s="134">
        <v>0</v>
      </c>
      <c r="F13" s="91">
        <f t="shared" si="0"/>
        <v>-25</v>
      </c>
      <c r="G13" s="102">
        <f t="shared" si="1"/>
        <v>0</v>
      </c>
    </row>
    <row r="14" spans="1:13" x14ac:dyDescent="0.35">
      <c r="A14" s="91">
        <v>7</v>
      </c>
      <c r="B14" s="133" t="s">
        <v>443</v>
      </c>
      <c r="C14" s="134" t="s">
        <v>16</v>
      </c>
      <c r="D14" s="134">
        <v>35</v>
      </c>
      <c r="E14" s="134">
        <v>0</v>
      </c>
      <c r="F14" s="91">
        <f t="shared" si="0"/>
        <v>-35</v>
      </c>
      <c r="G14" s="102">
        <f t="shared" si="1"/>
        <v>0</v>
      </c>
    </row>
    <row r="15" spans="1:13" x14ac:dyDescent="0.35">
      <c r="A15" s="91">
        <v>8</v>
      </c>
      <c r="B15" s="133" t="s">
        <v>444</v>
      </c>
      <c r="C15" s="134" t="s">
        <v>418</v>
      </c>
      <c r="D15" s="134">
        <v>25</v>
      </c>
      <c r="E15" s="134">
        <v>16</v>
      </c>
      <c r="F15" s="91">
        <f t="shared" si="0"/>
        <v>-9</v>
      </c>
      <c r="G15" s="102">
        <f t="shared" si="1"/>
        <v>0.64</v>
      </c>
    </row>
    <row r="16" spans="1:13" x14ac:dyDescent="0.35">
      <c r="A16" s="91">
        <v>9</v>
      </c>
      <c r="B16" s="133" t="s">
        <v>445</v>
      </c>
      <c r="C16" s="134" t="s">
        <v>418</v>
      </c>
      <c r="D16" s="134">
        <v>25</v>
      </c>
      <c r="E16" s="134">
        <v>23</v>
      </c>
      <c r="F16" s="91">
        <f t="shared" si="0"/>
        <v>-2</v>
      </c>
      <c r="G16" s="102">
        <f t="shared" si="1"/>
        <v>0.92</v>
      </c>
    </row>
    <row r="17" spans="1:7" x14ac:dyDescent="0.35">
      <c r="A17" s="91">
        <v>10</v>
      </c>
      <c r="B17" s="133" t="s">
        <v>446</v>
      </c>
      <c r="C17" s="134" t="s">
        <v>418</v>
      </c>
      <c r="D17" s="134">
        <v>25</v>
      </c>
      <c r="E17" s="134">
        <v>5</v>
      </c>
      <c r="F17" s="91">
        <f t="shared" si="0"/>
        <v>-20</v>
      </c>
      <c r="G17" s="102">
        <f t="shared" si="1"/>
        <v>0.2</v>
      </c>
    </row>
    <row r="18" spans="1:7" x14ac:dyDescent="0.35">
      <c r="A18" s="91">
        <v>11</v>
      </c>
      <c r="B18" s="133" t="s">
        <v>447</v>
      </c>
      <c r="C18" s="134" t="s">
        <v>418</v>
      </c>
      <c r="D18" s="134">
        <v>25</v>
      </c>
      <c r="E18" s="134">
        <v>4</v>
      </c>
      <c r="F18" s="91">
        <f t="shared" si="0"/>
        <v>-21</v>
      </c>
      <c r="G18" s="102">
        <f t="shared" si="1"/>
        <v>0.16</v>
      </c>
    </row>
    <row r="19" spans="1:7" x14ac:dyDescent="0.35">
      <c r="A19" s="91">
        <v>12</v>
      </c>
      <c r="B19" s="133" t="s">
        <v>448</v>
      </c>
      <c r="C19" s="134" t="s">
        <v>418</v>
      </c>
      <c r="D19" s="134">
        <v>25</v>
      </c>
      <c r="E19" s="134">
        <v>14</v>
      </c>
      <c r="F19" s="91">
        <f t="shared" si="0"/>
        <v>-11</v>
      </c>
      <c r="G19" s="102">
        <f t="shared" si="1"/>
        <v>0.56000000000000005</v>
      </c>
    </row>
    <row r="20" spans="1:7" x14ac:dyDescent="0.35">
      <c r="A20" s="91">
        <v>13</v>
      </c>
      <c r="B20" s="133" t="s">
        <v>449</v>
      </c>
      <c r="C20" s="134" t="s">
        <v>418</v>
      </c>
      <c r="D20" s="134">
        <v>25</v>
      </c>
      <c r="E20" s="134">
        <v>1</v>
      </c>
      <c r="F20" s="91">
        <f t="shared" si="0"/>
        <v>-24</v>
      </c>
      <c r="G20" s="102">
        <f t="shared" si="1"/>
        <v>0.04</v>
      </c>
    </row>
    <row r="21" spans="1:7" x14ac:dyDescent="0.35">
      <c r="A21" s="91"/>
      <c r="B21" s="91" t="s">
        <v>47</v>
      </c>
      <c r="C21" s="91"/>
      <c r="D21" s="91">
        <v>340</v>
      </c>
      <c r="E21" s="91">
        <f>SUM(E8:E20)</f>
        <v>133</v>
      </c>
      <c r="F21" s="91">
        <f t="shared" si="0"/>
        <v>-207</v>
      </c>
      <c r="G21" s="102">
        <f t="shared" si="1"/>
        <v>0.39117647058823529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825C-13E6-461F-8568-350EEE06059E}">
  <dimension ref="A1:M31"/>
  <sheetViews>
    <sheetView workbookViewId="0">
      <selection activeCell="C4" sqref="C4:G4"/>
    </sheetView>
  </sheetViews>
  <sheetFormatPr defaultRowHeight="14.5" x14ac:dyDescent="0.35"/>
  <cols>
    <col min="1" max="1" width="4.81640625" customWidth="1"/>
    <col min="2" max="2" width="31" customWidth="1"/>
    <col min="7" max="7" width="8.7265625" style="16"/>
    <col min="9" max="9" width="4.7265625" customWidth="1"/>
    <col min="10" max="10" width="21.08984375" customWidth="1"/>
    <col min="11" max="11" width="7.453125" customWidth="1"/>
  </cols>
  <sheetData>
    <row r="1" spans="1:13" x14ac:dyDescent="0.35">
      <c r="B1" s="5" t="s">
        <v>131</v>
      </c>
    </row>
    <row r="2" spans="1:13" x14ac:dyDescent="0.35">
      <c r="B2" s="5" t="s">
        <v>273</v>
      </c>
    </row>
    <row r="3" spans="1:13" x14ac:dyDescent="0.35">
      <c r="B3" s="5" t="s">
        <v>302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299</v>
      </c>
      <c r="K5" s="18">
        <v>190</v>
      </c>
      <c r="L5" s="18">
        <v>120</v>
      </c>
      <c r="M5" s="29">
        <f>L5/K5*100%</f>
        <v>0.63157894736842102</v>
      </c>
    </row>
    <row r="6" spans="1:13" x14ac:dyDescent="0.35">
      <c r="A6" s="78"/>
      <c r="B6" s="79"/>
      <c r="C6" s="81"/>
      <c r="D6" s="81"/>
      <c r="E6" s="81"/>
      <c r="F6" s="81"/>
      <c r="G6" s="101"/>
      <c r="I6" s="18">
        <v>2</v>
      </c>
      <c r="J6" s="18" t="s">
        <v>301</v>
      </c>
      <c r="K6" s="18">
        <v>190</v>
      </c>
      <c r="L6" s="18">
        <v>143</v>
      </c>
      <c r="M6" s="29">
        <f t="shared" ref="M6:M8" si="0">L6/K6*100%</f>
        <v>0.75263157894736843</v>
      </c>
    </row>
    <row r="7" spans="1:13" x14ac:dyDescent="0.35">
      <c r="A7" s="91">
        <v>1</v>
      </c>
      <c r="B7" s="92" t="s">
        <v>275</v>
      </c>
      <c r="C7" s="93" t="s">
        <v>16</v>
      </c>
      <c r="D7" s="93">
        <v>35</v>
      </c>
      <c r="E7" s="94">
        <v>0</v>
      </c>
      <c r="F7" s="91">
        <f>E7-D7</f>
        <v>-35</v>
      </c>
      <c r="G7" s="102">
        <f>E7/D7*100%</f>
        <v>0</v>
      </c>
      <c r="I7" s="18">
        <v>3</v>
      </c>
      <c r="J7" s="18" t="s">
        <v>300</v>
      </c>
      <c r="K7" s="18">
        <v>190</v>
      </c>
      <c r="L7" s="18">
        <v>137</v>
      </c>
      <c r="M7" s="29">
        <f t="shared" si="0"/>
        <v>0.72105263157894739</v>
      </c>
    </row>
    <row r="8" spans="1:13" x14ac:dyDescent="0.35">
      <c r="A8" s="91">
        <v>2</v>
      </c>
      <c r="B8" s="95" t="s">
        <v>276</v>
      </c>
      <c r="C8" s="96" t="s">
        <v>18</v>
      </c>
      <c r="D8" s="96">
        <v>25</v>
      </c>
      <c r="E8" s="97">
        <v>37</v>
      </c>
      <c r="F8" s="91">
        <f t="shared" ref="F8:F31" si="1">E8-D8</f>
        <v>12</v>
      </c>
      <c r="G8" s="102">
        <f t="shared" ref="G8:G31" si="2">E8/D8*100%</f>
        <v>1.48</v>
      </c>
      <c r="I8" s="18"/>
      <c r="J8" s="18"/>
      <c r="K8" s="18"/>
      <c r="L8" s="18"/>
      <c r="M8" s="29"/>
    </row>
    <row r="9" spans="1:13" x14ac:dyDescent="0.35">
      <c r="A9" s="91">
        <v>3</v>
      </c>
      <c r="B9" s="92" t="s">
        <v>277</v>
      </c>
      <c r="C9" s="96" t="s">
        <v>18</v>
      </c>
      <c r="D9" s="96">
        <v>25</v>
      </c>
      <c r="E9" s="97">
        <v>21</v>
      </c>
      <c r="F9" s="91">
        <f t="shared" si="1"/>
        <v>-4</v>
      </c>
      <c r="G9" s="102">
        <f t="shared" si="2"/>
        <v>0.84</v>
      </c>
    </row>
    <row r="10" spans="1:13" x14ac:dyDescent="0.35">
      <c r="A10" s="91">
        <v>4</v>
      </c>
      <c r="B10" s="95" t="s">
        <v>278</v>
      </c>
      <c r="C10" s="96" t="s">
        <v>18</v>
      </c>
      <c r="D10" s="96">
        <v>25</v>
      </c>
      <c r="E10" s="97">
        <v>20</v>
      </c>
      <c r="F10" s="91">
        <f t="shared" si="1"/>
        <v>-5</v>
      </c>
      <c r="G10" s="102">
        <f t="shared" si="2"/>
        <v>0.8</v>
      </c>
    </row>
    <row r="11" spans="1:13" x14ac:dyDescent="0.35">
      <c r="A11" s="91">
        <v>5</v>
      </c>
      <c r="B11" s="92" t="s">
        <v>279</v>
      </c>
      <c r="C11" s="96" t="s">
        <v>18</v>
      </c>
      <c r="D11" s="96">
        <v>25</v>
      </c>
      <c r="E11" s="94">
        <v>12</v>
      </c>
      <c r="F11" s="91">
        <f t="shared" si="1"/>
        <v>-13</v>
      </c>
      <c r="G11" s="102">
        <f t="shared" si="2"/>
        <v>0.48</v>
      </c>
    </row>
    <row r="12" spans="1:13" x14ac:dyDescent="0.35">
      <c r="A12" s="91">
        <v>6</v>
      </c>
      <c r="B12" s="98" t="s">
        <v>280</v>
      </c>
      <c r="C12" s="96" t="s">
        <v>18</v>
      </c>
      <c r="D12" s="96">
        <v>25</v>
      </c>
      <c r="E12" s="99">
        <v>15</v>
      </c>
      <c r="F12" s="91">
        <f t="shared" si="1"/>
        <v>-10</v>
      </c>
      <c r="G12" s="102">
        <f t="shared" si="2"/>
        <v>0.6</v>
      </c>
    </row>
    <row r="13" spans="1:13" x14ac:dyDescent="0.35">
      <c r="A13" s="91">
        <v>7</v>
      </c>
      <c r="B13" s="92" t="s">
        <v>281</v>
      </c>
      <c r="C13" s="96" t="s">
        <v>18</v>
      </c>
      <c r="D13" s="96">
        <v>25</v>
      </c>
      <c r="E13" s="94">
        <v>10</v>
      </c>
      <c r="F13" s="91">
        <f t="shared" si="1"/>
        <v>-15</v>
      </c>
      <c r="G13" s="102">
        <f t="shared" si="2"/>
        <v>0.4</v>
      </c>
    </row>
    <row r="14" spans="1:13" x14ac:dyDescent="0.35">
      <c r="A14" s="91">
        <v>8</v>
      </c>
      <c r="B14" s="95" t="s">
        <v>282</v>
      </c>
      <c r="C14" s="96" t="s">
        <v>18</v>
      </c>
      <c r="D14" s="96">
        <v>25</v>
      </c>
      <c r="E14" s="94">
        <v>4</v>
      </c>
      <c r="F14" s="91">
        <f t="shared" si="1"/>
        <v>-21</v>
      </c>
      <c r="G14" s="102">
        <f t="shared" si="2"/>
        <v>0.16</v>
      </c>
    </row>
    <row r="15" spans="1:13" x14ac:dyDescent="0.35">
      <c r="A15" s="91">
        <v>9</v>
      </c>
      <c r="B15" s="92" t="s">
        <v>283</v>
      </c>
      <c r="C15" s="93" t="s">
        <v>16</v>
      </c>
      <c r="D15" s="93">
        <v>35</v>
      </c>
      <c r="E15" s="94">
        <v>0</v>
      </c>
      <c r="F15" s="91">
        <f t="shared" si="1"/>
        <v>-35</v>
      </c>
      <c r="G15" s="102">
        <f t="shared" si="2"/>
        <v>0</v>
      </c>
    </row>
    <row r="16" spans="1:13" x14ac:dyDescent="0.35">
      <c r="A16" s="91">
        <v>10</v>
      </c>
      <c r="B16" s="95" t="s">
        <v>284</v>
      </c>
      <c r="C16" s="96" t="s">
        <v>18</v>
      </c>
      <c r="D16" s="96">
        <v>25</v>
      </c>
      <c r="E16" s="97">
        <v>31</v>
      </c>
      <c r="F16" s="91">
        <f t="shared" si="1"/>
        <v>6</v>
      </c>
      <c r="G16" s="102">
        <f t="shared" si="2"/>
        <v>1.24</v>
      </c>
    </row>
    <row r="17" spans="1:7" x14ac:dyDescent="0.35">
      <c r="A17" s="91">
        <v>11</v>
      </c>
      <c r="B17" s="92" t="s">
        <v>285</v>
      </c>
      <c r="C17" s="96" t="s">
        <v>18</v>
      </c>
      <c r="D17" s="96">
        <v>25</v>
      </c>
      <c r="E17" s="97">
        <v>23</v>
      </c>
      <c r="F17" s="91">
        <f t="shared" si="1"/>
        <v>-2</v>
      </c>
      <c r="G17" s="102">
        <f t="shared" si="2"/>
        <v>0.92</v>
      </c>
    </row>
    <row r="18" spans="1:7" x14ac:dyDescent="0.35">
      <c r="A18" s="91">
        <v>12</v>
      </c>
      <c r="B18" s="98" t="s">
        <v>286</v>
      </c>
      <c r="C18" s="96" t="s">
        <v>18</v>
      </c>
      <c r="D18" s="96">
        <v>25</v>
      </c>
      <c r="E18" s="97">
        <v>26</v>
      </c>
      <c r="F18" s="91">
        <f t="shared" si="1"/>
        <v>1</v>
      </c>
      <c r="G18" s="102">
        <f t="shared" si="2"/>
        <v>1.04</v>
      </c>
    </row>
    <row r="19" spans="1:7" x14ac:dyDescent="0.35">
      <c r="A19" s="91">
        <v>13</v>
      </c>
      <c r="B19" s="92" t="s">
        <v>287</v>
      </c>
      <c r="C19" s="96" t="s">
        <v>18</v>
      </c>
      <c r="D19" s="96">
        <v>25</v>
      </c>
      <c r="E19" s="97">
        <v>18</v>
      </c>
      <c r="F19" s="91">
        <f t="shared" si="1"/>
        <v>-7</v>
      </c>
      <c r="G19" s="102">
        <f t="shared" si="2"/>
        <v>0.72</v>
      </c>
    </row>
    <row r="20" spans="1:7" x14ac:dyDescent="0.35">
      <c r="A20" s="91">
        <v>14</v>
      </c>
      <c r="B20" s="98" t="s">
        <v>288</v>
      </c>
      <c r="C20" s="96" t="s">
        <v>18</v>
      </c>
      <c r="D20" s="96">
        <v>25</v>
      </c>
      <c r="E20" s="97">
        <v>18</v>
      </c>
      <c r="F20" s="91">
        <f t="shared" si="1"/>
        <v>-7</v>
      </c>
      <c r="G20" s="102">
        <f t="shared" si="2"/>
        <v>0.72</v>
      </c>
    </row>
    <row r="21" spans="1:7" x14ac:dyDescent="0.35">
      <c r="A21" s="91">
        <v>15</v>
      </c>
      <c r="B21" s="92" t="s">
        <v>289</v>
      </c>
      <c r="C21" s="96" t="s">
        <v>18</v>
      </c>
      <c r="D21" s="96">
        <v>25</v>
      </c>
      <c r="E21" s="97">
        <v>24</v>
      </c>
      <c r="F21" s="91">
        <f t="shared" si="1"/>
        <v>-1</v>
      </c>
      <c r="G21" s="102">
        <f t="shared" si="2"/>
        <v>0.96</v>
      </c>
    </row>
    <row r="22" spans="1:7" x14ac:dyDescent="0.35">
      <c r="A22" s="91">
        <v>16</v>
      </c>
      <c r="B22" s="95" t="s">
        <v>290</v>
      </c>
      <c r="C22" s="96" t="s">
        <v>18</v>
      </c>
      <c r="D22" s="96">
        <v>25</v>
      </c>
      <c r="E22" s="94">
        <v>3</v>
      </c>
      <c r="F22" s="91">
        <f t="shared" si="1"/>
        <v>-22</v>
      </c>
      <c r="G22" s="102">
        <f t="shared" si="2"/>
        <v>0.12</v>
      </c>
    </row>
    <row r="23" spans="1:7" x14ac:dyDescent="0.35">
      <c r="A23" s="91">
        <v>17</v>
      </c>
      <c r="B23" s="92" t="s">
        <v>291</v>
      </c>
      <c r="C23" s="93" t="s">
        <v>16</v>
      </c>
      <c r="D23" s="93">
        <v>35</v>
      </c>
      <c r="E23" s="94">
        <v>0</v>
      </c>
      <c r="F23" s="91">
        <f t="shared" si="1"/>
        <v>-35</v>
      </c>
      <c r="G23" s="102">
        <f t="shared" si="2"/>
        <v>0</v>
      </c>
    </row>
    <row r="24" spans="1:7" x14ac:dyDescent="0.35">
      <c r="A24" s="91">
        <v>18</v>
      </c>
      <c r="B24" s="95" t="s">
        <v>292</v>
      </c>
      <c r="C24" s="96" t="s">
        <v>18</v>
      </c>
      <c r="D24" s="96">
        <v>25</v>
      </c>
      <c r="E24" s="97">
        <v>38</v>
      </c>
      <c r="F24" s="91">
        <f t="shared" si="1"/>
        <v>13</v>
      </c>
      <c r="G24" s="102">
        <f t="shared" si="2"/>
        <v>1.52</v>
      </c>
    </row>
    <row r="25" spans="1:7" x14ac:dyDescent="0.35">
      <c r="A25" s="91">
        <v>19</v>
      </c>
      <c r="B25" s="92" t="s">
        <v>293</v>
      </c>
      <c r="C25" s="96" t="s">
        <v>18</v>
      </c>
      <c r="D25" s="96">
        <v>25</v>
      </c>
      <c r="E25" s="97">
        <v>30</v>
      </c>
      <c r="F25" s="91">
        <f t="shared" si="1"/>
        <v>5</v>
      </c>
      <c r="G25" s="102">
        <f t="shared" si="2"/>
        <v>1.2</v>
      </c>
    </row>
    <row r="26" spans="1:7" x14ac:dyDescent="0.35">
      <c r="A26" s="91">
        <v>20</v>
      </c>
      <c r="B26" s="98" t="s">
        <v>294</v>
      </c>
      <c r="C26" s="96" t="s">
        <v>18</v>
      </c>
      <c r="D26" s="96">
        <v>25</v>
      </c>
      <c r="E26" s="97">
        <v>33</v>
      </c>
      <c r="F26" s="91">
        <f t="shared" si="1"/>
        <v>8</v>
      </c>
      <c r="G26" s="102">
        <f t="shared" si="2"/>
        <v>1.32</v>
      </c>
    </row>
    <row r="27" spans="1:7" x14ac:dyDescent="0.35">
      <c r="A27" s="91">
        <v>21</v>
      </c>
      <c r="B27" s="92" t="s">
        <v>295</v>
      </c>
      <c r="C27" s="96" t="s">
        <v>18</v>
      </c>
      <c r="D27" s="96">
        <v>25</v>
      </c>
      <c r="E27" s="94">
        <v>9</v>
      </c>
      <c r="F27" s="91">
        <f t="shared" si="1"/>
        <v>-16</v>
      </c>
      <c r="G27" s="102">
        <f t="shared" si="2"/>
        <v>0.36</v>
      </c>
    </row>
    <row r="28" spans="1:7" x14ac:dyDescent="0.35">
      <c r="A28" s="91">
        <v>22</v>
      </c>
      <c r="B28" s="98" t="s">
        <v>296</v>
      </c>
      <c r="C28" s="96" t="s">
        <v>18</v>
      </c>
      <c r="D28" s="96">
        <v>25</v>
      </c>
      <c r="E28" s="99">
        <v>9</v>
      </c>
      <c r="F28" s="91">
        <f t="shared" si="1"/>
        <v>-16</v>
      </c>
      <c r="G28" s="102">
        <f t="shared" si="2"/>
        <v>0.36</v>
      </c>
    </row>
    <row r="29" spans="1:7" x14ac:dyDescent="0.35">
      <c r="A29" s="91">
        <v>23</v>
      </c>
      <c r="B29" s="92" t="s">
        <v>297</v>
      </c>
      <c r="C29" s="96" t="s">
        <v>18</v>
      </c>
      <c r="D29" s="96">
        <v>25</v>
      </c>
      <c r="E29" s="94">
        <v>7</v>
      </c>
      <c r="F29" s="91">
        <f t="shared" si="1"/>
        <v>-18</v>
      </c>
      <c r="G29" s="102">
        <f t="shared" si="2"/>
        <v>0.28000000000000003</v>
      </c>
    </row>
    <row r="30" spans="1:7" x14ac:dyDescent="0.35">
      <c r="A30" s="91">
        <v>24</v>
      </c>
      <c r="B30" s="95" t="s">
        <v>298</v>
      </c>
      <c r="C30" s="96" t="s">
        <v>18</v>
      </c>
      <c r="D30" s="96">
        <v>25</v>
      </c>
      <c r="E30" s="94">
        <v>11</v>
      </c>
      <c r="F30" s="91">
        <f t="shared" si="1"/>
        <v>-14</v>
      </c>
      <c r="G30" s="102">
        <f t="shared" si="2"/>
        <v>0.44</v>
      </c>
    </row>
    <row r="31" spans="1:7" x14ac:dyDescent="0.35">
      <c r="A31" s="91"/>
      <c r="B31" s="91" t="s">
        <v>47</v>
      </c>
      <c r="C31" s="91"/>
      <c r="D31" s="91">
        <v>570</v>
      </c>
      <c r="E31" s="91">
        <f>SUM(E7:E30)</f>
        <v>399</v>
      </c>
      <c r="F31" s="91">
        <f t="shared" si="1"/>
        <v>-171</v>
      </c>
      <c r="G31" s="102">
        <f t="shared" si="2"/>
        <v>0.7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2912-DCD6-4921-A63B-B953FC5BB1BF}">
  <dimension ref="A1:G13"/>
  <sheetViews>
    <sheetView workbookViewId="0">
      <selection activeCell="C4" sqref="C4:G4"/>
    </sheetView>
  </sheetViews>
  <sheetFormatPr defaultRowHeight="14.5" x14ac:dyDescent="0.35"/>
  <cols>
    <col min="1" max="1" width="5.90625" customWidth="1"/>
    <col min="2" max="2" width="30.6328125" customWidth="1"/>
    <col min="7" max="7" width="8.7265625" style="16"/>
  </cols>
  <sheetData>
    <row r="1" spans="1:7" x14ac:dyDescent="0.35">
      <c r="B1" s="5" t="s">
        <v>131</v>
      </c>
    </row>
    <row r="2" spans="1:7" x14ac:dyDescent="0.35">
      <c r="B2" s="5" t="s">
        <v>273</v>
      </c>
    </row>
    <row r="3" spans="1:7" x14ac:dyDescent="0.35">
      <c r="B3" s="5" t="s">
        <v>302</v>
      </c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78"/>
      <c r="B6" s="79"/>
      <c r="C6" s="81"/>
      <c r="D6" s="81"/>
      <c r="E6" s="81"/>
      <c r="F6" s="81"/>
      <c r="G6" s="101"/>
    </row>
    <row r="7" spans="1:7" x14ac:dyDescent="0.35">
      <c r="A7" s="91">
        <v>1</v>
      </c>
      <c r="B7" s="106" t="s">
        <v>303</v>
      </c>
      <c r="C7" s="107" t="s">
        <v>16</v>
      </c>
      <c r="D7" s="107">
        <v>35</v>
      </c>
      <c r="E7" s="108">
        <v>0</v>
      </c>
      <c r="F7" s="91">
        <f>E7-D7</f>
        <v>-35</v>
      </c>
      <c r="G7" s="102">
        <f>E7/D7*100%</f>
        <v>0</v>
      </c>
    </row>
    <row r="8" spans="1:7" x14ac:dyDescent="0.35">
      <c r="A8" s="91">
        <v>2</v>
      </c>
      <c r="B8" s="109" t="s">
        <v>304</v>
      </c>
      <c r="C8" s="110" t="s">
        <v>18</v>
      </c>
      <c r="D8" s="110">
        <v>25</v>
      </c>
      <c r="E8" s="108">
        <v>14</v>
      </c>
      <c r="F8" s="91">
        <f t="shared" ref="F8:F13" si="0">E8-D8</f>
        <v>-11</v>
      </c>
      <c r="G8" s="102">
        <f t="shared" ref="G8:G13" si="1">E8/D8*100%</f>
        <v>0.56000000000000005</v>
      </c>
    </row>
    <row r="9" spans="1:7" x14ac:dyDescent="0.35">
      <c r="A9" s="91">
        <v>3</v>
      </c>
      <c r="B9" s="106" t="s">
        <v>305</v>
      </c>
      <c r="C9" s="110" t="s">
        <v>18</v>
      </c>
      <c r="D9" s="110">
        <v>25</v>
      </c>
      <c r="E9" s="111">
        <v>22</v>
      </c>
      <c r="F9" s="91">
        <f t="shared" si="0"/>
        <v>-3</v>
      </c>
      <c r="G9" s="102">
        <f t="shared" si="1"/>
        <v>0.88</v>
      </c>
    </row>
    <row r="10" spans="1:7" x14ac:dyDescent="0.35">
      <c r="A10" s="91">
        <v>4</v>
      </c>
      <c r="B10" s="109" t="s">
        <v>306</v>
      </c>
      <c r="C10" s="110" t="s">
        <v>18</v>
      </c>
      <c r="D10" s="110">
        <v>25</v>
      </c>
      <c r="E10" s="111">
        <v>23</v>
      </c>
      <c r="F10" s="91">
        <f t="shared" si="0"/>
        <v>-2</v>
      </c>
      <c r="G10" s="102">
        <f t="shared" si="1"/>
        <v>0.92</v>
      </c>
    </row>
    <row r="11" spans="1:7" x14ac:dyDescent="0.35">
      <c r="A11" s="91">
        <v>5</v>
      </c>
      <c r="B11" s="106" t="s">
        <v>307</v>
      </c>
      <c r="C11" s="110" t="s">
        <v>18</v>
      </c>
      <c r="D11" s="110">
        <v>25</v>
      </c>
      <c r="E11" s="111">
        <v>26</v>
      </c>
      <c r="F11" s="91">
        <f t="shared" si="0"/>
        <v>1</v>
      </c>
      <c r="G11" s="102">
        <f t="shared" si="1"/>
        <v>1.04</v>
      </c>
    </row>
    <row r="12" spans="1:7" x14ac:dyDescent="0.35">
      <c r="A12" s="91">
        <v>6</v>
      </c>
      <c r="B12" s="112" t="s">
        <v>308</v>
      </c>
      <c r="C12" s="110" t="s">
        <v>18</v>
      </c>
      <c r="D12" s="110">
        <v>25</v>
      </c>
      <c r="E12" s="113">
        <v>6</v>
      </c>
      <c r="F12" s="91">
        <f t="shared" si="0"/>
        <v>-19</v>
      </c>
      <c r="G12" s="102">
        <f t="shared" si="1"/>
        <v>0.24</v>
      </c>
    </row>
    <row r="13" spans="1:7" x14ac:dyDescent="0.35">
      <c r="A13" s="91"/>
      <c r="B13" s="91" t="s">
        <v>47</v>
      </c>
      <c r="C13" s="91"/>
      <c r="D13" s="91">
        <v>150</v>
      </c>
      <c r="E13" s="91">
        <f>SUM(E7:E12)</f>
        <v>91</v>
      </c>
      <c r="F13" s="91">
        <f t="shared" si="0"/>
        <v>-59</v>
      </c>
      <c r="G13" s="102">
        <f t="shared" si="1"/>
        <v>0.60666666666666669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49E2-9121-4751-9B72-952C7D33B944}">
  <dimension ref="A1:M29"/>
  <sheetViews>
    <sheetView workbookViewId="0">
      <selection activeCell="C4" sqref="C4:G4"/>
    </sheetView>
  </sheetViews>
  <sheetFormatPr defaultRowHeight="14.5" x14ac:dyDescent="0.35"/>
  <cols>
    <col min="1" max="1" width="3.90625" customWidth="1"/>
    <col min="2" max="2" width="37.453125" customWidth="1"/>
    <col min="7" max="7" width="8.7265625" style="16"/>
    <col min="9" max="9" width="4.90625" customWidth="1"/>
    <col min="10" max="10" width="23.453125" customWidth="1"/>
  </cols>
  <sheetData>
    <row r="1" spans="1:13" x14ac:dyDescent="0.35">
      <c r="A1" s="209"/>
      <c r="B1" s="5" t="s">
        <v>131</v>
      </c>
      <c r="C1" s="209"/>
      <c r="D1" s="209"/>
      <c r="E1" s="209"/>
      <c r="F1" s="209"/>
    </row>
    <row r="2" spans="1:13" x14ac:dyDescent="0.35">
      <c r="A2" s="209"/>
      <c r="B2" s="5" t="s">
        <v>811</v>
      </c>
      <c r="C2" s="209"/>
      <c r="D2" s="209"/>
      <c r="E2" s="209"/>
      <c r="F2" s="209"/>
    </row>
    <row r="3" spans="1:13" x14ac:dyDescent="0.35">
      <c r="A3" s="209"/>
      <c r="B3" s="209"/>
      <c r="C3" s="209"/>
      <c r="D3" s="209"/>
      <c r="E3" s="209"/>
      <c r="F3" s="209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05">
        <v>1</v>
      </c>
      <c r="J5" s="105" t="s">
        <v>835</v>
      </c>
      <c r="K5" s="105">
        <v>150</v>
      </c>
      <c r="L5" s="105">
        <v>57</v>
      </c>
      <c r="M5" s="194">
        <f>L5/K5*100%</f>
        <v>0.38</v>
      </c>
    </row>
    <row r="6" spans="1:13" x14ac:dyDescent="0.35">
      <c r="A6" s="84"/>
      <c r="B6" s="85"/>
      <c r="C6" s="88"/>
      <c r="D6" s="88"/>
      <c r="E6" s="88"/>
      <c r="F6" s="88"/>
      <c r="G6" s="128"/>
      <c r="I6" s="105">
        <v>2</v>
      </c>
      <c r="J6" s="105" t="s">
        <v>836</v>
      </c>
      <c r="K6" s="105">
        <v>190</v>
      </c>
      <c r="L6" s="105">
        <v>114</v>
      </c>
      <c r="M6" s="194">
        <f t="shared" ref="M6:M7" si="0">L6/K6*100%</f>
        <v>0.6</v>
      </c>
    </row>
    <row r="7" spans="1:13" x14ac:dyDescent="0.35">
      <c r="A7" s="91">
        <v>1</v>
      </c>
      <c r="B7" s="133" t="s">
        <v>812</v>
      </c>
      <c r="C7" s="134" t="s">
        <v>16</v>
      </c>
      <c r="D7" s="134">
        <v>35</v>
      </c>
      <c r="E7" s="134">
        <v>0</v>
      </c>
      <c r="F7" s="91">
        <f>E7-D7</f>
        <v>-35</v>
      </c>
      <c r="G7" s="102">
        <f>E7/D7*100%</f>
        <v>0</v>
      </c>
      <c r="I7" s="105">
        <v>3</v>
      </c>
      <c r="J7" s="105" t="s">
        <v>837</v>
      </c>
      <c r="K7" s="105">
        <v>190</v>
      </c>
      <c r="L7" s="105">
        <v>106</v>
      </c>
      <c r="M7" s="194">
        <f t="shared" si="0"/>
        <v>0.55789473684210522</v>
      </c>
    </row>
    <row r="8" spans="1:13" x14ac:dyDescent="0.35">
      <c r="A8" s="91">
        <v>2</v>
      </c>
      <c r="B8" s="133" t="s">
        <v>813</v>
      </c>
      <c r="C8" s="134" t="s">
        <v>18</v>
      </c>
      <c r="D8" s="134">
        <v>25</v>
      </c>
      <c r="E8" s="134">
        <v>12</v>
      </c>
      <c r="F8" s="91">
        <f t="shared" ref="F8:F29" si="1">E8-D8</f>
        <v>-13</v>
      </c>
      <c r="G8" s="102">
        <f t="shared" ref="G8:G29" si="2">E8/D8*100%</f>
        <v>0.48</v>
      </c>
    </row>
    <row r="9" spans="1:13" x14ac:dyDescent="0.35">
      <c r="A9" s="91">
        <v>3</v>
      </c>
      <c r="B9" s="133" t="s">
        <v>814</v>
      </c>
      <c r="C9" s="134" t="s">
        <v>18</v>
      </c>
      <c r="D9" s="134">
        <v>25</v>
      </c>
      <c r="E9" s="134">
        <v>12</v>
      </c>
      <c r="F9" s="91">
        <f t="shared" si="1"/>
        <v>-13</v>
      </c>
      <c r="G9" s="102">
        <f t="shared" si="2"/>
        <v>0.48</v>
      </c>
    </row>
    <row r="10" spans="1:13" x14ac:dyDescent="0.35">
      <c r="A10" s="91">
        <v>4</v>
      </c>
      <c r="B10" s="133" t="s">
        <v>815</v>
      </c>
      <c r="C10" s="134" t="s">
        <v>18</v>
      </c>
      <c r="D10" s="134">
        <v>25</v>
      </c>
      <c r="E10" s="134">
        <v>13</v>
      </c>
      <c r="F10" s="91">
        <f t="shared" si="1"/>
        <v>-12</v>
      </c>
      <c r="G10" s="102">
        <f t="shared" si="2"/>
        <v>0.52</v>
      </c>
    </row>
    <row r="11" spans="1:13" x14ac:dyDescent="0.35">
      <c r="A11" s="91">
        <v>5</v>
      </c>
      <c r="B11" s="133" t="s">
        <v>816</v>
      </c>
      <c r="C11" s="134" t="s">
        <v>18</v>
      </c>
      <c r="D11" s="134">
        <v>25</v>
      </c>
      <c r="E11" s="134">
        <v>8</v>
      </c>
      <c r="F11" s="91">
        <f t="shared" si="1"/>
        <v>-17</v>
      </c>
      <c r="G11" s="102">
        <f t="shared" si="2"/>
        <v>0.32</v>
      </c>
    </row>
    <row r="12" spans="1:13" x14ac:dyDescent="0.35">
      <c r="A12" s="91">
        <v>6</v>
      </c>
      <c r="B12" s="133" t="s">
        <v>817</v>
      </c>
      <c r="C12" s="134" t="s">
        <v>18</v>
      </c>
      <c r="D12" s="134">
        <v>25</v>
      </c>
      <c r="E12" s="134">
        <v>12</v>
      </c>
      <c r="F12" s="91">
        <f t="shared" si="1"/>
        <v>-13</v>
      </c>
      <c r="G12" s="102">
        <f t="shared" si="2"/>
        <v>0.48</v>
      </c>
    </row>
    <row r="13" spans="1:13" x14ac:dyDescent="0.35">
      <c r="A13" s="91">
        <v>7</v>
      </c>
      <c r="B13" s="133" t="s">
        <v>818</v>
      </c>
      <c r="C13" s="134" t="s">
        <v>16</v>
      </c>
      <c r="D13" s="134">
        <v>35</v>
      </c>
      <c r="E13" s="134">
        <v>0</v>
      </c>
      <c r="F13" s="91">
        <f t="shared" si="1"/>
        <v>-35</v>
      </c>
      <c r="G13" s="102">
        <f t="shared" si="2"/>
        <v>0</v>
      </c>
    </row>
    <row r="14" spans="1:13" x14ac:dyDescent="0.35">
      <c r="A14" s="91">
        <v>8</v>
      </c>
      <c r="B14" s="133" t="s">
        <v>819</v>
      </c>
      <c r="C14" s="134" t="s">
        <v>18</v>
      </c>
      <c r="D14" s="134">
        <v>25</v>
      </c>
      <c r="E14" s="134">
        <v>26</v>
      </c>
      <c r="F14" s="91">
        <f t="shared" si="1"/>
        <v>1</v>
      </c>
      <c r="G14" s="102">
        <f t="shared" si="2"/>
        <v>1.04</v>
      </c>
    </row>
    <row r="15" spans="1:13" x14ac:dyDescent="0.35">
      <c r="A15" s="91">
        <v>9</v>
      </c>
      <c r="B15" s="133" t="s">
        <v>820</v>
      </c>
      <c r="C15" s="134" t="s">
        <v>18</v>
      </c>
      <c r="D15" s="134">
        <v>25</v>
      </c>
      <c r="E15" s="134">
        <v>16</v>
      </c>
      <c r="F15" s="91">
        <f t="shared" si="1"/>
        <v>-9</v>
      </c>
      <c r="G15" s="102">
        <f t="shared" si="2"/>
        <v>0.64</v>
      </c>
    </row>
    <row r="16" spans="1:13" x14ac:dyDescent="0.35">
      <c r="A16" s="91">
        <v>10</v>
      </c>
      <c r="B16" s="133" t="s">
        <v>821</v>
      </c>
      <c r="C16" s="134" t="s">
        <v>18</v>
      </c>
      <c r="D16" s="134">
        <v>25</v>
      </c>
      <c r="E16" s="134">
        <v>20</v>
      </c>
      <c r="F16" s="91">
        <f t="shared" si="1"/>
        <v>-5</v>
      </c>
      <c r="G16" s="102">
        <f t="shared" si="2"/>
        <v>0.8</v>
      </c>
    </row>
    <row r="17" spans="1:7" x14ac:dyDescent="0.35">
      <c r="A17" s="91">
        <v>11</v>
      </c>
      <c r="B17" s="133" t="s">
        <v>822</v>
      </c>
      <c r="C17" s="134" t="s">
        <v>18</v>
      </c>
      <c r="D17" s="134">
        <v>25</v>
      </c>
      <c r="E17" s="134">
        <v>6</v>
      </c>
      <c r="F17" s="91">
        <f t="shared" si="1"/>
        <v>-19</v>
      </c>
      <c r="G17" s="102">
        <f t="shared" si="2"/>
        <v>0.24</v>
      </c>
    </row>
    <row r="18" spans="1:7" x14ac:dyDescent="0.35">
      <c r="A18" s="91">
        <v>12</v>
      </c>
      <c r="B18" s="133" t="s">
        <v>823</v>
      </c>
      <c r="C18" s="134" t="s">
        <v>18</v>
      </c>
      <c r="D18" s="134">
        <v>25</v>
      </c>
      <c r="E18" s="134">
        <v>13</v>
      </c>
      <c r="F18" s="91">
        <f t="shared" si="1"/>
        <v>-12</v>
      </c>
      <c r="G18" s="102">
        <f t="shared" si="2"/>
        <v>0.52</v>
      </c>
    </row>
    <row r="19" spans="1:7" x14ac:dyDescent="0.35">
      <c r="A19" s="91">
        <v>13</v>
      </c>
      <c r="B19" s="133" t="s">
        <v>824</v>
      </c>
      <c r="C19" s="134" t="s">
        <v>18</v>
      </c>
      <c r="D19" s="134">
        <v>25</v>
      </c>
      <c r="E19" s="134">
        <v>12</v>
      </c>
      <c r="F19" s="91">
        <f t="shared" si="1"/>
        <v>-13</v>
      </c>
      <c r="G19" s="102">
        <f t="shared" si="2"/>
        <v>0.48</v>
      </c>
    </row>
    <row r="20" spans="1:7" x14ac:dyDescent="0.35">
      <c r="A20" s="91">
        <v>14</v>
      </c>
      <c r="B20" s="133" t="s">
        <v>825</v>
      </c>
      <c r="C20" s="134" t="s">
        <v>18</v>
      </c>
      <c r="D20" s="134">
        <v>25</v>
      </c>
      <c r="E20" s="134">
        <v>21</v>
      </c>
      <c r="F20" s="91">
        <f t="shared" si="1"/>
        <v>-4</v>
      </c>
      <c r="G20" s="102">
        <f t="shared" si="2"/>
        <v>0.84</v>
      </c>
    </row>
    <row r="21" spans="1:7" x14ac:dyDescent="0.35">
      <c r="A21" s="91">
        <v>15</v>
      </c>
      <c r="B21" s="133" t="s">
        <v>826</v>
      </c>
      <c r="C21" s="134" t="s">
        <v>16</v>
      </c>
      <c r="D21" s="134">
        <v>35</v>
      </c>
      <c r="E21" s="134">
        <v>0</v>
      </c>
      <c r="F21" s="91">
        <f t="shared" si="1"/>
        <v>-35</v>
      </c>
      <c r="G21" s="102">
        <f t="shared" si="2"/>
        <v>0</v>
      </c>
    </row>
    <row r="22" spans="1:7" x14ac:dyDescent="0.35">
      <c r="A22" s="91">
        <v>16</v>
      </c>
      <c r="B22" s="133" t="s">
        <v>827</v>
      </c>
      <c r="C22" s="134" t="s">
        <v>18</v>
      </c>
      <c r="D22" s="134">
        <v>25</v>
      </c>
      <c r="E22" s="134">
        <v>16</v>
      </c>
      <c r="F22" s="91">
        <f t="shared" si="1"/>
        <v>-9</v>
      </c>
      <c r="G22" s="102">
        <f t="shared" si="2"/>
        <v>0.64</v>
      </c>
    </row>
    <row r="23" spans="1:7" x14ac:dyDescent="0.35">
      <c r="A23" s="91">
        <v>17</v>
      </c>
      <c r="B23" s="133" t="s">
        <v>828</v>
      </c>
      <c r="C23" s="134" t="s">
        <v>18</v>
      </c>
      <c r="D23" s="134">
        <v>25</v>
      </c>
      <c r="E23" s="134">
        <v>18</v>
      </c>
      <c r="F23" s="91">
        <f t="shared" si="1"/>
        <v>-7</v>
      </c>
      <c r="G23" s="102">
        <f t="shared" si="2"/>
        <v>0.72</v>
      </c>
    </row>
    <row r="24" spans="1:7" x14ac:dyDescent="0.35">
      <c r="A24" s="91">
        <v>18</v>
      </c>
      <c r="B24" s="133" t="s">
        <v>829</v>
      </c>
      <c r="C24" s="134" t="s">
        <v>18</v>
      </c>
      <c r="D24" s="134">
        <v>25</v>
      </c>
      <c r="E24" s="134">
        <v>7</v>
      </c>
      <c r="F24" s="91">
        <f t="shared" si="1"/>
        <v>-18</v>
      </c>
      <c r="G24" s="102">
        <f t="shared" si="2"/>
        <v>0.28000000000000003</v>
      </c>
    </row>
    <row r="25" spans="1:7" x14ac:dyDescent="0.35">
      <c r="A25" s="91">
        <v>19</v>
      </c>
      <c r="B25" s="133" t="s">
        <v>830</v>
      </c>
      <c r="C25" s="134" t="s">
        <v>18</v>
      </c>
      <c r="D25" s="134">
        <v>25</v>
      </c>
      <c r="E25" s="134">
        <v>16</v>
      </c>
      <c r="F25" s="91">
        <f t="shared" si="1"/>
        <v>-9</v>
      </c>
      <c r="G25" s="102">
        <f t="shared" si="2"/>
        <v>0.64</v>
      </c>
    </row>
    <row r="26" spans="1:7" x14ac:dyDescent="0.35">
      <c r="A26" s="91">
        <v>20</v>
      </c>
      <c r="B26" s="133" t="s">
        <v>831</v>
      </c>
      <c r="C26" s="134" t="s">
        <v>18</v>
      </c>
      <c r="D26" s="134">
        <v>25</v>
      </c>
      <c r="E26" s="134">
        <v>21</v>
      </c>
      <c r="F26" s="91">
        <f t="shared" si="1"/>
        <v>-4</v>
      </c>
      <c r="G26" s="102">
        <f t="shared" si="2"/>
        <v>0.84</v>
      </c>
    </row>
    <row r="27" spans="1:7" x14ac:dyDescent="0.35">
      <c r="A27" s="91">
        <v>21</v>
      </c>
      <c r="B27" s="133" t="s">
        <v>832</v>
      </c>
      <c r="C27" s="134" t="s">
        <v>18</v>
      </c>
      <c r="D27" s="134">
        <v>25</v>
      </c>
      <c r="E27" s="134">
        <v>16</v>
      </c>
      <c r="F27" s="91">
        <f t="shared" si="1"/>
        <v>-9</v>
      </c>
      <c r="G27" s="102">
        <f t="shared" si="2"/>
        <v>0.64</v>
      </c>
    </row>
    <row r="28" spans="1:7" x14ac:dyDescent="0.35">
      <c r="A28" s="91">
        <v>22</v>
      </c>
      <c r="B28" s="133" t="s">
        <v>833</v>
      </c>
      <c r="C28" s="134" t="s">
        <v>18</v>
      </c>
      <c r="D28" s="134">
        <v>25</v>
      </c>
      <c r="E28" s="134">
        <v>12</v>
      </c>
      <c r="F28" s="91">
        <f t="shared" si="1"/>
        <v>-13</v>
      </c>
      <c r="G28" s="102">
        <f t="shared" si="2"/>
        <v>0.48</v>
      </c>
    </row>
    <row r="29" spans="1:7" x14ac:dyDescent="0.35">
      <c r="A29" s="91"/>
      <c r="B29" s="91" t="s">
        <v>47</v>
      </c>
      <c r="C29" s="91"/>
      <c r="D29" s="91">
        <v>530</v>
      </c>
      <c r="E29" s="91">
        <f>SUM(E7:E28)</f>
        <v>277</v>
      </c>
      <c r="F29" s="91">
        <f t="shared" si="1"/>
        <v>-253</v>
      </c>
      <c r="G29" s="102">
        <f t="shared" si="2"/>
        <v>0.52264150943396226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75E9-C5EF-4CE1-9EFF-87E6A1DBE17D}">
  <dimension ref="A1:M23"/>
  <sheetViews>
    <sheetView workbookViewId="0">
      <selection activeCell="C4" sqref="C4:G4"/>
    </sheetView>
  </sheetViews>
  <sheetFormatPr defaultRowHeight="14.5" x14ac:dyDescent="0.35"/>
  <cols>
    <col min="1" max="1" width="5.81640625" customWidth="1"/>
    <col min="2" max="2" width="33.1796875" customWidth="1"/>
    <col min="7" max="7" width="8.7265625" style="16"/>
    <col min="9" max="9" width="4.1796875" customWidth="1"/>
    <col min="10" max="10" width="21.08984375" customWidth="1"/>
  </cols>
  <sheetData>
    <row r="1" spans="1:13" x14ac:dyDescent="0.35">
      <c r="A1" s="211"/>
      <c r="B1" s="5" t="s">
        <v>131</v>
      </c>
      <c r="C1" s="211"/>
      <c r="D1" s="211"/>
      <c r="E1" s="211"/>
      <c r="F1" s="211"/>
    </row>
    <row r="2" spans="1:13" x14ac:dyDescent="0.35">
      <c r="A2" s="211"/>
      <c r="B2" s="5" t="s">
        <v>811</v>
      </c>
      <c r="C2" s="211"/>
      <c r="D2" s="211"/>
      <c r="E2" s="211"/>
      <c r="F2" s="211"/>
    </row>
    <row r="3" spans="1:13" x14ac:dyDescent="0.35">
      <c r="A3" s="211"/>
      <c r="B3" s="211"/>
      <c r="C3" s="211"/>
      <c r="D3" s="211"/>
      <c r="E3" s="211"/>
      <c r="F3" s="211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854</v>
      </c>
      <c r="K5" s="18">
        <v>190</v>
      </c>
      <c r="L5" s="18">
        <v>161</v>
      </c>
      <c r="M5" s="29">
        <f>L5/K5*100%</f>
        <v>0.84736842105263155</v>
      </c>
    </row>
    <row r="6" spans="1:13" x14ac:dyDescent="0.35">
      <c r="A6" s="84"/>
      <c r="B6" s="85"/>
      <c r="C6" s="88"/>
      <c r="D6" s="88"/>
      <c r="E6" s="88"/>
      <c r="F6" s="88"/>
      <c r="G6" s="128"/>
      <c r="I6" s="18">
        <v>2</v>
      </c>
      <c r="J6" s="18" t="s">
        <v>855</v>
      </c>
      <c r="K6" s="18">
        <v>190</v>
      </c>
      <c r="L6" s="18">
        <v>124</v>
      </c>
      <c r="M6" s="29">
        <f>L6/K6*100%</f>
        <v>0.65263157894736845</v>
      </c>
    </row>
    <row r="7" spans="1:13" x14ac:dyDescent="0.35">
      <c r="A7" s="91">
        <v>1</v>
      </c>
      <c r="B7" s="133" t="s">
        <v>838</v>
      </c>
      <c r="C7" s="134" t="s">
        <v>16</v>
      </c>
      <c r="D7" s="134">
        <v>35</v>
      </c>
      <c r="E7" s="134">
        <v>0</v>
      </c>
      <c r="F7" s="91">
        <f>E7-D7</f>
        <v>-35</v>
      </c>
      <c r="G7" s="102">
        <f>E7/D7*100%</f>
        <v>0</v>
      </c>
    </row>
    <row r="8" spans="1:13" x14ac:dyDescent="0.35">
      <c r="A8" s="91">
        <v>2</v>
      </c>
      <c r="B8" s="133" t="s">
        <v>839</v>
      </c>
      <c r="C8" s="134" t="s">
        <v>18</v>
      </c>
      <c r="D8" s="134">
        <v>25</v>
      </c>
      <c r="E8" s="134">
        <v>21</v>
      </c>
      <c r="F8" s="91">
        <f t="shared" ref="F8:F23" si="0">E8-D8</f>
        <v>-4</v>
      </c>
      <c r="G8" s="102">
        <f t="shared" ref="G8:G23" si="1">E8/D8*100%</f>
        <v>0.84</v>
      </c>
    </row>
    <row r="9" spans="1:13" x14ac:dyDescent="0.35">
      <c r="A9" s="91">
        <v>3</v>
      </c>
      <c r="B9" s="133" t="s">
        <v>840</v>
      </c>
      <c r="C9" s="134" t="s">
        <v>18</v>
      </c>
      <c r="D9" s="134">
        <v>25</v>
      </c>
      <c r="E9" s="134">
        <v>16</v>
      </c>
      <c r="F9" s="91">
        <f t="shared" si="0"/>
        <v>-9</v>
      </c>
      <c r="G9" s="102">
        <f t="shared" si="1"/>
        <v>0.64</v>
      </c>
    </row>
    <row r="10" spans="1:13" x14ac:dyDescent="0.35">
      <c r="A10" s="91">
        <v>4</v>
      </c>
      <c r="B10" s="133" t="s">
        <v>841</v>
      </c>
      <c r="C10" s="134" t="s">
        <v>18</v>
      </c>
      <c r="D10" s="134">
        <v>25</v>
      </c>
      <c r="E10" s="134">
        <v>30</v>
      </c>
      <c r="F10" s="91">
        <f t="shared" si="0"/>
        <v>5</v>
      </c>
      <c r="G10" s="102">
        <f t="shared" si="1"/>
        <v>1.2</v>
      </c>
    </row>
    <row r="11" spans="1:13" x14ac:dyDescent="0.35">
      <c r="A11" s="91">
        <v>5</v>
      </c>
      <c r="B11" s="133" t="s">
        <v>842</v>
      </c>
      <c r="C11" s="134" t="s">
        <v>18</v>
      </c>
      <c r="D11" s="134">
        <v>25</v>
      </c>
      <c r="E11" s="134">
        <v>33</v>
      </c>
      <c r="F11" s="91">
        <f t="shared" si="0"/>
        <v>8</v>
      </c>
      <c r="G11" s="102">
        <f t="shared" si="1"/>
        <v>1.32</v>
      </c>
    </row>
    <row r="12" spans="1:13" x14ac:dyDescent="0.35">
      <c r="A12" s="91">
        <v>6</v>
      </c>
      <c r="B12" s="133" t="s">
        <v>843</v>
      </c>
      <c r="C12" s="134" t="s">
        <v>18</v>
      </c>
      <c r="D12" s="134">
        <v>25</v>
      </c>
      <c r="E12" s="134">
        <v>14</v>
      </c>
      <c r="F12" s="91">
        <f t="shared" si="0"/>
        <v>-11</v>
      </c>
      <c r="G12" s="102">
        <f t="shared" si="1"/>
        <v>0.56000000000000005</v>
      </c>
    </row>
    <row r="13" spans="1:13" x14ac:dyDescent="0.35">
      <c r="A13" s="91">
        <v>7</v>
      </c>
      <c r="B13" s="133" t="s">
        <v>844</v>
      </c>
      <c r="C13" s="134" t="s">
        <v>18</v>
      </c>
      <c r="D13" s="134">
        <v>25</v>
      </c>
      <c r="E13" s="134">
        <v>12</v>
      </c>
      <c r="F13" s="91">
        <f t="shared" si="0"/>
        <v>-13</v>
      </c>
      <c r="G13" s="102">
        <f t="shared" si="1"/>
        <v>0.48</v>
      </c>
    </row>
    <row r="14" spans="1:13" x14ac:dyDescent="0.35">
      <c r="A14" s="91">
        <v>8</v>
      </c>
      <c r="B14" s="133" t="s">
        <v>845</v>
      </c>
      <c r="C14" s="134" t="s">
        <v>18</v>
      </c>
      <c r="D14" s="134">
        <v>25</v>
      </c>
      <c r="E14" s="134">
        <v>35</v>
      </c>
      <c r="F14" s="91">
        <f t="shared" si="0"/>
        <v>10</v>
      </c>
      <c r="G14" s="102">
        <f t="shared" si="1"/>
        <v>1.4</v>
      </c>
    </row>
    <row r="15" spans="1:13" x14ac:dyDescent="0.35">
      <c r="A15" s="91">
        <v>9</v>
      </c>
      <c r="B15" s="133" t="s">
        <v>846</v>
      </c>
      <c r="C15" s="134" t="s">
        <v>16</v>
      </c>
      <c r="D15" s="134">
        <v>35</v>
      </c>
      <c r="E15" s="134">
        <v>0</v>
      </c>
      <c r="F15" s="91">
        <f t="shared" si="0"/>
        <v>-35</v>
      </c>
      <c r="G15" s="102">
        <f t="shared" si="1"/>
        <v>0</v>
      </c>
    </row>
    <row r="16" spans="1:13" x14ac:dyDescent="0.35">
      <c r="A16" s="91">
        <v>10</v>
      </c>
      <c r="B16" s="133" t="s">
        <v>847</v>
      </c>
      <c r="C16" s="134" t="s">
        <v>18</v>
      </c>
      <c r="D16" s="134">
        <v>25</v>
      </c>
      <c r="E16" s="134">
        <v>19</v>
      </c>
      <c r="F16" s="91">
        <f t="shared" si="0"/>
        <v>-6</v>
      </c>
      <c r="G16" s="102">
        <f t="shared" si="1"/>
        <v>0.76</v>
      </c>
    </row>
    <row r="17" spans="1:7" x14ac:dyDescent="0.35">
      <c r="A17" s="91">
        <v>11</v>
      </c>
      <c r="B17" s="133" t="s">
        <v>848</v>
      </c>
      <c r="C17" s="134" t="s">
        <v>18</v>
      </c>
      <c r="D17" s="134">
        <v>25</v>
      </c>
      <c r="E17" s="134">
        <v>8</v>
      </c>
      <c r="F17" s="91">
        <f t="shared" si="0"/>
        <v>-17</v>
      </c>
      <c r="G17" s="102">
        <f t="shared" si="1"/>
        <v>0.32</v>
      </c>
    </row>
    <row r="18" spans="1:7" x14ac:dyDescent="0.35">
      <c r="A18" s="91">
        <v>12</v>
      </c>
      <c r="B18" s="133" t="s">
        <v>849</v>
      </c>
      <c r="C18" s="134" t="s">
        <v>18</v>
      </c>
      <c r="D18" s="134">
        <v>25</v>
      </c>
      <c r="E18" s="134">
        <v>40</v>
      </c>
      <c r="F18" s="91">
        <f t="shared" si="0"/>
        <v>15</v>
      </c>
      <c r="G18" s="102">
        <f t="shared" si="1"/>
        <v>1.6</v>
      </c>
    </row>
    <row r="19" spans="1:7" x14ac:dyDescent="0.35">
      <c r="A19" s="91">
        <v>13</v>
      </c>
      <c r="B19" s="133" t="s">
        <v>850</v>
      </c>
      <c r="C19" s="134" t="s">
        <v>18</v>
      </c>
      <c r="D19" s="134">
        <v>25</v>
      </c>
      <c r="E19" s="134">
        <v>25</v>
      </c>
      <c r="F19" s="91">
        <f t="shared" si="0"/>
        <v>0</v>
      </c>
      <c r="G19" s="102">
        <f t="shared" si="1"/>
        <v>1</v>
      </c>
    </row>
    <row r="20" spans="1:7" x14ac:dyDescent="0.35">
      <c r="A20" s="91">
        <v>14</v>
      </c>
      <c r="B20" s="133" t="s">
        <v>851</v>
      </c>
      <c r="C20" s="134" t="s">
        <v>18</v>
      </c>
      <c r="D20" s="134">
        <v>25</v>
      </c>
      <c r="E20" s="134">
        <v>15</v>
      </c>
      <c r="F20" s="91">
        <f t="shared" si="0"/>
        <v>-10</v>
      </c>
      <c r="G20" s="102">
        <f t="shared" si="1"/>
        <v>0.6</v>
      </c>
    </row>
    <row r="21" spans="1:7" x14ac:dyDescent="0.35">
      <c r="A21" s="91">
        <v>15</v>
      </c>
      <c r="B21" s="133" t="s">
        <v>852</v>
      </c>
      <c r="C21" s="134" t="s">
        <v>18</v>
      </c>
      <c r="D21" s="134">
        <v>25</v>
      </c>
      <c r="E21" s="134">
        <v>15</v>
      </c>
      <c r="F21" s="91">
        <f t="shared" si="0"/>
        <v>-10</v>
      </c>
      <c r="G21" s="102">
        <f t="shared" si="1"/>
        <v>0.6</v>
      </c>
    </row>
    <row r="22" spans="1:7" x14ac:dyDescent="0.35">
      <c r="A22" s="91">
        <v>16</v>
      </c>
      <c r="B22" s="133" t="s">
        <v>853</v>
      </c>
      <c r="C22" s="134" t="s">
        <v>18</v>
      </c>
      <c r="D22" s="134">
        <v>25</v>
      </c>
      <c r="E22" s="134">
        <v>2</v>
      </c>
      <c r="F22" s="91">
        <f t="shared" si="0"/>
        <v>-23</v>
      </c>
      <c r="G22" s="102">
        <f t="shared" si="1"/>
        <v>0.08</v>
      </c>
    </row>
    <row r="23" spans="1:7" x14ac:dyDescent="0.35">
      <c r="A23" s="91"/>
      <c r="B23" s="91" t="s">
        <v>47</v>
      </c>
      <c r="C23" s="91"/>
      <c r="D23" s="91">
        <v>340</v>
      </c>
      <c r="E23" s="91">
        <f>SUM(E7:E22)</f>
        <v>285</v>
      </c>
      <c r="F23" s="91">
        <f t="shared" si="0"/>
        <v>-55</v>
      </c>
      <c r="G23" s="102">
        <f t="shared" si="1"/>
        <v>0.83823529411764708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1601-2314-4208-A24D-8905C75D9975}">
  <dimension ref="A1:G11"/>
  <sheetViews>
    <sheetView workbookViewId="0">
      <selection activeCell="C4" sqref="C4:G4"/>
    </sheetView>
  </sheetViews>
  <sheetFormatPr defaultRowHeight="14.5" x14ac:dyDescent="0.35"/>
  <cols>
    <col min="1" max="1" width="5.1796875" customWidth="1"/>
    <col min="2" max="2" width="28.81640625" customWidth="1"/>
    <col min="7" max="7" width="8.7265625" style="16"/>
  </cols>
  <sheetData>
    <row r="1" spans="1:7" x14ac:dyDescent="0.35">
      <c r="A1" s="212"/>
      <c r="B1" s="5" t="s">
        <v>131</v>
      </c>
      <c r="C1" s="212"/>
      <c r="D1" s="212"/>
      <c r="E1" s="212"/>
      <c r="F1" s="212"/>
    </row>
    <row r="2" spans="1:7" x14ac:dyDescent="0.35">
      <c r="A2" s="212"/>
      <c r="B2" s="5" t="s">
        <v>811</v>
      </c>
      <c r="C2" s="212"/>
      <c r="D2" s="212"/>
      <c r="E2" s="212"/>
      <c r="F2" s="212"/>
    </row>
    <row r="3" spans="1:7" x14ac:dyDescent="0.35">
      <c r="A3" s="212"/>
      <c r="B3" s="212"/>
      <c r="C3" s="212"/>
      <c r="D3" s="212"/>
      <c r="E3" s="212"/>
      <c r="F3" s="212"/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84"/>
      <c r="B6" s="85"/>
      <c r="C6" s="88"/>
      <c r="D6" s="88"/>
      <c r="E6" s="88"/>
      <c r="F6" s="88"/>
      <c r="G6" s="128"/>
    </row>
    <row r="7" spans="1:7" x14ac:dyDescent="0.35">
      <c r="A7" s="91">
        <v>1</v>
      </c>
      <c r="B7" s="133" t="s">
        <v>856</v>
      </c>
      <c r="C7" s="134" t="s">
        <v>16</v>
      </c>
      <c r="D7" s="134">
        <v>35</v>
      </c>
      <c r="E7" s="134">
        <v>1</v>
      </c>
      <c r="F7" s="91">
        <f>E7-D7</f>
        <v>-34</v>
      </c>
      <c r="G7" s="102">
        <f>E7/D7*100%</f>
        <v>2.8571428571428571E-2</v>
      </c>
    </row>
    <row r="8" spans="1:7" x14ac:dyDescent="0.35">
      <c r="A8" s="91">
        <v>2</v>
      </c>
      <c r="B8" s="133" t="s">
        <v>857</v>
      </c>
      <c r="C8" s="134" t="s">
        <v>18</v>
      </c>
      <c r="D8" s="134">
        <v>25</v>
      </c>
      <c r="E8" s="134">
        <v>45</v>
      </c>
      <c r="F8" s="91">
        <f t="shared" ref="F8:F11" si="0">E8-D8</f>
        <v>20</v>
      </c>
      <c r="G8" s="102">
        <f t="shared" ref="G8:G11" si="1">E8/D8*100%</f>
        <v>1.8</v>
      </c>
    </row>
    <row r="9" spans="1:7" x14ac:dyDescent="0.35">
      <c r="A9" s="91">
        <v>3</v>
      </c>
      <c r="B9" s="133" t="s">
        <v>858</v>
      </c>
      <c r="C9" s="134" t="s">
        <v>18</v>
      </c>
      <c r="D9" s="134">
        <v>25</v>
      </c>
      <c r="E9" s="134">
        <v>5</v>
      </c>
      <c r="F9" s="91">
        <f t="shared" si="0"/>
        <v>-20</v>
      </c>
      <c r="G9" s="102">
        <f t="shared" si="1"/>
        <v>0.2</v>
      </c>
    </row>
    <row r="10" spans="1:7" x14ac:dyDescent="0.35">
      <c r="A10" s="91">
        <v>4</v>
      </c>
      <c r="B10" s="133" t="s">
        <v>859</v>
      </c>
      <c r="C10" s="134" t="s">
        <v>18</v>
      </c>
      <c r="D10" s="134">
        <v>25</v>
      </c>
      <c r="E10" s="134">
        <v>29</v>
      </c>
      <c r="F10" s="91">
        <f t="shared" si="0"/>
        <v>4</v>
      </c>
      <c r="G10" s="102">
        <f t="shared" si="1"/>
        <v>1.1599999999999999</v>
      </c>
    </row>
    <row r="11" spans="1:7" x14ac:dyDescent="0.35">
      <c r="A11" s="91"/>
      <c r="B11" s="91" t="s">
        <v>47</v>
      </c>
      <c r="C11" s="91"/>
      <c r="D11" s="91">
        <v>150</v>
      </c>
      <c r="E11" s="91">
        <f>SUM(E7:E10)</f>
        <v>80</v>
      </c>
      <c r="F11" s="91">
        <f t="shared" si="0"/>
        <v>-70</v>
      </c>
      <c r="G11" s="102">
        <f t="shared" si="1"/>
        <v>0.53333333333333333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A6A0-CD89-43AF-8BE8-214CF55C76AB}">
  <dimension ref="A1:G11"/>
  <sheetViews>
    <sheetView workbookViewId="0">
      <selection activeCell="C4" sqref="C4:G4"/>
    </sheetView>
  </sheetViews>
  <sheetFormatPr defaultRowHeight="14.5" x14ac:dyDescent="0.35"/>
  <cols>
    <col min="1" max="1" width="3.08984375" customWidth="1"/>
    <col min="2" max="2" width="31.7265625" customWidth="1"/>
    <col min="7" max="7" width="8.7265625" style="16"/>
  </cols>
  <sheetData>
    <row r="1" spans="1:7" x14ac:dyDescent="0.35">
      <c r="A1" s="213"/>
      <c r="B1" s="5" t="s">
        <v>131</v>
      </c>
      <c r="C1" s="213"/>
      <c r="D1" s="213"/>
      <c r="E1" s="213"/>
      <c r="F1" s="213"/>
    </row>
    <row r="2" spans="1:7" x14ac:dyDescent="0.35">
      <c r="A2" s="213"/>
      <c r="B2" s="5" t="s">
        <v>811</v>
      </c>
      <c r="C2" s="213"/>
      <c r="D2" s="213"/>
      <c r="E2" s="213"/>
      <c r="F2" s="213"/>
    </row>
    <row r="3" spans="1:7" x14ac:dyDescent="0.35">
      <c r="A3" s="213"/>
      <c r="B3" s="213"/>
      <c r="C3" s="213"/>
      <c r="D3" s="213"/>
      <c r="E3" s="213"/>
      <c r="F3" s="213"/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84"/>
      <c r="B6" s="85"/>
      <c r="C6" s="88"/>
      <c r="D6" s="88"/>
      <c r="E6" s="88"/>
      <c r="F6" s="88"/>
      <c r="G6" s="128"/>
    </row>
    <row r="7" spans="1:7" x14ac:dyDescent="0.35">
      <c r="A7" s="91">
        <v>1</v>
      </c>
      <c r="B7" s="133" t="s">
        <v>860</v>
      </c>
      <c r="C7" s="134" t="s">
        <v>18</v>
      </c>
      <c r="D7" s="134">
        <v>25</v>
      </c>
      <c r="E7" s="134">
        <v>4</v>
      </c>
      <c r="F7" s="91">
        <f>E7-D7</f>
        <v>-21</v>
      </c>
      <c r="G7" s="102">
        <f>E7/D7*100%</f>
        <v>0.16</v>
      </c>
    </row>
    <row r="8" spans="1:7" x14ac:dyDescent="0.35">
      <c r="A8" s="91">
        <v>2</v>
      </c>
      <c r="B8" s="133" t="s">
        <v>861</v>
      </c>
      <c r="C8" s="134" t="s">
        <v>18</v>
      </c>
      <c r="D8" s="134">
        <v>25</v>
      </c>
      <c r="E8" s="134">
        <v>3</v>
      </c>
      <c r="F8" s="91">
        <f t="shared" ref="F8:F11" si="0">E8-D8</f>
        <v>-22</v>
      </c>
      <c r="G8" s="102">
        <f t="shared" ref="G8:G11" si="1">E8/D8*100%</f>
        <v>0.12</v>
      </c>
    </row>
    <row r="9" spans="1:7" x14ac:dyDescent="0.35">
      <c r="A9" s="91">
        <v>3</v>
      </c>
      <c r="B9" s="133" t="s">
        <v>862</v>
      </c>
      <c r="C9" s="134" t="s">
        <v>18</v>
      </c>
      <c r="D9" s="134">
        <v>25</v>
      </c>
      <c r="E9" s="134">
        <v>4</v>
      </c>
      <c r="F9" s="91">
        <f t="shared" si="0"/>
        <v>-21</v>
      </c>
      <c r="G9" s="102">
        <f t="shared" si="1"/>
        <v>0.16</v>
      </c>
    </row>
    <row r="10" spans="1:7" x14ac:dyDescent="0.35">
      <c r="A10" s="91">
        <v>4</v>
      </c>
      <c r="B10" s="133" t="s">
        <v>863</v>
      </c>
      <c r="C10" s="134" t="s">
        <v>18</v>
      </c>
      <c r="D10" s="134">
        <v>25</v>
      </c>
      <c r="E10" s="134">
        <v>3</v>
      </c>
      <c r="F10" s="91">
        <f t="shared" si="0"/>
        <v>-22</v>
      </c>
      <c r="G10" s="102">
        <f t="shared" si="1"/>
        <v>0.12</v>
      </c>
    </row>
    <row r="11" spans="1:7" x14ac:dyDescent="0.35">
      <c r="A11" s="91"/>
      <c r="B11" s="91" t="s">
        <v>47</v>
      </c>
      <c r="C11" s="91"/>
      <c r="D11" s="91">
        <v>100</v>
      </c>
      <c r="E11" s="91">
        <f>SUM(E7:E10)</f>
        <v>14</v>
      </c>
      <c r="F11" s="91">
        <f t="shared" si="0"/>
        <v>-86</v>
      </c>
      <c r="G11" s="102">
        <f t="shared" si="1"/>
        <v>0.14000000000000001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664C-8A59-4FAE-AF04-48A84E59C27C}">
  <dimension ref="A1:G12"/>
  <sheetViews>
    <sheetView workbookViewId="0">
      <selection activeCell="C4" sqref="C4:G4"/>
    </sheetView>
  </sheetViews>
  <sheetFormatPr defaultRowHeight="14.5" x14ac:dyDescent="0.35"/>
  <cols>
    <col min="1" max="1" width="6.90625" customWidth="1"/>
    <col min="2" max="2" width="34.54296875" customWidth="1"/>
    <col min="7" max="7" width="8.7265625" style="16"/>
  </cols>
  <sheetData>
    <row r="1" spans="1:7" x14ac:dyDescent="0.35">
      <c r="A1" s="177"/>
      <c r="B1" s="5" t="s">
        <v>131</v>
      </c>
      <c r="C1" s="177"/>
      <c r="D1" s="177"/>
      <c r="E1" s="177"/>
      <c r="F1" s="177"/>
    </row>
    <row r="2" spans="1:7" x14ac:dyDescent="0.35">
      <c r="A2" s="177"/>
      <c r="B2" s="5" t="s">
        <v>273</v>
      </c>
      <c r="C2" s="177"/>
      <c r="D2" s="177"/>
      <c r="E2" s="177"/>
      <c r="F2" s="177"/>
    </row>
    <row r="3" spans="1:7" x14ac:dyDescent="0.35">
      <c r="A3" s="177"/>
      <c r="B3" s="5" t="s">
        <v>274</v>
      </c>
      <c r="C3" s="177"/>
      <c r="D3" s="177"/>
      <c r="E3" s="177"/>
      <c r="F3" s="177"/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78"/>
      <c r="B6" s="79"/>
      <c r="C6" s="81"/>
      <c r="D6" s="81"/>
      <c r="E6" s="81"/>
      <c r="F6" s="81"/>
      <c r="G6" s="101"/>
    </row>
    <row r="7" spans="1:7" ht="20.5" customHeight="1" x14ac:dyDescent="0.35">
      <c r="A7" s="91">
        <v>1</v>
      </c>
      <c r="B7" s="133" t="s">
        <v>573</v>
      </c>
      <c r="C7" s="134" t="s">
        <v>18</v>
      </c>
      <c r="D7" s="134">
        <v>25</v>
      </c>
      <c r="E7" s="134">
        <v>24</v>
      </c>
      <c r="F7" s="91">
        <f>E7-D7</f>
        <v>-1</v>
      </c>
      <c r="G7" s="102">
        <f>E7/D7*100%</f>
        <v>0.96</v>
      </c>
    </row>
    <row r="8" spans="1:7" ht="14" customHeight="1" x14ac:dyDescent="0.35">
      <c r="A8" s="91">
        <v>2</v>
      </c>
      <c r="B8" s="133" t="s">
        <v>574</v>
      </c>
      <c r="C8" s="134" t="s">
        <v>18</v>
      </c>
      <c r="D8" s="134">
        <v>25</v>
      </c>
      <c r="E8" s="134">
        <v>23</v>
      </c>
      <c r="F8" s="91">
        <f t="shared" ref="F8:F12" si="0">E8-D8</f>
        <v>-2</v>
      </c>
      <c r="G8" s="102">
        <f t="shared" ref="G8:G12" si="1">E8/D8*100%</f>
        <v>0.92</v>
      </c>
    </row>
    <row r="9" spans="1:7" ht="16.5" customHeight="1" x14ac:dyDescent="0.35">
      <c r="A9" s="91">
        <v>3</v>
      </c>
      <c r="B9" s="133" t="s">
        <v>575</v>
      </c>
      <c r="C9" s="134" t="s">
        <v>18</v>
      </c>
      <c r="D9" s="134">
        <v>25</v>
      </c>
      <c r="E9" s="134">
        <v>34</v>
      </c>
      <c r="F9" s="91">
        <f t="shared" si="0"/>
        <v>9</v>
      </c>
      <c r="G9" s="102">
        <f t="shared" si="1"/>
        <v>1.36</v>
      </c>
    </row>
    <row r="10" spans="1:7" ht="14.5" customHeight="1" x14ac:dyDescent="0.35">
      <c r="A10" s="91">
        <v>4</v>
      </c>
      <c r="B10" s="133" t="s">
        <v>576</v>
      </c>
      <c r="C10" s="134" t="s">
        <v>18</v>
      </c>
      <c r="D10" s="134">
        <v>25</v>
      </c>
      <c r="E10" s="134">
        <v>2</v>
      </c>
      <c r="F10" s="91">
        <f t="shared" si="0"/>
        <v>-23</v>
      </c>
      <c r="G10" s="102">
        <f t="shared" si="1"/>
        <v>0.08</v>
      </c>
    </row>
    <row r="11" spans="1:7" ht="16" customHeight="1" x14ac:dyDescent="0.35">
      <c r="A11" s="91">
        <v>5</v>
      </c>
      <c r="B11" s="133" t="s">
        <v>577</v>
      </c>
      <c r="C11" s="134" t="s">
        <v>18</v>
      </c>
      <c r="D11" s="134">
        <v>25</v>
      </c>
      <c r="E11" s="134">
        <v>0</v>
      </c>
      <c r="F11" s="91">
        <f t="shared" si="0"/>
        <v>-25</v>
      </c>
      <c r="G11" s="102">
        <f t="shared" si="1"/>
        <v>0</v>
      </c>
    </row>
    <row r="12" spans="1:7" x14ac:dyDescent="0.35">
      <c r="A12" s="90"/>
      <c r="B12" s="90" t="s">
        <v>47</v>
      </c>
      <c r="C12" s="90"/>
      <c r="D12" s="90">
        <v>125</v>
      </c>
      <c r="E12" s="90">
        <f>SUM(E7:E11)</f>
        <v>83</v>
      </c>
      <c r="F12" s="91">
        <f t="shared" si="0"/>
        <v>-42</v>
      </c>
      <c r="G12" s="102">
        <f t="shared" si="1"/>
        <v>0.66400000000000003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C384-E7F7-45EE-83F4-019EAA372861}">
  <dimension ref="A1:M26"/>
  <sheetViews>
    <sheetView workbookViewId="0">
      <selection activeCell="C4" sqref="C4:G4"/>
    </sheetView>
  </sheetViews>
  <sheetFormatPr defaultRowHeight="14.5" x14ac:dyDescent="0.35"/>
  <cols>
    <col min="1" max="1" width="4.26953125" customWidth="1"/>
    <col min="2" max="2" width="38.26953125" customWidth="1"/>
    <col min="7" max="7" width="8.7265625" style="16"/>
    <col min="9" max="9" width="5.54296875" customWidth="1"/>
    <col min="10" max="10" width="15.26953125" customWidth="1"/>
  </cols>
  <sheetData>
    <row r="1" spans="1:13" x14ac:dyDescent="0.35">
      <c r="A1" s="184"/>
      <c r="B1" s="5" t="s">
        <v>131</v>
      </c>
      <c r="C1" s="184"/>
      <c r="D1" s="184"/>
      <c r="E1" s="184"/>
      <c r="F1" s="184"/>
    </row>
    <row r="2" spans="1:13" x14ac:dyDescent="0.35">
      <c r="A2" s="184"/>
      <c r="B2" s="5" t="s">
        <v>273</v>
      </c>
      <c r="C2" s="184"/>
      <c r="D2" s="184"/>
      <c r="E2" s="184"/>
      <c r="F2" s="184"/>
    </row>
    <row r="3" spans="1:13" x14ac:dyDescent="0.35">
      <c r="A3" s="184"/>
      <c r="B3" s="5" t="s">
        <v>274</v>
      </c>
      <c r="C3" s="184"/>
      <c r="D3" s="184"/>
      <c r="E3" s="184"/>
      <c r="F3" s="184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597</v>
      </c>
      <c r="K5" s="18">
        <v>190</v>
      </c>
      <c r="L5" s="18">
        <v>81</v>
      </c>
      <c r="M5" s="29">
        <f>L5/K5*100%</f>
        <v>0.4263157894736842</v>
      </c>
    </row>
    <row r="6" spans="1:13" x14ac:dyDescent="0.35">
      <c r="A6" s="78"/>
      <c r="B6" s="79"/>
      <c r="C6" s="81"/>
      <c r="D6" s="81"/>
      <c r="E6" s="81"/>
      <c r="F6" s="81"/>
      <c r="G6" s="101"/>
      <c r="I6" s="18">
        <v>2</v>
      </c>
      <c r="J6" s="18" t="s">
        <v>598</v>
      </c>
      <c r="K6" s="18">
        <v>150</v>
      </c>
      <c r="L6" s="18">
        <v>91</v>
      </c>
      <c r="M6" s="29">
        <f t="shared" ref="M6:M7" si="0">L6/K6*100%</f>
        <v>0.60666666666666669</v>
      </c>
    </row>
    <row r="7" spans="1:13" x14ac:dyDescent="0.35">
      <c r="A7" s="91">
        <v>1</v>
      </c>
      <c r="B7" s="133" t="s">
        <v>578</v>
      </c>
      <c r="C7" s="134" t="s">
        <v>16</v>
      </c>
      <c r="D7" s="134">
        <v>35</v>
      </c>
      <c r="E7" s="134">
        <v>1</v>
      </c>
      <c r="F7" s="91">
        <f>E7-D7</f>
        <v>-34</v>
      </c>
      <c r="G7" s="102">
        <f>E7/D7*100%</f>
        <v>2.8571428571428571E-2</v>
      </c>
      <c r="I7" s="18">
        <v>3</v>
      </c>
      <c r="J7" s="18" t="s">
        <v>599</v>
      </c>
      <c r="K7" s="18">
        <v>150</v>
      </c>
      <c r="L7" s="18">
        <v>90</v>
      </c>
      <c r="M7" s="29">
        <f t="shared" si="0"/>
        <v>0.6</v>
      </c>
    </row>
    <row r="8" spans="1:13" x14ac:dyDescent="0.35">
      <c r="A8" s="91">
        <v>2</v>
      </c>
      <c r="B8" s="133" t="s">
        <v>579</v>
      </c>
      <c r="C8" s="134" t="s">
        <v>18</v>
      </c>
      <c r="D8" s="134">
        <v>25</v>
      </c>
      <c r="E8" s="134">
        <v>16</v>
      </c>
      <c r="F8" s="91">
        <f t="shared" ref="F8:F26" si="1">E8-D8</f>
        <v>-9</v>
      </c>
      <c r="G8" s="102">
        <f t="shared" ref="G8:G26" si="2">E8/D8*100%</f>
        <v>0.64</v>
      </c>
    </row>
    <row r="9" spans="1:13" x14ac:dyDescent="0.35">
      <c r="A9" s="91">
        <v>3</v>
      </c>
      <c r="B9" s="133" t="s">
        <v>580</v>
      </c>
      <c r="C9" s="134" t="s">
        <v>18</v>
      </c>
      <c r="D9" s="134">
        <v>25</v>
      </c>
      <c r="E9" s="134">
        <v>25</v>
      </c>
      <c r="F9" s="91">
        <f t="shared" si="1"/>
        <v>0</v>
      </c>
      <c r="G9" s="102">
        <f t="shared" si="2"/>
        <v>1</v>
      </c>
    </row>
    <row r="10" spans="1:13" x14ac:dyDescent="0.35">
      <c r="A10" s="91">
        <v>4</v>
      </c>
      <c r="B10" s="133" t="s">
        <v>581</v>
      </c>
      <c r="C10" s="134" t="s">
        <v>18</v>
      </c>
      <c r="D10" s="134">
        <v>25</v>
      </c>
      <c r="E10" s="134">
        <v>5</v>
      </c>
      <c r="F10" s="91">
        <f t="shared" si="1"/>
        <v>-20</v>
      </c>
      <c r="G10" s="102">
        <f t="shared" si="2"/>
        <v>0.2</v>
      </c>
    </row>
    <row r="11" spans="1:13" x14ac:dyDescent="0.35">
      <c r="A11" s="91">
        <v>5</v>
      </c>
      <c r="B11" s="133" t="s">
        <v>582</v>
      </c>
      <c r="C11" s="134" t="s">
        <v>18</v>
      </c>
      <c r="D11" s="134">
        <v>25</v>
      </c>
      <c r="E11" s="134">
        <v>12</v>
      </c>
      <c r="F11" s="91">
        <f t="shared" si="1"/>
        <v>-13</v>
      </c>
      <c r="G11" s="102">
        <f t="shared" si="2"/>
        <v>0.48</v>
      </c>
    </row>
    <row r="12" spans="1:13" x14ac:dyDescent="0.35">
      <c r="A12" s="91">
        <v>6</v>
      </c>
      <c r="B12" s="133" t="s">
        <v>583</v>
      </c>
      <c r="C12" s="134" t="s">
        <v>18</v>
      </c>
      <c r="D12" s="134">
        <v>25</v>
      </c>
      <c r="E12" s="134">
        <v>21</v>
      </c>
      <c r="F12" s="91">
        <f t="shared" si="1"/>
        <v>-4</v>
      </c>
      <c r="G12" s="102">
        <f t="shared" si="2"/>
        <v>0.84</v>
      </c>
    </row>
    <row r="13" spans="1:13" x14ac:dyDescent="0.35">
      <c r="A13" s="91">
        <v>7</v>
      </c>
      <c r="B13" s="133" t="s">
        <v>584</v>
      </c>
      <c r="C13" s="134" t="s">
        <v>18</v>
      </c>
      <c r="D13" s="134">
        <v>25</v>
      </c>
      <c r="E13" s="134">
        <v>1</v>
      </c>
      <c r="F13" s="91">
        <f t="shared" si="1"/>
        <v>-24</v>
      </c>
      <c r="G13" s="102">
        <f t="shared" si="2"/>
        <v>0.04</v>
      </c>
    </row>
    <row r="14" spans="1:13" x14ac:dyDescent="0.35">
      <c r="A14" s="91">
        <v>8</v>
      </c>
      <c r="B14" s="133" t="s">
        <v>585</v>
      </c>
      <c r="C14" s="134" t="s">
        <v>16</v>
      </c>
      <c r="D14" s="134">
        <v>35</v>
      </c>
      <c r="E14" s="134">
        <v>0</v>
      </c>
      <c r="F14" s="91">
        <f t="shared" si="1"/>
        <v>-35</v>
      </c>
      <c r="G14" s="102">
        <f t="shared" si="2"/>
        <v>0</v>
      </c>
    </row>
    <row r="15" spans="1:13" x14ac:dyDescent="0.35">
      <c r="A15" s="91">
        <v>9</v>
      </c>
      <c r="B15" s="133" t="s">
        <v>586</v>
      </c>
      <c r="C15" s="134" t="s">
        <v>18</v>
      </c>
      <c r="D15" s="134">
        <v>25</v>
      </c>
      <c r="E15" s="134">
        <v>13</v>
      </c>
      <c r="F15" s="91">
        <f t="shared" si="1"/>
        <v>-12</v>
      </c>
      <c r="G15" s="102">
        <f t="shared" si="2"/>
        <v>0.52</v>
      </c>
    </row>
    <row r="16" spans="1:13" x14ac:dyDescent="0.35">
      <c r="A16" s="91">
        <v>10</v>
      </c>
      <c r="B16" s="133" t="s">
        <v>587</v>
      </c>
      <c r="C16" s="134" t="s">
        <v>18</v>
      </c>
      <c r="D16" s="134">
        <v>25</v>
      </c>
      <c r="E16" s="134">
        <v>21</v>
      </c>
      <c r="F16" s="91">
        <f t="shared" si="1"/>
        <v>-4</v>
      </c>
      <c r="G16" s="102">
        <f t="shared" si="2"/>
        <v>0.84</v>
      </c>
    </row>
    <row r="17" spans="1:7" x14ac:dyDescent="0.35">
      <c r="A17" s="91">
        <v>11</v>
      </c>
      <c r="B17" s="133" t="s">
        <v>588</v>
      </c>
      <c r="C17" s="134" t="s">
        <v>18</v>
      </c>
      <c r="D17" s="134">
        <v>25</v>
      </c>
      <c r="E17" s="134">
        <v>18</v>
      </c>
      <c r="F17" s="91">
        <f t="shared" si="1"/>
        <v>-7</v>
      </c>
      <c r="G17" s="102">
        <f t="shared" si="2"/>
        <v>0.72</v>
      </c>
    </row>
    <row r="18" spans="1:7" x14ac:dyDescent="0.35">
      <c r="A18" s="91">
        <v>12</v>
      </c>
      <c r="B18" s="133" t="s">
        <v>589</v>
      </c>
      <c r="C18" s="134" t="s">
        <v>18</v>
      </c>
      <c r="D18" s="134">
        <v>25</v>
      </c>
      <c r="E18" s="134">
        <v>26</v>
      </c>
      <c r="F18" s="91">
        <f t="shared" si="1"/>
        <v>1</v>
      </c>
      <c r="G18" s="102">
        <f t="shared" si="2"/>
        <v>1.04</v>
      </c>
    </row>
    <row r="19" spans="1:7" x14ac:dyDescent="0.35">
      <c r="A19" s="91">
        <v>13</v>
      </c>
      <c r="B19" s="133" t="s">
        <v>590</v>
      </c>
      <c r="C19" s="134" t="s">
        <v>18</v>
      </c>
      <c r="D19" s="134">
        <v>25</v>
      </c>
      <c r="E19" s="134">
        <v>13</v>
      </c>
      <c r="F19" s="91">
        <f t="shared" si="1"/>
        <v>-12</v>
      </c>
      <c r="G19" s="102">
        <f t="shared" si="2"/>
        <v>0.52</v>
      </c>
    </row>
    <row r="20" spans="1:7" x14ac:dyDescent="0.35">
      <c r="A20" s="91">
        <v>14</v>
      </c>
      <c r="B20" s="133" t="s">
        <v>591</v>
      </c>
      <c r="C20" s="134" t="s">
        <v>16</v>
      </c>
      <c r="D20" s="134">
        <v>35</v>
      </c>
      <c r="E20" s="134">
        <v>0</v>
      </c>
      <c r="F20" s="91">
        <f t="shared" si="1"/>
        <v>-35</v>
      </c>
      <c r="G20" s="102">
        <f t="shared" si="2"/>
        <v>0</v>
      </c>
    </row>
    <row r="21" spans="1:7" x14ac:dyDescent="0.35">
      <c r="A21" s="91">
        <v>15</v>
      </c>
      <c r="B21" s="133" t="s">
        <v>592</v>
      </c>
      <c r="C21" s="134" t="s">
        <v>18</v>
      </c>
      <c r="D21" s="134">
        <v>25</v>
      </c>
      <c r="E21" s="134">
        <v>27</v>
      </c>
      <c r="F21" s="91">
        <f t="shared" si="1"/>
        <v>2</v>
      </c>
      <c r="G21" s="102">
        <f t="shared" si="2"/>
        <v>1.08</v>
      </c>
    </row>
    <row r="22" spans="1:7" x14ac:dyDescent="0.35">
      <c r="A22" s="91">
        <v>16</v>
      </c>
      <c r="B22" s="133" t="s">
        <v>593</v>
      </c>
      <c r="C22" s="134" t="s">
        <v>18</v>
      </c>
      <c r="D22" s="134">
        <v>25</v>
      </c>
      <c r="E22" s="134">
        <v>13</v>
      </c>
      <c r="F22" s="91">
        <f t="shared" si="1"/>
        <v>-12</v>
      </c>
      <c r="G22" s="102">
        <f t="shared" si="2"/>
        <v>0.52</v>
      </c>
    </row>
    <row r="23" spans="1:7" x14ac:dyDescent="0.35">
      <c r="A23" s="91">
        <v>17</v>
      </c>
      <c r="B23" s="133" t="s">
        <v>594</v>
      </c>
      <c r="C23" s="134" t="s">
        <v>18</v>
      </c>
      <c r="D23" s="134">
        <v>25</v>
      </c>
      <c r="E23" s="134">
        <v>21</v>
      </c>
      <c r="F23" s="91">
        <f t="shared" si="1"/>
        <v>-4</v>
      </c>
      <c r="G23" s="102">
        <f t="shared" si="2"/>
        <v>0.84</v>
      </c>
    </row>
    <row r="24" spans="1:7" x14ac:dyDescent="0.35">
      <c r="A24" s="91">
        <v>18</v>
      </c>
      <c r="B24" s="133" t="s">
        <v>595</v>
      </c>
      <c r="C24" s="134" t="s">
        <v>18</v>
      </c>
      <c r="D24" s="134">
        <v>25</v>
      </c>
      <c r="E24" s="134">
        <v>7</v>
      </c>
      <c r="F24" s="91">
        <f t="shared" si="1"/>
        <v>-18</v>
      </c>
      <c r="G24" s="102">
        <f t="shared" si="2"/>
        <v>0.28000000000000003</v>
      </c>
    </row>
    <row r="25" spans="1:7" x14ac:dyDescent="0.35">
      <c r="A25" s="91">
        <v>19</v>
      </c>
      <c r="B25" s="133" t="s">
        <v>596</v>
      </c>
      <c r="C25" s="134" t="s">
        <v>18</v>
      </c>
      <c r="D25" s="134">
        <v>25</v>
      </c>
      <c r="E25" s="134">
        <v>22</v>
      </c>
      <c r="F25" s="91">
        <f t="shared" si="1"/>
        <v>-3</v>
      </c>
      <c r="G25" s="102">
        <f t="shared" si="2"/>
        <v>0.88</v>
      </c>
    </row>
    <row r="26" spans="1:7" x14ac:dyDescent="0.35">
      <c r="A26" s="91"/>
      <c r="B26" s="91" t="s">
        <v>69</v>
      </c>
      <c r="C26" s="91"/>
      <c r="D26" s="91">
        <v>490</v>
      </c>
      <c r="E26" s="91">
        <f>SUM(E7:E25)</f>
        <v>262</v>
      </c>
      <c r="F26" s="91">
        <f t="shared" si="1"/>
        <v>-228</v>
      </c>
      <c r="G26" s="102">
        <f t="shared" si="2"/>
        <v>0.53469387755102038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A151-D319-4B4E-9BA6-506C760EBC3B}">
  <dimension ref="A1:M25"/>
  <sheetViews>
    <sheetView workbookViewId="0">
      <selection activeCell="C4" sqref="C4:G4"/>
    </sheetView>
  </sheetViews>
  <sheetFormatPr defaultRowHeight="14.5" x14ac:dyDescent="0.35"/>
  <cols>
    <col min="1" max="1" width="5" customWidth="1"/>
    <col min="2" max="2" width="33.1796875" customWidth="1"/>
    <col min="7" max="7" width="8.7265625" style="16"/>
    <col min="9" max="9" width="3.26953125" customWidth="1"/>
    <col min="10" max="10" width="20.81640625" customWidth="1"/>
  </cols>
  <sheetData>
    <row r="1" spans="1:13" x14ac:dyDescent="0.35">
      <c r="A1" s="185"/>
      <c r="B1" s="5" t="s">
        <v>131</v>
      </c>
      <c r="C1" s="185"/>
      <c r="D1" s="185"/>
      <c r="E1" s="185"/>
      <c r="F1" s="185"/>
    </row>
    <row r="2" spans="1:13" x14ac:dyDescent="0.35">
      <c r="A2" s="185"/>
      <c r="B2" s="5" t="s">
        <v>273</v>
      </c>
      <c r="C2" s="185"/>
      <c r="D2" s="185"/>
      <c r="E2" s="185"/>
      <c r="F2" s="185"/>
    </row>
    <row r="3" spans="1:13" x14ac:dyDescent="0.35">
      <c r="A3" s="185"/>
      <c r="B3" s="5" t="s">
        <v>274</v>
      </c>
      <c r="C3" s="185"/>
      <c r="D3" s="185"/>
      <c r="E3" s="185"/>
      <c r="F3" s="185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619</v>
      </c>
      <c r="K5" s="18">
        <v>190</v>
      </c>
      <c r="L5" s="18">
        <v>123</v>
      </c>
      <c r="M5" s="29">
        <f>L5/K5*100%</f>
        <v>0.64736842105263159</v>
      </c>
    </row>
    <row r="6" spans="1:13" x14ac:dyDescent="0.35">
      <c r="A6" s="78"/>
      <c r="B6" s="79"/>
      <c r="C6" s="81"/>
      <c r="D6" s="81"/>
      <c r="E6" s="81"/>
      <c r="F6" s="81"/>
      <c r="G6" s="101"/>
      <c r="I6" s="18">
        <v>2</v>
      </c>
      <c r="J6" s="18" t="s">
        <v>620</v>
      </c>
      <c r="K6" s="18">
        <v>150</v>
      </c>
      <c r="L6" s="18">
        <v>85</v>
      </c>
      <c r="M6" s="29">
        <f t="shared" ref="M6:M7" si="0">L6/K6*100%</f>
        <v>0.56666666666666665</v>
      </c>
    </row>
    <row r="7" spans="1:13" x14ac:dyDescent="0.35">
      <c r="A7" s="13">
        <v>1</v>
      </c>
      <c r="B7" s="187" t="s">
        <v>600</v>
      </c>
      <c r="C7" s="188" t="s">
        <v>16</v>
      </c>
      <c r="D7" s="188">
        <v>35</v>
      </c>
      <c r="E7" s="188">
        <v>0</v>
      </c>
      <c r="F7" s="13">
        <f>E7-D7</f>
        <v>-35</v>
      </c>
      <c r="G7" s="15">
        <f>E7/D7*100%</f>
        <v>0</v>
      </c>
      <c r="I7" s="18">
        <v>3</v>
      </c>
      <c r="J7" s="18" t="s">
        <v>621</v>
      </c>
      <c r="K7" s="18">
        <v>150</v>
      </c>
      <c r="L7" s="18">
        <v>12</v>
      </c>
      <c r="M7" s="29">
        <f t="shared" si="0"/>
        <v>0.08</v>
      </c>
    </row>
    <row r="8" spans="1:13" x14ac:dyDescent="0.35">
      <c r="A8" s="13">
        <v>2</v>
      </c>
      <c r="B8" s="187" t="s">
        <v>601</v>
      </c>
      <c r="C8" s="188" t="s">
        <v>18</v>
      </c>
      <c r="D8" s="188">
        <v>25</v>
      </c>
      <c r="E8" s="188">
        <v>31</v>
      </c>
      <c r="F8" s="13">
        <f t="shared" ref="F8:F25" si="1">E8-D8</f>
        <v>6</v>
      </c>
      <c r="G8" s="15">
        <f t="shared" ref="G8:G25" si="2">E8/D8*100%</f>
        <v>1.24</v>
      </c>
    </row>
    <row r="9" spans="1:13" x14ac:dyDescent="0.35">
      <c r="A9" s="13">
        <v>3</v>
      </c>
      <c r="B9" s="187" t="s">
        <v>602</v>
      </c>
      <c r="C9" s="188" t="s">
        <v>18</v>
      </c>
      <c r="D9" s="188">
        <v>25</v>
      </c>
      <c r="E9" s="188">
        <v>25</v>
      </c>
      <c r="F9" s="13">
        <f t="shared" si="1"/>
        <v>0</v>
      </c>
      <c r="G9" s="15">
        <f t="shared" si="2"/>
        <v>1</v>
      </c>
    </row>
    <row r="10" spans="1:13" x14ac:dyDescent="0.35">
      <c r="A10" s="13">
        <v>4</v>
      </c>
      <c r="B10" s="187" t="s">
        <v>603</v>
      </c>
      <c r="C10" s="188" t="s">
        <v>18</v>
      </c>
      <c r="D10" s="188">
        <v>25</v>
      </c>
      <c r="E10" s="188">
        <v>13</v>
      </c>
      <c r="F10" s="13">
        <f t="shared" si="1"/>
        <v>-12</v>
      </c>
      <c r="G10" s="15">
        <f t="shared" si="2"/>
        <v>0.52</v>
      </c>
    </row>
    <row r="11" spans="1:13" x14ac:dyDescent="0.35">
      <c r="A11" s="13">
        <v>5</v>
      </c>
      <c r="B11" s="187" t="s">
        <v>604</v>
      </c>
      <c r="C11" s="188" t="s">
        <v>18</v>
      </c>
      <c r="D11" s="188">
        <v>25</v>
      </c>
      <c r="E11" s="188">
        <v>2</v>
      </c>
      <c r="F11" s="13">
        <f t="shared" si="1"/>
        <v>-23</v>
      </c>
      <c r="G11" s="15">
        <f t="shared" si="2"/>
        <v>0.08</v>
      </c>
    </row>
    <row r="12" spans="1:13" x14ac:dyDescent="0.35">
      <c r="A12" s="13">
        <v>6</v>
      </c>
      <c r="B12" s="187" t="s">
        <v>605</v>
      </c>
      <c r="C12" s="188" t="s">
        <v>18</v>
      </c>
      <c r="D12" s="188">
        <v>25</v>
      </c>
      <c r="E12" s="188">
        <v>16</v>
      </c>
      <c r="F12" s="13">
        <f t="shared" si="1"/>
        <v>-9</v>
      </c>
      <c r="G12" s="15">
        <f t="shared" si="2"/>
        <v>0.64</v>
      </c>
    </row>
    <row r="13" spans="1:13" x14ac:dyDescent="0.35">
      <c r="A13" s="13">
        <v>7</v>
      </c>
      <c r="B13" s="187" t="s">
        <v>606</v>
      </c>
      <c r="C13" s="188" t="s">
        <v>18</v>
      </c>
      <c r="D13" s="188">
        <v>25</v>
      </c>
      <c r="E13" s="188">
        <v>23</v>
      </c>
      <c r="F13" s="13">
        <f t="shared" si="1"/>
        <v>-2</v>
      </c>
      <c r="G13" s="15">
        <f t="shared" si="2"/>
        <v>0.92</v>
      </c>
    </row>
    <row r="14" spans="1:13" x14ac:dyDescent="0.35">
      <c r="A14" s="13">
        <v>8</v>
      </c>
      <c r="B14" s="187" t="s">
        <v>607</v>
      </c>
      <c r="C14" s="188" t="s">
        <v>18</v>
      </c>
      <c r="D14" s="188">
        <v>25</v>
      </c>
      <c r="E14" s="188">
        <v>13</v>
      </c>
      <c r="F14" s="13">
        <f t="shared" si="1"/>
        <v>-12</v>
      </c>
      <c r="G14" s="15">
        <f t="shared" si="2"/>
        <v>0.52</v>
      </c>
    </row>
    <row r="15" spans="1:13" x14ac:dyDescent="0.35">
      <c r="A15" s="13">
        <v>9</v>
      </c>
      <c r="B15" s="187" t="s">
        <v>608</v>
      </c>
      <c r="C15" s="188" t="s">
        <v>16</v>
      </c>
      <c r="D15" s="188">
        <v>35</v>
      </c>
      <c r="E15" s="188">
        <v>2</v>
      </c>
      <c r="F15" s="13">
        <f t="shared" si="1"/>
        <v>-33</v>
      </c>
      <c r="G15" s="15">
        <f t="shared" si="2"/>
        <v>5.7142857142857141E-2</v>
      </c>
    </row>
    <row r="16" spans="1:13" x14ac:dyDescent="0.35">
      <c r="A16" s="13">
        <v>10</v>
      </c>
      <c r="B16" s="187" t="s">
        <v>609</v>
      </c>
      <c r="C16" s="188" t="s">
        <v>18</v>
      </c>
      <c r="D16" s="188">
        <v>25</v>
      </c>
      <c r="E16" s="188">
        <v>13</v>
      </c>
      <c r="F16" s="13">
        <f t="shared" si="1"/>
        <v>-12</v>
      </c>
      <c r="G16" s="15">
        <f t="shared" si="2"/>
        <v>0.52</v>
      </c>
    </row>
    <row r="17" spans="1:7" x14ac:dyDescent="0.35">
      <c r="A17" s="13">
        <v>11</v>
      </c>
      <c r="B17" s="187" t="s">
        <v>610</v>
      </c>
      <c r="C17" s="188" t="s">
        <v>18</v>
      </c>
      <c r="D17" s="188">
        <v>25</v>
      </c>
      <c r="E17" s="188">
        <v>27</v>
      </c>
      <c r="F17" s="13">
        <f t="shared" si="1"/>
        <v>2</v>
      </c>
      <c r="G17" s="15">
        <f t="shared" si="2"/>
        <v>1.08</v>
      </c>
    </row>
    <row r="18" spans="1:7" x14ac:dyDescent="0.35">
      <c r="A18" s="13">
        <v>12</v>
      </c>
      <c r="B18" s="187" t="s">
        <v>611</v>
      </c>
      <c r="C18" s="188" t="s">
        <v>18</v>
      </c>
      <c r="D18" s="188">
        <v>25</v>
      </c>
      <c r="E18" s="188">
        <v>13</v>
      </c>
      <c r="F18" s="13">
        <f t="shared" si="1"/>
        <v>-12</v>
      </c>
      <c r="G18" s="15">
        <f t="shared" si="2"/>
        <v>0.52</v>
      </c>
    </row>
    <row r="19" spans="1:7" x14ac:dyDescent="0.35">
      <c r="A19" s="13">
        <v>13</v>
      </c>
      <c r="B19" s="187" t="s">
        <v>612</v>
      </c>
      <c r="C19" s="188" t="s">
        <v>18</v>
      </c>
      <c r="D19" s="188">
        <v>25</v>
      </c>
      <c r="E19" s="188">
        <v>19</v>
      </c>
      <c r="F19" s="13">
        <f t="shared" si="1"/>
        <v>-6</v>
      </c>
      <c r="G19" s="15">
        <f t="shared" si="2"/>
        <v>0.76</v>
      </c>
    </row>
    <row r="20" spans="1:7" x14ac:dyDescent="0.35">
      <c r="A20" s="13">
        <v>14</v>
      </c>
      <c r="B20" s="187" t="s">
        <v>613</v>
      </c>
      <c r="C20" s="188" t="s">
        <v>18</v>
      </c>
      <c r="D20" s="188">
        <v>25</v>
      </c>
      <c r="E20" s="188">
        <v>11</v>
      </c>
      <c r="F20" s="13">
        <f t="shared" si="1"/>
        <v>-14</v>
      </c>
      <c r="G20" s="15">
        <f t="shared" si="2"/>
        <v>0.44</v>
      </c>
    </row>
    <row r="21" spans="1:7" x14ac:dyDescent="0.35">
      <c r="A21" s="13">
        <v>15</v>
      </c>
      <c r="B21" s="187" t="s">
        <v>614</v>
      </c>
      <c r="C21" s="188" t="s">
        <v>16</v>
      </c>
      <c r="D21" s="188">
        <v>35</v>
      </c>
      <c r="E21" s="188">
        <v>0</v>
      </c>
      <c r="F21" s="13">
        <f t="shared" si="1"/>
        <v>-35</v>
      </c>
      <c r="G21" s="15">
        <f t="shared" si="2"/>
        <v>0</v>
      </c>
    </row>
    <row r="22" spans="1:7" x14ac:dyDescent="0.35">
      <c r="A22" s="13">
        <v>16</v>
      </c>
      <c r="B22" s="187" t="s">
        <v>615</v>
      </c>
      <c r="C22" s="188" t="s">
        <v>18</v>
      </c>
      <c r="D22" s="188">
        <v>25</v>
      </c>
      <c r="E22" s="188">
        <v>7</v>
      </c>
      <c r="F22" s="13">
        <f t="shared" si="1"/>
        <v>-18</v>
      </c>
      <c r="G22" s="15">
        <f t="shared" si="2"/>
        <v>0.28000000000000003</v>
      </c>
    </row>
    <row r="23" spans="1:7" x14ac:dyDescent="0.35">
      <c r="A23" s="13">
        <v>17</v>
      </c>
      <c r="B23" s="187" t="s">
        <v>616</v>
      </c>
      <c r="C23" s="188" t="s">
        <v>18</v>
      </c>
      <c r="D23" s="188">
        <v>25</v>
      </c>
      <c r="E23" s="188">
        <v>4</v>
      </c>
      <c r="F23" s="13">
        <f t="shared" si="1"/>
        <v>-21</v>
      </c>
      <c r="G23" s="15">
        <f t="shared" si="2"/>
        <v>0.16</v>
      </c>
    </row>
    <row r="24" spans="1:7" x14ac:dyDescent="0.35">
      <c r="A24" s="13">
        <v>18</v>
      </c>
      <c r="B24" s="187" t="s">
        <v>617</v>
      </c>
      <c r="C24" s="188" t="s">
        <v>18</v>
      </c>
      <c r="D24" s="188">
        <v>25</v>
      </c>
      <c r="E24" s="188">
        <v>1</v>
      </c>
      <c r="F24" s="13">
        <f t="shared" si="1"/>
        <v>-24</v>
      </c>
      <c r="G24" s="15">
        <f t="shared" si="2"/>
        <v>0.04</v>
      </c>
    </row>
    <row r="25" spans="1:7" x14ac:dyDescent="0.35">
      <c r="A25" s="13"/>
      <c r="B25" s="13" t="s">
        <v>47</v>
      </c>
      <c r="C25" s="13"/>
      <c r="D25" s="13">
        <v>490</v>
      </c>
      <c r="E25" s="13">
        <f>SUM(E7:E24)</f>
        <v>220</v>
      </c>
      <c r="F25" s="13">
        <f t="shared" si="1"/>
        <v>-270</v>
      </c>
      <c r="G25" s="15">
        <f t="shared" si="2"/>
        <v>0.44897959183673469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4319-D73F-4217-8B9B-8B1981E80359}">
  <dimension ref="A1:M19"/>
  <sheetViews>
    <sheetView workbookViewId="0">
      <selection activeCell="C4" sqref="C4:G4"/>
    </sheetView>
  </sheetViews>
  <sheetFormatPr defaultRowHeight="14.5" x14ac:dyDescent="0.35"/>
  <cols>
    <col min="1" max="1" width="4.453125" customWidth="1"/>
    <col min="2" max="2" width="32.54296875" customWidth="1"/>
    <col min="7" max="7" width="8.7265625" style="16"/>
    <col min="9" max="9" width="5.36328125" customWidth="1"/>
    <col min="10" max="10" width="19.54296875" customWidth="1"/>
  </cols>
  <sheetData>
    <row r="1" spans="1:13" x14ac:dyDescent="0.35">
      <c r="A1" s="186"/>
      <c r="B1" s="5" t="s">
        <v>131</v>
      </c>
      <c r="C1" s="186"/>
      <c r="D1" s="186"/>
      <c r="E1" s="186"/>
      <c r="F1" s="186"/>
    </row>
    <row r="2" spans="1:13" x14ac:dyDescent="0.35">
      <c r="A2" s="186"/>
      <c r="B2" s="5" t="s">
        <v>273</v>
      </c>
      <c r="C2" s="186"/>
      <c r="D2" s="186"/>
      <c r="E2" s="186"/>
      <c r="F2" s="186"/>
    </row>
    <row r="3" spans="1:13" x14ac:dyDescent="0.35">
      <c r="A3" s="186"/>
      <c r="B3" s="5" t="s">
        <v>274</v>
      </c>
      <c r="C3" s="186"/>
      <c r="D3" s="186"/>
      <c r="E3" s="186"/>
      <c r="F3" s="186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634</v>
      </c>
      <c r="K5" s="18">
        <v>150</v>
      </c>
      <c r="L5" s="18">
        <v>102</v>
      </c>
      <c r="M5" s="29">
        <f>L5/K5*100%</f>
        <v>0.68</v>
      </c>
    </row>
    <row r="6" spans="1:13" x14ac:dyDescent="0.35">
      <c r="A6" s="78"/>
      <c r="B6" s="79"/>
      <c r="C6" s="81"/>
      <c r="D6" s="81"/>
      <c r="E6" s="81"/>
      <c r="F6" s="81"/>
      <c r="G6" s="101"/>
      <c r="I6" s="18">
        <v>2</v>
      </c>
      <c r="J6" s="18" t="s">
        <v>635</v>
      </c>
      <c r="K6" s="18">
        <v>150</v>
      </c>
      <c r="L6" s="18">
        <v>74</v>
      </c>
      <c r="M6" s="29">
        <f>L6/K6*100%</f>
        <v>0.49333333333333335</v>
      </c>
    </row>
    <row r="7" spans="1:13" x14ac:dyDescent="0.35">
      <c r="A7" s="91">
        <v>1</v>
      </c>
      <c r="B7" s="133" t="s">
        <v>622</v>
      </c>
      <c r="C7" s="134" t="s">
        <v>16</v>
      </c>
      <c r="D7" s="134">
        <v>35</v>
      </c>
      <c r="E7" s="134">
        <v>0</v>
      </c>
      <c r="F7" s="91">
        <f>E7-D7</f>
        <v>-35</v>
      </c>
      <c r="G7" s="17">
        <f>E7/D7*100%</f>
        <v>0</v>
      </c>
    </row>
    <row r="8" spans="1:13" x14ac:dyDescent="0.35">
      <c r="A8" s="91">
        <v>2</v>
      </c>
      <c r="B8" s="133" t="s">
        <v>623</v>
      </c>
      <c r="C8" s="134" t="s">
        <v>18</v>
      </c>
      <c r="D8" s="134">
        <v>25</v>
      </c>
      <c r="E8" s="134">
        <v>11</v>
      </c>
      <c r="F8" s="91">
        <f t="shared" ref="F8:F19" si="0">E8-D8</f>
        <v>-14</v>
      </c>
      <c r="G8" s="17">
        <f t="shared" ref="G8:G19" si="1">E8/D8*100%</f>
        <v>0.44</v>
      </c>
    </row>
    <row r="9" spans="1:13" x14ac:dyDescent="0.35">
      <c r="A9" s="91">
        <v>3</v>
      </c>
      <c r="B9" s="133" t="s">
        <v>624</v>
      </c>
      <c r="C9" s="134" t="s">
        <v>18</v>
      </c>
      <c r="D9" s="134">
        <v>25</v>
      </c>
      <c r="E9" s="134">
        <v>19</v>
      </c>
      <c r="F9" s="91">
        <f t="shared" si="0"/>
        <v>-6</v>
      </c>
      <c r="G9" s="17">
        <f t="shared" si="1"/>
        <v>0.76</v>
      </c>
    </row>
    <row r="10" spans="1:13" x14ac:dyDescent="0.35">
      <c r="A10" s="91">
        <v>4</v>
      </c>
      <c r="B10" s="133" t="s">
        <v>625</v>
      </c>
      <c r="C10" s="134" t="s">
        <v>18</v>
      </c>
      <c r="D10" s="134">
        <v>25</v>
      </c>
      <c r="E10" s="134">
        <v>34</v>
      </c>
      <c r="F10" s="91">
        <f t="shared" si="0"/>
        <v>9</v>
      </c>
      <c r="G10" s="17">
        <f t="shared" si="1"/>
        <v>1.36</v>
      </c>
    </row>
    <row r="11" spans="1:13" x14ac:dyDescent="0.35">
      <c r="A11" s="91">
        <v>5</v>
      </c>
      <c r="B11" s="133" t="s">
        <v>626</v>
      </c>
      <c r="C11" s="134" t="s">
        <v>18</v>
      </c>
      <c r="D11" s="134">
        <v>25</v>
      </c>
      <c r="E11" s="134">
        <v>14</v>
      </c>
      <c r="F11" s="91">
        <f t="shared" si="0"/>
        <v>-11</v>
      </c>
      <c r="G11" s="17">
        <f t="shared" si="1"/>
        <v>0.56000000000000005</v>
      </c>
    </row>
    <row r="12" spans="1:13" x14ac:dyDescent="0.35">
      <c r="A12" s="91">
        <v>6</v>
      </c>
      <c r="B12" s="133" t="s">
        <v>627</v>
      </c>
      <c r="C12" s="134" t="s">
        <v>18</v>
      </c>
      <c r="D12" s="134">
        <v>25</v>
      </c>
      <c r="E12" s="134">
        <v>24</v>
      </c>
      <c r="F12" s="91">
        <f t="shared" si="0"/>
        <v>-1</v>
      </c>
      <c r="G12" s="17">
        <f t="shared" si="1"/>
        <v>0.96</v>
      </c>
    </row>
    <row r="13" spans="1:13" x14ac:dyDescent="0.35">
      <c r="A13" s="91">
        <v>7</v>
      </c>
      <c r="B13" s="133" t="s">
        <v>628</v>
      </c>
      <c r="C13" s="134" t="s">
        <v>16</v>
      </c>
      <c r="D13" s="134">
        <v>35</v>
      </c>
      <c r="E13" s="134">
        <v>1</v>
      </c>
      <c r="F13" s="91">
        <f t="shared" si="0"/>
        <v>-34</v>
      </c>
      <c r="G13" s="17">
        <f t="shared" si="1"/>
        <v>2.8571428571428571E-2</v>
      </c>
    </row>
    <row r="14" spans="1:13" x14ac:dyDescent="0.35">
      <c r="A14" s="91">
        <v>8</v>
      </c>
      <c r="B14" s="133" t="s">
        <v>629</v>
      </c>
      <c r="C14" s="134" t="s">
        <v>18</v>
      </c>
      <c r="D14" s="134">
        <v>25</v>
      </c>
      <c r="E14" s="134">
        <v>6</v>
      </c>
      <c r="F14" s="91">
        <f t="shared" si="0"/>
        <v>-19</v>
      </c>
      <c r="G14" s="17">
        <f t="shared" si="1"/>
        <v>0.24</v>
      </c>
    </row>
    <row r="15" spans="1:13" x14ac:dyDescent="0.35">
      <c r="A15" s="91">
        <v>9</v>
      </c>
      <c r="B15" s="133" t="s">
        <v>630</v>
      </c>
      <c r="C15" s="134" t="s">
        <v>18</v>
      </c>
      <c r="D15" s="134">
        <v>25</v>
      </c>
      <c r="E15" s="134">
        <v>6</v>
      </c>
      <c r="F15" s="91">
        <f t="shared" si="0"/>
        <v>-19</v>
      </c>
      <c r="G15" s="17">
        <f t="shared" si="1"/>
        <v>0.24</v>
      </c>
    </row>
    <row r="16" spans="1:13" x14ac:dyDescent="0.35">
      <c r="A16" s="91">
        <v>10</v>
      </c>
      <c r="B16" s="133" t="s">
        <v>631</v>
      </c>
      <c r="C16" s="134" t="s">
        <v>18</v>
      </c>
      <c r="D16" s="134">
        <v>25</v>
      </c>
      <c r="E16" s="134">
        <v>39</v>
      </c>
      <c r="F16" s="91">
        <f t="shared" si="0"/>
        <v>14</v>
      </c>
      <c r="G16" s="17">
        <f t="shared" si="1"/>
        <v>1.56</v>
      </c>
    </row>
    <row r="17" spans="1:7" x14ac:dyDescent="0.35">
      <c r="A17" s="91">
        <v>11</v>
      </c>
      <c r="B17" s="133" t="s">
        <v>632</v>
      </c>
      <c r="C17" s="134" t="s">
        <v>18</v>
      </c>
      <c r="D17" s="134">
        <v>25</v>
      </c>
      <c r="E17" s="134">
        <v>14</v>
      </c>
      <c r="F17" s="91">
        <f t="shared" si="0"/>
        <v>-11</v>
      </c>
      <c r="G17" s="17">
        <f t="shared" si="1"/>
        <v>0.56000000000000005</v>
      </c>
    </row>
    <row r="18" spans="1:7" x14ac:dyDescent="0.35">
      <c r="A18" s="91">
        <v>12</v>
      </c>
      <c r="B18" s="133" t="s">
        <v>633</v>
      </c>
      <c r="C18" s="134" t="s">
        <v>18</v>
      </c>
      <c r="D18" s="134">
        <v>25</v>
      </c>
      <c r="E18" s="134">
        <v>8</v>
      </c>
      <c r="F18" s="91">
        <f t="shared" si="0"/>
        <v>-17</v>
      </c>
      <c r="G18" s="17">
        <f t="shared" si="1"/>
        <v>0.32</v>
      </c>
    </row>
    <row r="19" spans="1:7" x14ac:dyDescent="0.35">
      <c r="A19" s="91"/>
      <c r="B19" s="91" t="s">
        <v>47</v>
      </c>
      <c r="C19" s="91"/>
      <c r="D19" s="91">
        <v>300</v>
      </c>
      <c r="E19" s="91">
        <f>SUM(E7:E18)</f>
        <v>176</v>
      </c>
      <c r="F19" s="91">
        <f t="shared" si="0"/>
        <v>-124</v>
      </c>
      <c r="G19" s="17">
        <f t="shared" si="1"/>
        <v>0.58666666666666667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8688-A6E3-4663-AFC6-CFBACFA66C24}">
  <dimension ref="A1:G14"/>
  <sheetViews>
    <sheetView workbookViewId="0">
      <selection activeCell="C4" sqref="C4:G4"/>
    </sheetView>
  </sheetViews>
  <sheetFormatPr defaultRowHeight="14.5" x14ac:dyDescent="0.35"/>
  <cols>
    <col min="1" max="1" width="4.54296875" customWidth="1"/>
    <col min="2" max="2" width="35.08984375" customWidth="1"/>
    <col min="7" max="7" width="8.7265625" style="16"/>
  </cols>
  <sheetData>
    <row r="1" spans="1:7" x14ac:dyDescent="0.35">
      <c r="A1" s="189"/>
      <c r="B1" s="5" t="s">
        <v>131</v>
      </c>
      <c r="C1" s="189"/>
      <c r="D1" s="189"/>
      <c r="E1" s="189"/>
      <c r="F1" s="189"/>
    </row>
    <row r="2" spans="1:7" x14ac:dyDescent="0.35">
      <c r="A2" s="189"/>
      <c r="B2" s="5" t="s">
        <v>273</v>
      </c>
      <c r="C2" s="189"/>
      <c r="D2" s="189"/>
      <c r="E2" s="189"/>
      <c r="F2" s="189"/>
    </row>
    <row r="3" spans="1:7" x14ac:dyDescent="0.35">
      <c r="A3" s="189"/>
      <c r="B3" s="5" t="s">
        <v>274</v>
      </c>
      <c r="C3" s="189"/>
      <c r="D3" s="189"/>
      <c r="E3" s="189"/>
      <c r="F3" s="189"/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78"/>
      <c r="B6" s="79"/>
      <c r="C6" s="81"/>
      <c r="D6" s="81"/>
      <c r="E6" s="81"/>
      <c r="F6" s="81"/>
      <c r="G6" s="101"/>
    </row>
    <row r="7" spans="1:7" x14ac:dyDescent="0.35">
      <c r="A7" s="91">
        <v>1</v>
      </c>
      <c r="B7" s="133" t="s">
        <v>636</v>
      </c>
      <c r="C7" s="134" t="s">
        <v>16</v>
      </c>
      <c r="D7" s="134">
        <v>35</v>
      </c>
      <c r="E7" s="134">
        <v>0</v>
      </c>
      <c r="F7" s="91">
        <f>E7-D7</f>
        <v>-35</v>
      </c>
      <c r="G7" s="102">
        <f>E7/D7*100%</f>
        <v>0</v>
      </c>
    </row>
    <row r="8" spans="1:7" x14ac:dyDescent="0.35">
      <c r="A8" s="91">
        <v>2</v>
      </c>
      <c r="B8" s="133" t="s">
        <v>637</v>
      </c>
      <c r="C8" s="134" t="s">
        <v>18</v>
      </c>
      <c r="D8" s="134">
        <v>25</v>
      </c>
      <c r="E8" s="134">
        <v>20</v>
      </c>
      <c r="F8" s="91">
        <f t="shared" ref="F8:F14" si="0">E8-D8</f>
        <v>-5</v>
      </c>
      <c r="G8" s="102">
        <f t="shared" ref="G8:G14" si="1">E8/D8*100%</f>
        <v>0.8</v>
      </c>
    </row>
    <row r="9" spans="1:7" x14ac:dyDescent="0.35">
      <c r="A9" s="91">
        <v>3</v>
      </c>
      <c r="B9" s="133" t="s">
        <v>638</v>
      </c>
      <c r="C9" s="134" t="s">
        <v>18</v>
      </c>
      <c r="D9" s="134">
        <v>25</v>
      </c>
      <c r="E9" s="134">
        <v>4</v>
      </c>
      <c r="F9" s="91">
        <f t="shared" si="0"/>
        <v>-21</v>
      </c>
      <c r="G9" s="102">
        <f t="shared" si="1"/>
        <v>0.16</v>
      </c>
    </row>
    <row r="10" spans="1:7" x14ac:dyDescent="0.35">
      <c r="A10" s="91">
        <v>4</v>
      </c>
      <c r="B10" s="133" t="s">
        <v>639</v>
      </c>
      <c r="C10" s="134" t="s">
        <v>18</v>
      </c>
      <c r="D10" s="134">
        <v>25</v>
      </c>
      <c r="E10" s="134">
        <v>0</v>
      </c>
      <c r="F10" s="91">
        <f t="shared" si="0"/>
        <v>-25</v>
      </c>
      <c r="G10" s="102">
        <f t="shared" si="1"/>
        <v>0</v>
      </c>
    </row>
    <row r="11" spans="1:7" x14ac:dyDescent="0.35">
      <c r="A11" s="91">
        <v>5</v>
      </c>
      <c r="B11" s="133" t="s">
        <v>640</v>
      </c>
      <c r="C11" s="134" t="s">
        <v>18</v>
      </c>
      <c r="D11" s="134">
        <v>35</v>
      </c>
      <c r="E11" s="134">
        <v>17</v>
      </c>
      <c r="F11" s="91">
        <f t="shared" si="0"/>
        <v>-18</v>
      </c>
      <c r="G11" s="102">
        <f t="shared" si="1"/>
        <v>0.48571428571428571</v>
      </c>
    </row>
    <row r="12" spans="1:7" x14ac:dyDescent="0.35">
      <c r="A12" s="91">
        <v>6</v>
      </c>
      <c r="B12" s="133" t="s">
        <v>641</v>
      </c>
      <c r="C12" s="134" t="s">
        <v>18</v>
      </c>
      <c r="D12" s="134">
        <v>25</v>
      </c>
      <c r="E12" s="134">
        <v>27</v>
      </c>
      <c r="F12" s="91">
        <f t="shared" si="0"/>
        <v>2</v>
      </c>
      <c r="G12" s="102">
        <f t="shared" si="1"/>
        <v>1.08</v>
      </c>
    </row>
    <row r="13" spans="1:7" x14ac:dyDescent="0.35">
      <c r="A13" s="91">
        <v>7</v>
      </c>
      <c r="B13" s="133" t="s">
        <v>642</v>
      </c>
      <c r="C13" s="134" t="s">
        <v>18</v>
      </c>
      <c r="D13" s="134">
        <v>25</v>
      </c>
      <c r="E13" s="134">
        <v>15</v>
      </c>
      <c r="F13" s="91">
        <f t="shared" si="0"/>
        <v>-10</v>
      </c>
      <c r="G13" s="102">
        <f t="shared" si="1"/>
        <v>0.6</v>
      </c>
    </row>
    <row r="14" spans="1:7" x14ac:dyDescent="0.35">
      <c r="A14" s="91"/>
      <c r="B14" s="91" t="s">
        <v>47</v>
      </c>
      <c r="C14" s="91"/>
      <c r="D14" s="91">
        <v>190</v>
      </c>
      <c r="E14" s="91">
        <f>SUM(E7:E13)</f>
        <v>83</v>
      </c>
      <c r="F14" s="91">
        <f t="shared" si="0"/>
        <v>-107</v>
      </c>
      <c r="G14" s="102">
        <f t="shared" si="1"/>
        <v>0.43684210526315792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5E05-2D38-4495-BB27-65C3E5D0CCF9}">
  <dimension ref="A1:M33"/>
  <sheetViews>
    <sheetView workbookViewId="0">
      <selection activeCell="C4" sqref="C4:G4"/>
    </sheetView>
  </sheetViews>
  <sheetFormatPr defaultRowHeight="14.5" x14ac:dyDescent="0.35"/>
  <cols>
    <col min="1" max="1" width="4.08984375" customWidth="1"/>
    <col min="2" max="2" width="38.7265625" customWidth="1"/>
    <col min="7" max="7" width="8.7265625" style="16"/>
    <col min="9" max="9" width="4.90625" customWidth="1"/>
    <col min="10" max="10" width="21.36328125" customWidth="1"/>
  </cols>
  <sheetData>
    <row r="1" spans="1:13" x14ac:dyDescent="0.35">
      <c r="A1" s="190"/>
      <c r="B1" s="5" t="s">
        <v>131</v>
      </c>
      <c r="C1" s="190"/>
      <c r="D1" s="190"/>
      <c r="E1" s="190"/>
      <c r="F1" s="190"/>
    </row>
    <row r="2" spans="1:13" x14ac:dyDescent="0.35">
      <c r="A2" s="190"/>
      <c r="B2" s="5" t="s">
        <v>273</v>
      </c>
      <c r="C2" s="190"/>
      <c r="D2" s="190"/>
      <c r="E2" s="190"/>
      <c r="F2" s="190"/>
    </row>
    <row r="3" spans="1:13" x14ac:dyDescent="0.35">
      <c r="A3" s="190"/>
      <c r="B3" s="5" t="s">
        <v>643</v>
      </c>
      <c r="C3" s="190"/>
      <c r="D3" s="190"/>
      <c r="E3" s="190"/>
      <c r="F3" s="190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05">
        <v>1</v>
      </c>
      <c r="J5" s="105" t="s">
        <v>670</v>
      </c>
      <c r="K5" s="105">
        <v>230</v>
      </c>
      <c r="L5" s="105">
        <v>128</v>
      </c>
      <c r="M5" s="194">
        <f>L5/K5*100%</f>
        <v>0.55652173913043479</v>
      </c>
    </row>
    <row r="6" spans="1:13" x14ac:dyDescent="0.35">
      <c r="A6" s="78"/>
      <c r="B6" s="79"/>
      <c r="C6" s="81"/>
      <c r="D6" s="81"/>
      <c r="E6" s="81"/>
      <c r="F6" s="81"/>
      <c r="G6" s="101"/>
      <c r="I6" s="105">
        <v>2</v>
      </c>
      <c r="J6" s="105" t="s">
        <v>671</v>
      </c>
      <c r="K6" s="105">
        <v>190</v>
      </c>
      <c r="L6" s="105">
        <v>174</v>
      </c>
      <c r="M6" s="194">
        <f t="shared" ref="M6:M7" si="0">L6/K6*100%</f>
        <v>0.91578947368421049</v>
      </c>
    </row>
    <row r="7" spans="1:13" x14ac:dyDescent="0.35">
      <c r="A7" s="90">
        <v>1</v>
      </c>
      <c r="B7" s="192" t="s">
        <v>644</v>
      </c>
      <c r="C7" s="193" t="s">
        <v>16</v>
      </c>
      <c r="D7" s="193">
        <v>35</v>
      </c>
      <c r="E7" s="193">
        <v>1</v>
      </c>
      <c r="F7" s="90">
        <f>E7-D7</f>
        <v>-34</v>
      </c>
      <c r="G7" s="159">
        <f>E7/D7*100%</f>
        <v>2.8571428571428571E-2</v>
      </c>
      <c r="I7" s="105">
        <v>3</v>
      </c>
      <c r="J7" s="105" t="s">
        <v>672</v>
      </c>
      <c r="K7" s="105">
        <v>190</v>
      </c>
      <c r="L7" s="105">
        <v>140</v>
      </c>
      <c r="M7" s="194">
        <f t="shared" si="0"/>
        <v>0.73684210526315785</v>
      </c>
    </row>
    <row r="8" spans="1:13" x14ac:dyDescent="0.35">
      <c r="A8" s="90">
        <v>2</v>
      </c>
      <c r="B8" s="192" t="s">
        <v>645</v>
      </c>
      <c r="C8" s="193" t="s">
        <v>18</v>
      </c>
      <c r="D8" s="193">
        <v>25</v>
      </c>
      <c r="E8" s="193">
        <v>14</v>
      </c>
      <c r="F8" s="90">
        <f t="shared" ref="F8:F33" si="1">E8-D8</f>
        <v>-11</v>
      </c>
      <c r="G8" s="159">
        <f t="shared" ref="G8:G33" si="2">E8/D8*100%</f>
        <v>0.56000000000000005</v>
      </c>
    </row>
    <row r="9" spans="1:13" x14ac:dyDescent="0.35">
      <c r="A9" s="90">
        <v>3</v>
      </c>
      <c r="B9" s="192" t="s">
        <v>646</v>
      </c>
      <c r="C9" s="193" t="s">
        <v>18</v>
      </c>
      <c r="D9" s="193">
        <v>25</v>
      </c>
      <c r="E9" s="193">
        <v>15</v>
      </c>
      <c r="F9" s="90">
        <f t="shared" si="1"/>
        <v>-10</v>
      </c>
      <c r="G9" s="159">
        <f t="shared" si="2"/>
        <v>0.6</v>
      </c>
    </row>
    <row r="10" spans="1:13" x14ac:dyDescent="0.35">
      <c r="A10" s="90">
        <v>4</v>
      </c>
      <c r="B10" s="192" t="s">
        <v>647</v>
      </c>
      <c r="C10" s="193" t="s">
        <v>18</v>
      </c>
      <c r="D10" s="193">
        <v>25</v>
      </c>
      <c r="E10" s="193">
        <v>11</v>
      </c>
      <c r="F10" s="90">
        <f t="shared" si="1"/>
        <v>-14</v>
      </c>
      <c r="G10" s="159">
        <f t="shared" si="2"/>
        <v>0.44</v>
      </c>
    </row>
    <row r="11" spans="1:13" x14ac:dyDescent="0.35">
      <c r="A11" s="90">
        <v>5</v>
      </c>
      <c r="B11" s="192" t="s">
        <v>648</v>
      </c>
      <c r="C11" s="193" t="s">
        <v>18</v>
      </c>
      <c r="D11" s="193">
        <v>25</v>
      </c>
      <c r="E11" s="193">
        <v>28</v>
      </c>
      <c r="F11" s="90">
        <f t="shared" si="1"/>
        <v>3</v>
      </c>
      <c r="G11" s="159">
        <f t="shared" si="2"/>
        <v>1.1200000000000001</v>
      </c>
    </row>
    <row r="12" spans="1:13" x14ac:dyDescent="0.35">
      <c r="A12" s="90">
        <v>6</v>
      </c>
      <c r="B12" s="192" t="s">
        <v>649</v>
      </c>
      <c r="C12" s="193" t="s">
        <v>18</v>
      </c>
      <c r="D12" s="193">
        <v>25</v>
      </c>
      <c r="E12" s="193">
        <v>1</v>
      </c>
      <c r="F12" s="90">
        <f t="shared" si="1"/>
        <v>-24</v>
      </c>
      <c r="G12" s="159">
        <f t="shared" si="2"/>
        <v>0.04</v>
      </c>
    </row>
    <row r="13" spans="1:13" x14ac:dyDescent="0.35">
      <c r="A13" s="90">
        <v>7</v>
      </c>
      <c r="B13" s="192" t="s">
        <v>650</v>
      </c>
      <c r="C13" s="193" t="s">
        <v>18</v>
      </c>
      <c r="D13" s="193">
        <v>25</v>
      </c>
      <c r="E13" s="193">
        <v>39</v>
      </c>
      <c r="F13" s="90">
        <f t="shared" si="1"/>
        <v>14</v>
      </c>
      <c r="G13" s="159">
        <f t="shared" si="2"/>
        <v>1.56</v>
      </c>
    </row>
    <row r="14" spans="1:13" x14ac:dyDescent="0.35">
      <c r="A14" s="90">
        <v>8</v>
      </c>
      <c r="B14" s="192" t="s">
        <v>651</v>
      </c>
      <c r="C14" s="193" t="s">
        <v>18</v>
      </c>
      <c r="D14" s="193">
        <v>25</v>
      </c>
      <c r="E14" s="193">
        <v>14</v>
      </c>
      <c r="F14" s="90">
        <f t="shared" si="1"/>
        <v>-11</v>
      </c>
      <c r="G14" s="159">
        <f t="shared" si="2"/>
        <v>0.56000000000000005</v>
      </c>
    </row>
    <row r="15" spans="1:13" x14ac:dyDescent="0.35">
      <c r="A15" s="90">
        <v>9</v>
      </c>
      <c r="B15" s="192" t="s">
        <v>652</v>
      </c>
      <c r="C15" s="193" t="s">
        <v>18</v>
      </c>
      <c r="D15" s="193">
        <v>25</v>
      </c>
      <c r="E15" s="193">
        <v>1</v>
      </c>
      <c r="F15" s="90">
        <f t="shared" si="1"/>
        <v>-24</v>
      </c>
      <c r="G15" s="159">
        <f t="shared" si="2"/>
        <v>0.04</v>
      </c>
    </row>
    <row r="16" spans="1:13" x14ac:dyDescent="0.35">
      <c r="A16" s="90">
        <v>10</v>
      </c>
      <c r="B16" s="192" t="s">
        <v>653</v>
      </c>
      <c r="C16" s="193" t="s">
        <v>18</v>
      </c>
      <c r="D16" s="193">
        <v>25</v>
      </c>
      <c r="E16" s="193">
        <v>4</v>
      </c>
      <c r="F16" s="90">
        <f t="shared" si="1"/>
        <v>-21</v>
      </c>
      <c r="G16" s="159">
        <f t="shared" si="2"/>
        <v>0.16</v>
      </c>
    </row>
    <row r="17" spans="1:7" x14ac:dyDescent="0.35">
      <c r="A17" s="90">
        <v>11</v>
      </c>
      <c r="B17" s="192" t="s">
        <v>654</v>
      </c>
      <c r="C17" s="193" t="s">
        <v>16</v>
      </c>
      <c r="D17" s="193">
        <v>35</v>
      </c>
      <c r="E17" s="193">
        <v>0</v>
      </c>
      <c r="F17" s="90">
        <f t="shared" si="1"/>
        <v>-35</v>
      </c>
      <c r="G17" s="159">
        <f t="shared" si="2"/>
        <v>0</v>
      </c>
    </row>
    <row r="18" spans="1:7" x14ac:dyDescent="0.35">
      <c r="A18" s="90">
        <v>12</v>
      </c>
      <c r="B18" s="192" t="s">
        <v>655</v>
      </c>
      <c r="C18" s="193" t="s">
        <v>18</v>
      </c>
      <c r="D18" s="193">
        <v>25</v>
      </c>
      <c r="E18" s="193">
        <v>18</v>
      </c>
      <c r="F18" s="90">
        <f t="shared" si="1"/>
        <v>-7</v>
      </c>
      <c r="G18" s="159">
        <f t="shared" si="2"/>
        <v>0.72</v>
      </c>
    </row>
    <row r="19" spans="1:7" x14ac:dyDescent="0.35">
      <c r="A19" s="90">
        <v>13</v>
      </c>
      <c r="B19" s="192" t="s">
        <v>656</v>
      </c>
      <c r="C19" s="193" t="s">
        <v>18</v>
      </c>
      <c r="D19" s="193">
        <v>25</v>
      </c>
      <c r="E19" s="193">
        <v>5</v>
      </c>
      <c r="F19" s="90">
        <f t="shared" si="1"/>
        <v>-20</v>
      </c>
      <c r="G19" s="159">
        <f t="shared" si="2"/>
        <v>0.2</v>
      </c>
    </row>
    <row r="20" spans="1:7" x14ac:dyDescent="0.35">
      <c r="A20" s="90">
        <v>14</v>
      </c>
      <c r="B20" s="192" t="s">
        <v>657</v>
      </c>
      <c r="C20" s="193" t="s">
        <v>18</v>
      </c>
      <c r="D20" s="193">
        <v>25</v>
      </c>
      <c r="E20" s="193">
        <v>22</v>
      </c>
      <c r="F20" s="90">
        <f t="shared" si="1"/>
        <v>-3</v>
      </c>
      <c r="G20" s="159">
        <f t="shared" si="2"/>
        <v>0.88</v>
      </c>
    </row>
    <row r="21" spans="1:7" x14ac:dyDescent="0.35">
      <c r="A21" s="90">
        <v>15</v>
      </c>
      <c r="B21" s="192" t="s">
        <v>658</v>
      </c>
      <c r="C21" s="193" t="s">
        <v>18</v>
      </c>
      <c r="D21" s="193">
        <v>25</v>
      </c>
      <c r="E21" s="193">
        <v>21</v>
      </c>
      <c r="F21" s="90">
        <f t="shared" si="1"/>
        <v>-4</v>
      </c>
      <c r="G21" s="159">
        <f t="shared" si="2"/>
        <v>0.84</v>
      </c>
    </row>
    <row r="22" spans="1:7" x14ac:dyDescent="0.35">
      <c r="A22" s="90">
        <v>16</v>
      </c>
      <c r="B22" s="192" t="s">
        <v>659</v>
      </c>
      <c r="C22" s="193" t="s">
        <v>18</v>
      </c>
      <c r="D22" s="193">
        <v>25</v>
      </c>
      <c r="E22" s="193">
        <v>20</v>
      </c>
      <c r="F22" s="90">
        <f t="shared" si="1"/>
        <v>-5</v>
      </c>
      <c r="G22" s="159">
        <f t="shared" si="2"/>
        <v>0.8</v>
      </c>
    </row>
    <row r="23" spans="1:7" x14ac:dyDescent="0.35">
      <c r="A23" s="90">
        <v>17</v>
      </c>
      <c r="B23" s="192" t="s">
        <v>660</v>
      </c>
      <c r="C23" s="193" t="s">
        <v>18</v>
      </c>
      <c r="D23" s="193">
        <v>25</v>
      </c>
      <c r="E23" s="193">
        <v>55</v>
      </c>
      <c r="F23" s="90">
        <f t="shared" si="1"/>
        <v>30</v>
      </c>
      <c r="G23" s="159">
        <f t="shared" si="2"/>
        <v>2.2000000000000002</v>
      </c>
    </row>
    <row r="24" spans="1:7" x14ac:dyDescent="0.35">
      <c r="A24" s="90">
        <v>18</v>
      </c>
      <c r="B24" s="192" t="s">
        <v>661</v>
      </c>
      <c r="C24" s="193" t="s">
        <v>18</v>
      </c>
      <c r="D24" s="193">
        <v>25</v>
      </c>
      <c r="E24" s="193">
        <v>33</v>
      </c>
      <c r="F24" s="90">
        <f t="shared" si="1"/>
        <v>8</v>
      </c>
      <c r="G24" s="159">
        <f t="shared" si="2"/>
        <v>1.32</v>
      </c>
    </row>
    <row r="25" spans="1:7" x14ac:dyDescent="0.35">
      <c r="A25" s="90">
        <v>19</v>
      </c>
      <c r="B25" s="192" t="s">
        <v>662</v>
      </c>
      <c r="C25" s="193" t="s">
        <v>16</v>
      </c>
      <c r="D25" s="193">
        <v>35</v>
      </c>
      <c r="E25" s="193">
        <v>0</v>
      </c>
      <c r="F25" s="90">
        <f t="shared" si="1"/>
        <v>-35</v>
      </c>
      <c r="G25" s="159">
        <f t="shared" si="2"/>
        <v>0</v>
      </c>
    </row>
    <row r="26" spans="1:7" x14ac:dyDescent="0.35">
      <c r="A26" s="90">
        <v>20</v>
      </c>
      <c r="B26" s="192" t="s">
        <v>663</v>
      </c>
      <c r="C26" s="193" t="s">
        <v>18</v>
      </c>
      <c r="D26" s="193">
        <v>25</v>
      </c>
      <c r="E26" s="193">
        <v>28</v>
      </c>
      <c r="F26" s="90">
        <f t="shared" si="1"/>
        <v>3</v>
      </c>
      <c r="G26" s="159">
        <f t="shared" si="2"/>
        <v>1.1200000000000001</v>
      </c>
    </row>
    <row r="27" spans="1:7" x14ac:dyDescent="0.35">
      <c r="A27" s="90">
        <v>21</v>
      </c>
      <c r="B27" s="192" t="s">
        <v>664</v>
      </c>
      <c r="C27" s="193" t="s">
        <v>18</v>
      </c>
      <c r="D27" s="193">
        <v>25</v>
      </c>
      <c r="E27" s="193">
        <v>28</v>
      </c>
      <c r="F27" s="90">
        <f t="shared" si="1"/>
        <v>3</v>
      </c>
      <c r="G27" s="159">
        <f t="shared" si="2"/>
        <v>1.1200000000000001</v>
      </c>
    </row>
    <row r="28" spans="1:7" x14ac:dyDescent="0.35">
      <c r="A28" s="90">
        <v>22</v>
      </c>
      <c r="B28" s="192" t="s">
        <v>665</v>
      </c>
      <c r="C28" s="193" t="s">
        <v>18</v>
      </c>
      <c r="D28" s="193">
        <v>25</v>
      </c>
      <c r="E28" s="193">
        <v>28</v>
      </c>
      <c r="F28" s="90">
        <f t="shared" si="1"/>
        <v>3</v>
      </c>
      <c r="G28" s="159">
        <f t="shared" si="2"/>
        <v>1.1200000000000001</v>
      </c>
    </row>
    <row r="29" spans="1:7" x14ac:dyDescent="0.35">
      <c r="A29" s="90">
        <v>23</v>
      </c>
      <c r="B29" s="192" t="s">
        <v>666</v>
      </c>
      <c r="C29" s="193" t="s">
        <v>18</v>
      </c>
      <c r="D29" s="193">
        <v>25</v>
      </c>
      <c r="E29" s="193">
        <v>20</v>
      </c>
      <c r="F29" s="90">
        <f t="shared" si="1"/>
        <v>-5</v>
      </c>
      <c r="G29" s="159">
        <f t="shared" si="2"/>
        <v>0.8</v>
      </c>
    </row>
    <row r="30" spans="1:7" x14ac:dyDescent="0.35">
      <c r="A30" s="90">
        <v>24</v>
      </c>
      <c r="B30" s="192" t="s">
        <v>667</v>
      </c>
      <c r="C30" s="193" t="s">
        <v>18</v>
      </c>
      <c r="D30" s="193">
        <v>25</v>
      </c>
      <c r="E30" s="193">
        <v>19</v>
      </c>
      <c r="F30" s="90">
        <f t="shared" si="1"/>
        <v>-6</v>
      </c>
      <c r="G30" s="159">
        <f t="shared" si="2"/>
        <v>0.76</v>
      </c>
    </row>
    <row r="31" spans="1:7" x14ac:dyDescent="0.35">
      <c r="A31" s="90">
        <v>25</v>
      </c>
      <c r="B31" s="192" t="s">
        <v>668</v>
      </c>
      <c r="C31" s="193" t="s">
        <v>18</v>
      </c>
      <c r="D31" s="193">
        <v>25</v>
      </c>
      <c r="E31" s="193">
        <v>5</v>
      </c>
      <c r="F31" s="90">
        <f t="shared" si="1"/>
        <v>-20</v>
      </c>
      <c r="G31" s="159">
        <f t="shared" si="2"/>
        <v>0.2</v>
      </c>
    </row>
    <row r="32" spans="1:7" x14ac:dyDescent="0.35">
      <c r="A32" s="90">
        <v>26</v>
      </c>
      <c r="B32" s="192" t="s">
        <v>669</v>
      </c>
      <c r="C32" s="193" t="s">
        <v>18</v>
      </c>
      <c r="D32" s="193">
        <v>25</v>
      </c>
      <c r="E32" s="193">
        <v>12</v>
      </c>
      <c r="F32" s="90">
        <f t="shared" si="1"/>
        <v>-13</v>
      </c>
      <c r="G32" s="159">
        <f t="shared" si="2"/>
        <v>0.48</v>
      </c>
    </row>
    <row r="33" spans="1:7" x14ac:dyDescent="0.35">
      <c r="A33" s="90"/>
      <c r="B33" s="90" t="s">
        <v>47</v>
      </c>
      <c r="C33" s="90"/>
      <c r="D33" s="90">
        <v>610</v>
      </c>
      <c r="E33" s="90">
        <f>SUM(E7:E32)</f>
        <v>442</v>
      </c>
      <c r="F33" s="90">
        <f t="shared" si="1"/>
        <v>-168</v>
      </c>
      <c r="G33" s="159">
        <f t="shared" si="2"/>
        <v>0.72459016393442621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F40B-72A2-4D84-A51B-BBD8D36207AC}">
  <dimension ref="A1:M20"/>
  <sheetViews>
    <sheetView workbookViewId="0">
      <selection activeCell="C4" sqref="C4:G4"/>
    </sheetView>
  </sheetViews>
  <sheetFormatPr defaultRowHeight="14.5" x14ac:dyDescent="0.35"/>
  <cols>
    <col min="1" max="1" width="4.08984375" customWidth="1"/>
    <col min="2" max="2" width="37.6328125" customWidth="1"/>
    <col min="7" max="7" width="8.7265625" style="16"/>
    <col min="9" max="9" width="3.453125" customWidth="1"/>
    <col min="10" max="10" width="25" customWidth="1"/>
    <col min="13" max="13" width="8.7265625" style="16"/>
  </cols>
  <sheetData>
    <row r="1" spans="1:13" x14ac:dyDescent="0.35">
      <c r="A1" s="190"/>
      <c r="B1" s="5" t="s">
        <v>131</v>
      </c>
      <c r="C1" s="190"/>
      <c r="D1" s="190"/>
      <c r="E1" s="190"/>
      <c r="F1" s="190"/>
    </row>
    <row r="2" spans="1:13" x14ac:dyDescent="0.35">
      <c r="A2" s="190"/>
      <c r="B2" s="5" t="s">
        <v>273</v>
      </c>
      <c r="C2" s="190"/>
      <c r="D2" s="190"/>
      <c r="E2" s="190"/>
      <c r="F2" s="190"/>
    </row>
    <row r="3" spans="1:13" x14ac:dyDescent="0.35">
      <c r="A3" s="190"/>
      <c r="B3" s="5" t="s">
        <v>643</v>
      </c>
      <c r="C3" s="190"/>
      <c r="D3" s="190"/>
      <c r="E3" s="190"/>
      <c r="F3" s="190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79">
        <v>1</v>
      </c>
      <c r="J5" s="179" t="s">
        <v>686</v>
      </c>
      <c r="K5" s="179">
        <v>150</v>
      </c>
      <c r="L5" s="179">
        <v>91</v>
      </c>
      <c r="M5" s="17">
        <f>L5/K5*100%</f>
        <v>0.60666666666666669</v>
      </c>
    </row>
    <row r="6" spans="1:13" x14ac:dyDescent="0.35">
      <c r="A6" s="78"/>
      <c r="B6" s="79"/>
      <c r="C6" s="81"/>
      <c r="D6" s="81"/>
      <c r="E6" s="81"/>
      <c r="F6" s="81"/>
      <c r="G6" s="101"/>
      <c r="I6" s="179">
        <v>2</v>
      </c>
      <c r="J6" s="179" t="s">
        <v>687</v>
      </c>
      <c r="K6" s="179">
        <v>190</v>
      </c>
      <c r="L6" s="179">
        <v>68</v>
      </c>
      <c r="M6" s="17">
        <f>L6/K6*100%</f>
        <v>0.35789473684210527</v>
      </c>
    </row>
    <row r="7" spans="1:13" x14ac:dyDescent="0.35">
      <c r="A7" s="13">
        <v>1</v>
      </c>
      <c r="B7" s="196" t="s">
        <v>674</v>
      </c>
      <c r="C7" s="195" t="s">
        <v>16</v>
      </c>
      <c r="D7" s="195">
        <v>35</v>
      </c>
      <c r="E7" s="195">
        <v>0</v>
      </c>
      <c r="F7" s="13">
        <f>E7-D7</f>
        <v>-35</v>
      </c>
      <c r="G7" s="15">
        <f>E7/D7*100%</f>
        <v>0</v>
      </c>
    </row>
    <row r="8" spans="1:13" x14ac:dyDescent="0.35">
      <c r="A8" s="13">
        <v>2</v>
      </c>
      <c r="B8" s="196" t="s">
        <v>675</v>
      </c>
      <c r="C8" s="195" t="s">
        <v>18</v>
      </c>
      <c r="D8" s="195">
        <v>25</v>
      </c>
      <c r="E8" s="195">
        <v>35</v>
      </c>
      <c r="F8" s="13">
        <f t="shared" ref="F8:F20" si="0">E8-D8</f>
        <v>10</v>
      </c>
      <c r="G8" s="15">
        <f t="shared" ref="G8:G20" si="1">E8/D8*100%</f>
        <v>1.4</v>
      </c>
    </row>
    <row r="9" spans="1:13" x14ac:dyDescent="0.35">
      <c r="A9" s="13">
        <v>3</v>
      </c>
      <c r="B9" s="196" t="s">
        <v>676</v>
      </c>
      <c r="C9" s="195" t="s">
        <v>18</v>
      </c>
      <c r="D9" s="195">
        <v>25</v>
      </c>
      <c r="E9" s="195">
        <v>27</v>
      </c>
      <c r="F9" s="13">
        <f t="shared" si="0"/>
        <v>2</v>
      </c>
      <c r="G9" s="15">
        <f t="shared" si="1"/>
        <v>1.08</v>
      </c>
    </row>
    <row r="10" spans="1:13" x14ac:dyDescent="0.35">
      <c r="A10" s="13">
        <v>4</v>
      </c>
      <c r="B10" s="196" t="s">
        <v>677</v>
      </c>
      <c r="C10" s="195" t="s">
        <v>18</v>
      </c>
      <c r="D10" s="195">
        <v>25</v>
      </c>
      <c r="E10" s="195">
        <v>20</v>
      </c>
      <c r="F10" s="13">
        <f t="shared" si="0"/>
        <v>-5</v>
      </c>
      <c r="G10" s="15">
        <f t="shared" si="1"/>
        <v>0.8</v>
      </c>
    </row>
    <row r="11" spans="1:13" x14ac:dyDescent="0.35">
      <c r="A11" s="13">
        <v>5</v>
      </c>
      <c r="B11" s="196" t="s">
        <v>678</v>
      </c>
      <c r="C11" s="195" t="s">
        <v>18</v>
      </c>
      <c r="D11" s="195">
        <v>25</v>
      </c>
      <c r="E11" s="195">
        <v>7</v>
      </c>
      <c r="F11" s="13">
        <f t="shared" si="0"/>
        <v>-18</v>
      </c>
      <c r="G11" s="15">
        <f t="shared" si="1"/>
        <v>0.28000000000000003</v>
      </c>
    </row>
    <row r="12" spans="1:13" x14ac:dyDescent="0.35">
      <c r="A12" s="13">
        <v>6</v>
      </c>
      <c r="B12" s="196" t="s">
        <v>679</v>
      </c>
      <c r="C12" s="195" t="s">
        <v>18</v>
      </c>
      <c r="D12" s="195">
        <v>25</v>
      </c>
      <c r="E12" s="195">
        <v>2</v>
      </c>
      <c r="F12" s="13">
        <f t="shared" si="0"/>
        <v>-23</v>
      </c>
      <c r="G12" s="15">
        <f t="shared" si="1"/>
        <v>0.08</v>
      </c>
    </row>
    <row r="13" spans="1:13" x14ac:dyDescent="0.35">
      <c r="A13" s="13">
        <v>7</v>
      </c>
      <c r="B13" s="196" t="s">
        <v>680</v>
      </c>
      <c r="C13" s="195" t="s">
        <v>16</v>
      </c>
      <c r="D13" s="195">
        <v>35</v>
      </c>
      <c r="E13" s="195">
        <v>2</v>
      </c>
      <c r="F13" s="13">
        <f t="shared" si="0"/>
        <v>-33</v>
      </c>
      <c r="G13" s="15">
        <f t="shared" si="1"/>
        <v>5.7142857142857141E-2</v>
      </c>
    </row>
    <row r="14" spans="1:13" x14ac:dyDescent="0.35">
      <c r="A14" s="13">
        <v>8</v>
      </c>
      <c r="B14" s="196" t="s">
        <v>681</v>
      </c>
      <c r="C14" s="195" t="s">
        <v>18</v>
      </c>
      <c r="D14" s="195">
        <v>25</v>
      </c>
      <c r="E14" s="195">
        <v>20</v>
      </c>
      <c r="F14" s="13">
        <f t="shared" si="0"/>
        <v>-5</v>
      </c>
      <c r="G14" s="15">
        <f t="shared" si="1"/>
        <v>0.8</v>
      </c>
    </row>
    <row r="15" spans="1:13" x14ac:dyDescent="0.35">
      <c r="A15" s="13">
        <v>9</v>
      </c>
      <c r="B15" s="196" t="s">
        <v>682</v>
      </c>
      <c r="C15" s="195" t="s">
        <v>18</v>
      </c>
      <c r="D15" s="195">
        <v>25</v>
      </c>
      <c r="E15" s="195">
        <v>25</v>
      </c>
      <c r="F15" s="13">
        <f t="shared" si="0"/>
        <v>0</v>
      </c>
      <c r="G15" s="15">
        <f t="shared" si="1"/>
        <v>1</v>
      </c>
    </row>
    <row r="16" spans="1:13" x14ac:dyDescent="0.35">
      <c r="A16" s="13">
        <v>10</v>
      </c>
      <c r="B16" s="196" t="s">
        <v>683</v>
      </c>
      <c r="C16" s="195" t="s">
        <v>18</v>
      </c>
      <c r="D16" s="195">
        <v>25</v>
      </c>
      <c r="E16" s="195">
        <v>5</v>
      </c>
      <c r="F16" s="13">
        <f t="shared" si="0"/>
        <v>-20</v>
      </c>
      <c r="G16" s="15">
        <f t="shared" si="1"/>
        <v>0.2</v>
      </c>
    </row>
    <row r="17" spans="1:7" x14ac:dyDescent="0.35">
      <c r="A17" s="13">
        <v>11</v>
      </c>
      <c r="B17" s="196" t="s">
        <v>684</v>
      </c>
      <c r="C17" s="195" t="s">
        <v>18</v>
      </c>
      <c r="D17" s="195">
        <v>25</v>
      </c>
      <c r="E17" s="195">
        <v>1</v>
      </c>
      <c r="F17" s="13">
        <f t="shared" si="0"/>
        <v>-24</v>
      </c>
      <c r="G17" s="15">
        <f t="shared" si="1"/>
        <v>0.04</v>
      </c>
    </row>
    <row r="18" spans="1:7" x14ac:dyDescent="0.35">
      <c r="A18" s="13">
        <v>12</v>
      </c>
      <c r="B18" s="196" t="s">
        <v>685</v>
      </c>
      <c r="C18" s="195" t="s">
        <v>18</v>
      </c>
      <c r="D18" s="195">
        <v>25</v>
      </c>
      <c r="E18" s="195">
        <v>13</v>
      </c>
      <c r="F18" s="13">
        <f t="shared" si="0"/>
        <v>-12</v>
      </c>
      <c r="G18" s="15">
        <f t="shared" si="1"/>
        <v>0.52</v>
      </c>
    </row>
    <row r="19" spans="1:7" x14ac:dyDescent="0.35">
      <c r="A19" s="13">
        <v>13</v>
      </c>
      <c r="B19" s="196" t="s">
        <v>673</v>
      </c>
      <c r="C19" s="195" t="s">
        <v>18</v>
      </c>
      <c r="D19" s="195">
        <v>25</v>
      </c>
      <c r="E19" s="195">
        <v>2</v>
      </c>
      <c r="F19" s="13">
        <f t="shared" si="0"/>
        <v>-23</v>
      </c>
      <c r="G19" s="15">
        <f t="shared" si="1"/>
        <v>0.08</v>
      </c>
    </row>
    <row r="20" spans="1:7" x14ac:dyDescent="0.35">
      <c r="A20" s="13"/>
      <c r="B20" s="13" t="s">
        <v>47</v>
      </c>
      <c r="C20" s="13"/>
      <c r="D20" s="13">
        <v>340</v>
      </c>
      <c r="E20" s="13">
        <f>SUM(E7:E19)</f>
        <v>159</v>
      </c>
      <c r="F20" s="13">
        <f t="shared" si="0"/>
        <v>-181</v>
      </c>
      <c r="G20" s="15">
        <f t="shared" si="1"/>
        <v>0.46764705882352942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64C4-8469-4BCA-9B2C-017221C97C0E}">
  <dimension ref="A1:M31"/>
  <sheetViews>
    <sheetView workbookViewId="0">
      <selection activeCell="C4" sqref="C4:G4"/>
    </sheetView>
  </sheetViews>
  <sheetFormatPr defaultRowHeight="14.5" x14ac:dyDescent="0.35"/>
  <cols>
    <col min="1" max="1" width="5.36328125" customWidth="1"/>
    <col min="2" max="2" width="33.90625" customWidth="1"/>
    <col min="7" max="7" width="8.7265625" style="16"/>
    <col min="9" max="9" width="5.7265625" customWidth="1"/>
    <col min="10" max="10" width="19.54296875" customWidth="1"/>
  </cols>
  <sheetData>
    <row r="1" spans="1:13" x14ac:dyDescent="0.35">
      <c r="A1" s="190"/>
      <c r="B1" s="5" t="s">
        <v>131</v>
      </c>
      <c r="C1" s="190"/>
      <c r="D1" s="190"/>
      <c r="E1" s="190"/>
      <c r="F1" s="190"/>
    </row>
    <row r="2" spans="1:13" x14ac:dyDescent="0.35">
      <c r="A2" s="190"/>
      <c r="B2" s="5" t="s">
        <v>273</v>
      </c>
      <c r="C2" s="190"/>
      <c r="D2" s="190"/>
      <c r="E2" s="190"/>
      <c r="F2" s="190"/>
    </row>
    <row r="3" spans="1:13" x14ac:dyDescent="0.35">
      <c r="A3" s="190"/>
      <c r="B3" s="5" t="s">
        <v>643</v>
      </c>
      <c r="C3" s="190"/>
      <c r="D3" s="190"/>
      <c r="E3" s="190"/>
      <c r="F3" s="190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712</v>
      </c>
      <c r="K5" s="18">
        <v>190</v>
      </c>
      <c r="L5" s="18">
        <v>148</v>
      </c>
      <c r="M5" s="29">
        <f>L5/K5*100%</f>
        <v>0.77894736842105261</v>
      </c>
    </row>
    <row r="6" spans="1:13" x14ac:dyDescent="0.35">
      <c r="A6" s="78"/>
      <c r="B6" s="79"/>
      <c r="C6" s="81"/>
      <c r="D6" s="81"/>
      <c r="E6" s="81"/>
      <c r="F6" s="81"/>
      <c r="G6" s="101"/>
      <c r="I6" s="18">
        <v>2</v>
      </c>
      <c r="J6" s="18" t="s">
        <v>713</v>
      </c>
      <c r="K6" s="18">
        <v>190</v>
      </c>
      <c r="L6" s="18">
        <v>136</v>
      </c>
      <c r="M6" s="29">
        <f t="shared" ref="M6:M7" si="0">L6/K6*100%</f>
        <v>0.71578947368421053</v>
      </c>
    </row>
    <row r="7" spans="1:13" x14ac:dyDescent="0.35">
      <c r="A7" s="91">
        <v>1</v>
      </c>
      <c r="B7" s="196" t="s">
        <v>688</v>
      </c>
      <c r="C7" s="195" t="s">
        <v>16</v>
      </c>
      <c r="D7" s="195">
        <v>35</v>
      </c>
      <c r="E7" s="195">
        <v>0</v>
      </c>
      <c r="F7" s="91">
        <f>E7-D7</f>
        <v>-35</v>
      </c>
      <c r="G7" s="102">
        <f>E7/D7*100%</f>
        <v>0</v>
      </c>
      <c r="I7" s="18">
        <v>3</v>
      </c>
      <c r="J7" s="18" t="s">
        <v>714</v>
      </c>
      <c r="K7" s="18">
        <v>190</v>
      </c>
      <c r="L7" s="18">
        <v>116</v>
      </c>
      <c r="M7" s="29">
        <f t="shared" si="0"/>
        <v>0.61052631578947369</v>
      </c>
    </row>
    <row r="8" spans="1:13" x14ac:dyDescent="0.35">
      <c r="A8" s="91">
        <v>2</v>
      </c>
      <c r="B8" s="196" t="s">
        <v>689</v>
      </c>
      <c r="C8" s="195" t="s">
        <v>18</v>
      </c>
      <c r="D8" s="195">
        <v>25</v>
      </c>
      <c r="E8" s="195">
        <v>20</v>
      </c>
      <c r="F8" s="91">
        <f t="shared" ref="F8:F31" si="1">E8-D8</f>
        <v>-5</v>
      </c>
      <c r="G8" s="102">
        <f t="shared" ref="G8:G31" si="2">E8/D8*100%</f>
        <v>0.8</v>
      </c>
    </row>
    <row r="9" spans="1:13" x14ac:dyDescent="0.35">
      <c r="A9" s="91">
        <v>3</v>
      </c>
      <c r="B9" s="196" t="s">
        <v>690</v>
      </c>
      <c r="C9" s="195" t="s">
        <v>18</v>
      </c>
      <c r="D9" s="195">
        <v>25</v>
      </c>
      <c r="E9" s="195">
        <v>16</v>
      </c>
      <c r="F9" s="91">
        <f t="shared" si="1"/>
        <v>-9</v>
      </c>
      <c r="G9" s="102">
        <f t="shared" si="2"/>
        <v>0.64</v>
      </c>
    </row>
    <row r="10" spans="1:13" x14ac:dyDescent="0.35">
      <c r="A10" s="91">
        <v>4</v>
      </c>
      <c r="B10" s="196" t="s">
        <v>691</v>
      </c>
      <c r="C10" s="195" t="s">
        <v>18</v>
      </c>
      <c r="D10" s="195">
        <v>25</v>
      </c>
      <c r="E10" s="195">
        <v>19</v>
      </c>
      <c r="F10" s="91">
        <f t="shared" si="1"/>
        <v>-6</v>
      </c>
      <c r="G10" s="102">
        <f t="shared" si="2"/>
        <v>0.76</v>
      </c>
    </row>
    <row r="11" spans="1:13" x14ac:dyDescent="0.35">
      <c r="A11" s="91">
        <v>5</v>
      </c>
      <c r="B11" s="196" t="s">
        <v>692</v>
      </c>
      <c r="C11" s="195" t="s">
        <v>18</v>
      </c>
      <c r="D11" s="195">
        <v>25</v>
      </c>
      <c r="E11" s="195">
        <v>14</v>
      </c>
      <c r="F11" s="91">
        <f t="shared" si="1"/>
        <v>-11</v>
      </c>
      <c r="G11" s="102">
        <f t="shared" si="2"/>
        <v>0.56000000000000005</v>
      </c>
    </row>
    <row r="12" spans="1:13" x14ac:dyDescent="0.35">
      <c r="A12" s="91">
        <v>6</v>
      </c>
      <c r="B12" s="196" t="s">
        <v>693</v>
      </c>
      <c r="C12" s="195" t="s">
        <v>18</v>
      </c>
      <c r="D12" s="195">
        <v>25</v>
      </c>
      <c r="E12" s="195">
        <v>33</v>
      </c>
      <c r="F12" s="91">
        <f t="shared" si="1"/>
        <v>8</v>
      </c>
      <c r="G12" s="102">
        <f t="shared" si="2"/>
        <v>1.32</v>
      </c>
    </row>
    <row r="13" spans="1:13" x14ac:dyDescent="0.35">
      <c r="A13" s="91">
        <v>7</v>
      </c>
      <c r="B13" s="196" t="s">
        <v>694</v>
      </c>
      <c r="C13" s="195" t="s">
        <v>18</v>
      </c>
      <c r="D13" s="195">
        <v>25</v>
      </c>
      <c r="E13" s="195">
        <v>18</v>
      </c>
      <c r="F13" s="91">
        <f t="shared" si="1"/>
        <v>-7</v>
      </c>
      <c r="G13" s="102">
        <f t="shared" si="2"/>
        <v>0.72</v>
      </c>
    </row>
    <row r="14" spans="1:13" x14ac:dyDescent="0.35">
      <c r="A14" s="91">
        <v>8</v>
      </c>
      <c r="B14" s="196" t="s">
        <v>695</v>
      </c>
      <c r="C14" s="195" t="s">
        <v>18</v>
      </c>
      <c r="D14" s="195">
        <v>25</v>
      </c>
      <c r="E14" s="195">
        <v>28</v>
      </c>
      <c r="F14" s="91">
        <f t="shared" si="1"/>
        <v>3</v>
      </c>
      <c r="G14" s="102">
        <f t="shared" si="2"/>
        <v>1.1200000000000001</v>
      </c>
    </row>
    <row r="15" spans="1:13" x14ac:dyDescent="0.35">
      <c r="A15" s="91">
        <v>9</v>
      </c>
      <c r="B15" s="196" t="s">
        <v>696</v>
      </c>
      <c r="C15" s="195" t="s">
        <v>16</v>
      </c>
      <c r="D15" s="195">
        <v>35</v>
      </c>
      <c r="E15" s="195">
        <v>0</v>
      </c>
      <c r="F15" s="91">
        <f t="shared" si="1"/>
        <v>-35</v>
      </c>
      <c r="G15" s="102">
        <f t="shared" si="2"/>
        <v>0</v>
      </c>
    </row>
    <row r="16" spans="1:13" x14ac:dyDescent="0.35">
      <c r="A16" s="91">
        <v>10</v>
      </c>
      <c r="B16" s="196" t="s">
        <v>697</v>
      </c>
      <c r="C16" s="195" t="s">
        <v>18</v>
      </c>
      <c r="D16" s="195">
        <v>25</v>
      </c>
      <c r="E16" s="195">
        <v>18</v>
      </c>
      <c r="F16" s="91">
        <f t="shared" si="1"/>
        <v>-7</v>
      </c>
      <c r="G16" s="102">
        <f t="shared" si="2"/>
        <v>0.72</v>
      </c>
    </row>
    <row r="17" spans="1:7" x14ac:dyDescent="0.35">
      <c r="A17" s="91">
        <v>11</v>
      </c>
      <c r="B17" s="196" t="s">
        <v>698</v>
      </c>
      <c r="C17" s="195" t="s">
        <v>18</v>
      </c>
      <c r="D17" s="195">
        <v>25</v>
      </c>
      <c r="E17" s="195">
        <v>31</v>
      </c>
      <c r="F17" s="91">
        <f t="shared" si="1"/>
        <v>6</v>
      </c>
      <c r="G17" s="102">
        <f t="shared" si="2"/>
        <v>1.24</v>
      </c>
    </row>
    <row r="18" spans="1:7" x14ac:dyDescent="0.35">
      <c r="A18" s="91">
        <v>12</v>
      </c>
      <c r="B18" s="196" t="s">
        <v>699</v>
      </c>
      <c r="C18" s="195" t="s">
        <v>18</v>
      </c>
      <c r="D18" s="195">
        <v>25</v>
      </c>
      <c r="E18" s="195">
        <v>33</v>
      </c>
      <c r="F18" s="91">
        <f t="shared" si="1"/>
        <v>8</v>
      </c>
      <c r="G18" s="102">
        <f t="shared" si="2"/>
        <v>1.32</v>
      </c>
    </row>
    <row r="19" spans="1:7" x14ac:dyDescent="0.35">
      <c r="A19" s="91">
        <v>13</v>
      </c>
      <c r="B19" s="196" t="s">
        <v>700</v>
      </c>
      <c r="C19" s="195" t="s">
        <v>18</v>
      </c>
      <c r="D19" s="195">
        <v>25</v>
      </c>
      <c r="E19" s="195">
        <v>23</v>
      </c>
      <c r="F19" s="91">
        <f t="shared" si="1"/>
        <v>-2</v>
      </c>
      <c r="G19" s="102">
        <f t="shared" si="2"/>
        <v>0.92</v>
      </c>
    </row>
    <row r="20" spans="1:7" x14ac:dyDescent="0.35">
      <c r="A20" s="91">
        <v>14</v>
      </c>
      <c r="B20" s="196" t="s">
        <v>701</v>
      </c>
      <c r="C20" s="195" t="s">
        <v>18</v>
      </c>
      <c r="D20" s="195">
        <v>25</v>
      </c>
      <c r="E20" s="195">
        <v>20</v>
      </c>
      <c r="F20" s="91">
        <f t="shared" si="1"/>
        <v>-5</v>
      </c>
      <c r="G20" s="102">
        <f t="shared" si="2"/>
        <v>0.8</v>
      </c>
    </row>
    <row r="21" spans="1:7" x14ac:dyDescent="0.35">
      <c r="A21" s="91">
        <v>15</v>
      </c>
      <c r="B21" s="196" t="s">
        <v>702</v>
      </c>
      <c r="C21" s="195" t="s">
        <v>18</v>
      </c>
      <c r="D21" s="195">
        <v>25</v>
      </c>
      <c r="E21" s="195">
        <v>4</v>
      </c>
      <c r="F21" s="91">
        <f t="shared" si="1"/>
        <v>-21</v>
      </c>
      <c r="G21" s="102">
        <f t="shared" si="2"/>
        <v>0.16</v>
      </c>
    </row>
    <row r="22" spans="1:7" x14ac:dyDescent="0.35">
      <c r="A22" s="91">
        <v>16</v>
      </c>
      <c r="B22" s="196" t="s">
        <v>703</v>
      </c>
      <c r="C22" s="195" t="s">
        <v>18</v>
      </c>
      <c r="D22" s="195">
        <v>25</v>
      </c>
      <c r="E22" s="195">
        <v>6</v>
      </c>
      <c r="F22" s="91">
        <f t="shared" si="1"/>
        <v>-19</v>
      </c>
      <c r="G22" s="102">
        <f t="shared" si="2"/>
        <v>0.24</v>
      </c>
    </row>
    <row r="23" spans="1:7" x14ac:dyDescent="0.35">
      <c r="A23" s="91">
        <v>17</v>
      </c>
      <c r="B23" s="196" t="s">
        <v>704</v>
      </c>
      <c r="C23" s="195" t="s">
        <v>16</v>
      </c>
      <c r="D23" s="195">
        <v>35</v>
      </c>
      <c r="E23" s="195">
        <v>0</v>
      </c>
      <c r="F23" s="91">
        <f t="shared" si="1"/>
        <v>-35</v>
      </c>
      <c r="G23" s="102">
        <f t="shared" si="2"/>
        <v>0</v>
      </c>
    </row>
    <row r="24" spans="1:7" x14ac:dyDescent="0.35">
      <c r="A24" s="91">
        <v>18</v>
      </c>
      <c r="B24" s="196" t="s">
        <v>705</v>
      </c>
      <c r="C24" s="195" t="s">
        <v>18</v>
      </c>
      <c r="D24" s="195">
        <v>25</v>
      </c>
      <c r="E24" s="195">
        <v>8</v>
      </c>
      <c r="F24" s="91">
        <f t="shared" si="1"/>
        <v>-17</v>
      </c>
      <c r="G24" s="102">
        <f t="shared" si="2"/>
        <v>0.32</v>
      </c>
    </row>
    <row r="25" spans="1:7" x14ac:dyDescent="0.35">
      <c r="A25" s="91">
        <v>19</v>
      </c>
      <c r="B25" s="196" t="s">
        <v>706</v>
      </c>
      <c r="C25" s="195" t="s">
        <v>18</v>
      </c>
      <c r="D25" s="195">
        <v>25</v>
      </c>
      <c r="E25" s="195">
        <v>18</v>
      </c>
      <c r="F25" s="91">
        <f t="shared" si="1"/>
        <v>-7</v>
      </c>
      <c r="G25" s="102">
        <f t="shared" si="2"/>
        <v>0.72</v>
      </c>
    </row>
    <row r="26" spans="1:7" x14ac:dyDescent="0.35">
      <c r="A26" s="91">
        <v>20</v>
      </c>
      <c r="B26" s="196" t="s">
        <v>707</v>
      </c>
      <c r="C26" s="195" t="s">
        <v>18</v>
      </c>
      <c r="D26" s="195">
        <v>25</v>
      </c>
      <c r="E26" s="195">
        <v>18</v>
      </c>
      <c r="F26" s="91">
        <f t="shared" si="1"/>
        <v>-7</v>
      </c>
      <c r="G26" s="102">
        <f t="shared" si="2"/>
        <v>0.72</v>
      </c>
    </row>
    <row r="27" spans="1:7" x14ac:dyDescent="0.35">
      <c r="A27" s="91">
        <v>21</v>
      </c>
      <c r="B27" s="196" t="s">
        <v>708</v>
      </c>
      <c r="C27" s="195" t="s">
        <v>18</v>
      </c>
      <c r="D27" s="195">
        <v>25</v>
      </c>
      <c r="E27" s="195">
        <v>25</v>
      </c>
      <c r="F27" s="91">
        <f t="shared" si="1"/>
        <v>0</v>
      </c>
      <c r="G27" s="102">
        <f t="shared" si="2"/>
        <v>1</v>
      </c>
    </row>
    <row r="28" spans="1:7" x14ac:dyDescent="0.35">
      <c r="A28" s="91">
        <v>22</v>
      </c>
      <c r="B28" s="196" t="s">
        <v>709</v>
      </c>
      <c r="C28" s="195" t="s">
        <v>18</v>
      </c>
      <c r="D28" s="195">
        <v>25</v>
      </c>
      <c r="E28" s="195">
        <v>22</v>
      </c>
      <c r="F28" s="91">
        <f t="shared" si="1"/>
        <v>-3</v>
      </c>
      <c r="G28" s="102">
        <f t="shared" si="2"/>
        <v>0.88</v>
      </c>
    </row>
    <row r="29" spans="1:7" x14ac:dyDescent="0.35">
      <c r="A29" s="91">
        <v>23</v>
      </c>
      <c r="B29" s="196" t="s">
        <v>710</v>
      </c>
      <c r="C29" s="195" t="s">
        <v>18</v>
      </c>
      <c r="D29" s="195">
        <v>25</v>
      </c>
      <c r="E29" s="195">
        <v>13</v>
      </c>
      <c r="F29" s="91">
        <f t="shared" si="1"/>
        <v>-12</v>
      </c>
      <c r="G29" s="102">
        <f t="shared" si="2"/>
        <v>0.52</v>
      </c>
    </row>
    <row r="30" spans="1:7" x14ac:dyDescent="0.35">
      <c r="A30" s="91">
        <v>24</v>
      </c>
      <c r="B30" s="196" t="s">
        <v>711</v>
      </c>
      <c r="C30" s="195" t="s">
        <v>18</v>
      </c>
      <c r="D30" s="195">
        <v>25</v>
      </c>
      <c r="E30" s="195">
        <v>12</v>
      </c>
      <c r="F30" s="91">
        <f t="shared" si="1"/>
        <v>-13</v>
      </c>
      <c r="G30" s="102">
        <f t="shared" si="2"/>
        <v>0.48</v>
      </c>
    </row>
    <row r="31" spans="1:7" x14ac:dyDescent="0.35">
      <c r="A31" s="91"/>
      <c r="B31" s="91" t="s">
        <v>47</v>
      </c>
      <c r="C31" s="91"/>
      <c r="D31" s="91">
        <v>570</v>
      </c>
      <c r="E31" s="91">
        <f>SUM(E7:E30)</f>
        <v>399</v>
      </c>
      <c r="F31" s="91">
        <f t="shared" si="1"/>
        <v>-171</v>
      </c>
      <c r="G31" s="102">
        <f t="shared" si="2"/>
        <v>0.7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4845-7651-4E40-BA8E-0FA17BE68C3A}">
  <dimension ref="A1:M60"/>
  <sheetViews>
    <sheetView workbookViewId="0">
      <selection activeCell="C4" sqref="C4:G4"/>
    </sheetView>
  </sheetViews>
  <sheetFormatPr defaultRowHeight="14.5" x14ac:dyDescent="0.35"/>
  <cols>
    <col min="1" max="1" width="4" customWidth="1"/>
    <col min="2" max="2" width="39" customWidth="1"/>
    <col min="6" max="6" width="6.7265625" customWidth="1"/>
    <col min="7" max="7" width="8.7265625" style="16"/>
    <col min="9" max="9" width="5.1796875" customWidth="1"/>
    <col min="10" max="10" width="23.36328125" customWidth="1"/>
    <col min="11" max="11" width="5.7265625" customWidth="1"/>
    <col min="12" max="12" width="8.26953125" customWidth="1"/>
  </cols>
  <sheetData>
    <row r="1" spans="1:13" x14ac:dyDescent="0.35">
      <c r="A1" s="160"/>
      <c r="B1" s="5" t="s">
        <v>7</v>
      </c>
      <c r="C1" s="160"/>
      <c r="D1" s="160"/>
      <c r="E1" s="160"/>
      <c r="F1" s="160"/>
    </row>
    <row r="2" spans="1:13" x14ac:dyDescent="0.35">
      <c r="A2" s="160"/>
      <c r="B2" s="5" t="s">
        <v>231</v>
      </c>
      <c r="C2" s="160"/>
      <c r="D2" s="160"/>
      <c r="E2" s="160"/>
      <c r="F2" s="160"/>
    </row>
    <row r="3" spans="1:13" x14ac:dyDescent="0.35">
      <c r="A3" s="160"/>
      <c r="B3" s="5" t="s">
        <v>504</v>
      </c>
      <c r="C3" s="160"/>
      <c r="D3" s="160"/>
      <c r="E3" s="160"/>
      <c r="F3" s="160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558</v>
      </c>
      <c r="K5" s="18">
        <v>190</v>
      </c>
      <c r="L5" s="18">
        <v>198</v>
      </c>
      <c r="M5" s="29">
        <f>L5/K5*100%</f>
        <v>1.0421052631578946</v>
      </c>
    </row>
    <row r="6" spans="1:13" x14ac:dyDescent="0.35">
      <c r="A6" s="84"/>
      <c r="B6" s="85"/>
      <c r="C6" s="88"/>
      <c r="D6" s="88"/>
      <c r="E6" s="88"/>
      <c r="F6" s="88"/>
      <c r="G6" s="128"/>
      <c r="I6" s="18">
        <v>2</v>
      </c>
      <c r="J6" s="18" t="s">
        <v>559</v>
      </c>
      <c r="K6" s="18">
        <v>150</v>
      </c>
      <c r="L6" s="18">
        <v>119</v>
      </c>
      <c r="M6" s="29">
        <f t="shared" ref="M6:M12" si="0">L6/K6*100%</f>
        <v>0.79333333333333333</v>
      </c>
    </row>
    <row r="7" spans="1:13" ht="15.5" customHeight="1" x14ac:dyDescent="0.35">
      <c r="A7" s="166">
        <v>1</v>
      </c>
      <c r="B7" s="169" t="s">
        <v>505</v>
      </c>
      <c r="C7" s="161" t="s">
        <v>16</v>
      </c>
      <c r="D7" s="147">
        <v>35</v>
      </c>
      <c r="E7" s="161">
        <v>0</v>
      </c>
      <c r="F7" s="166">
        <f>E7-D7</f>
        <v>-35</v>
      </c>
      <c r="G7" s="175">
        <f>E7/D7*100%</f>
        <v>0</v>
      </c>
      <c r="I7" s="18">
        <v>3</v>
      </c>
      <c r="J7" s="18" t="s">
        <v>519</v>
      </c>
      <c r="K7" s="18">
        <v>150</v>
      </c>
      <c r="L7" s="18">
        <v>140</v>
      </c>
      <c r="M7" s="29">
        <f t="shared" si="0"/>
        <v>0.93333333333333335</v>
      </c>
    </row>
    <row r="8" spans="1:13" x14ac:dyDescent="0.35">
      <c r="A8" s="166">
        <v>2</v>
      </c>
      <c r="B8" s="168" t="s">
        <v>506</v>
      </c>
      <c r="C8" s="161" t="s">
        <v>18</v>
      </c>
      <c r="D8" s="147">
        <v>25</v>
      </c>
      <c r="E8" s="161">
        <v>60</v>
      </c>
      <c r="F8" s="166">
        <f t="shared" ref="F8:F60" si="1">E8-D8</f>
        <v>35</v>
      </c>
      <c r="G8" s="175">
        <f t="shared" ref="G8:G60" si="2">E8/D8*100%</f>
        <v>2.4</v>
      </c>
      <c r="I8" s="18">
        <v>4</v>
      </c>
      <c r="J8" s="18" t="s">
        <v>560</v>
      </c>
      <c r="K8" s="18">
        <v>150</v>
      </c>
      <c r="L8" s="18">
        <v>129</v>
      </c>
      <c r="M8" s="29">
        <f t="shared" si="0"/>
        <v>0.86</v>
      </c>
    </row>
    <row r="9" spans="1:13" x14ac:dyDescent="0.35">
      <c r="A9" s="166">
        <v>3</v>
      </c>
      <c r="B9" s="166" t="s">
        <v>507</v>
      </c>
      <c r="C9" s="161" t="s">
        <v>18</v>
      </c>
      <c r="D9" s="147">
        <v>25</v>
      </c>
      <c r="E9" s="161">
        <v>22</v>
      </c>
      <c r="F9" s="166">
        <f t="shared" si="1"/>
        <v>-3</v>
      </c>
      <c r="G9" s="175">
        <f t="shared" si="2"/>
        <v>0.88</v>
      </c>
      <c r="I9" s="18">
        <v>5</v>
      </c>
      <c r="J9" s="18" t="s">
        <v>561</v>
      </c>
      <c r="K9" s="18">
        <v>150</v>
      </c>
      <c r="L9" s="18">
        <v>160</v>
      </c>
      <c r="M9" s="29">
        <f t="shared" si="0"/>
        <v>1.0666666666666667</v>
      </c>
    </row>
    <row r="10" spans="1:13" x14ac:dyDescent="0.35">
      <c r="A10" s="166">
        <v>4</v>
      </c>
      <c r="B10" s="168" t="s">
        <v>508</v>
      </c>
      <c r="C10" s="161" t="s">
        <v>18</v>
      </c>
      <c r="D10" s="147">
        <v>25</v>
      </c>
      <c r="E10" s="161">
        <v>27</v>
      </c>
      <c r="F10" s="166">
        <f t="shared" si="1"/>
        <v>2</v>
      </c>
      <c r="G10" s="175">
        <f t="shared" si="2"/>
        <v>1.08</v>
      </c>
      <c r="I10" s="18">
        <v>6</v>
      </c>
      <c r="J10" s="18" t="s">
        <v>562</v>
      </c>
      <c r="K10" s="18">
        <v>150</v>
      </c>
      <c r="L10" s="18">
        <v>134</v>
      </c>
      <c r="M10" s="29">
        <f t="shared" si="0"/>
        <v>0.89333333333333331</v>
      </c>
    </row>
    <row r="11" spans="1:13" x14ac:dyDescent="0.35">
      <c r="A11" s="166">
        <v>5</v>
      </c>
      <c r="B11" s="13" t="s">
        <v>509</v>
      </c>
      <c r="C11" s="161" t="s">
        <v>18</v>
      </c>
      <c r="D11" s="147">
        <v>25</v>
      </c>
      <c r="E11" s="161">
        <v>22</v>
      </c>
      <c r="F11" s="166">
        <f t="shared" si="1"/>
        <v>-3</v>
      </c>
      <c r="G11" s="175">
        <f t="shared" si="2"/>
        <v>0.88</v>
      </c>
      <c r="I11" s="18">
        <v>7</v>
      </c>
      <c r="J11" s="18" t="s">
        <v>563</v>
      </c>
      <c r="K11" s="18">
        <v>190</v>
      </c>
      <c r="L11" s="18">
        <v>216</v>
      </c>
      <c r="M11" s="29">
        <f t="shared" si="0"/>
        <v>1.1368421052631579</v>
      </c>
    </row>
    <row r="12" spans="1:13" x14ac:dyDescent="0.35">
      <c r="A12" s="166">
        <v>6</v>
      </c>
      <c r="B12" s="13" t="s">
        <v>510</v>
      </c>
      <c r="C12" s="161" t="s">
        <v>18</v>
      </c>
      <c r="D12" s="147">
        <v>25</v>
      </c>
      <c r="E12" s="161">
        <v>25</v>
      </c>
      <c r="F12" s="166">
        <f t="shared" si="1"/>
        <v>0</v>
      </c>
      <c r="G12" s="175">
        <f t="shared" si="2"/>
        <v>1</v>
      </c>
      <c r="I12" s="18">
        <v>8</v>
      </c>
      <c r="J12" s="18" t="s">
        <v>564</v>
      </c>
      <c r="K12" s="18">
        <v>190</v>
      </c>
      <c r="L12" s="18">
        <v>203</v>
      </c>
      <c r="M12" s="29">
        <f t="shared" si="0"/>
        <v>1.0684210526315789</v>
      </c>
    </row>
    <row r="13" spans="1:13" ht="15.5" x14ac:dyDescent="0.35">
      <c r="A13" s="166">
        <v>7</v>
      </c>
      <c r="B13" s="163" t="s">
        <v>511</v>
      </c>
      <c r="C13" s="161" t="s">
        <v>18</v>
      </c>
      <c r="D13" s="147">
        <v>25</v>
      </c>
      <c r="E13" s="161">
        <v>23</v>
      </c>
      <c r="F13" s="166">
        <f t="shared" si="1"/>
        <v>-2</v>
      </c>
      <c r="G13" s="175">
        <f t="shared" si="2"/>
        <v>0.92</v>
      </c>
    </row>
    <row r="14" spans="1:13" ht="15.5" x14ac:dyDescent="0.35">
      <c r="A14" s="166">
        <v>8</v>
      </c>
      <c r="B14" s="163" t="s">
        <v>512</v>
      </c>
      <c r="C14" s="161" t="s">
        <v>18</v>
      </c>
      <c r="D14" s="147">
        <v>25</v>
      </c>
      <c r="E14" s="161">
        <v>19</v>
      </c>
      <c r="F14" s="166">
        <f t="shared" si="1"/>
        <v>-6</v>
      </c>
      <c r="G14" s="175">
        <f t="shared" si="2"/>
        <v>0.76</v>
      </c>
    </row>
    <row r="15" spans="1:13" x14ac:dyDescent="0.35">
      <c r="A15" s="166">
        <v>9</v>
      </c>
      <c r="B15" s="169" t="s">
        <v>513</v>
      </c>
      <c r="C15" s="161" t="s">
        <v>16</v>
      </c>
      <c r="D15" s="147">
        <v>35</v>
      </c>
      <c r="E15" s="173">
        <v>3</v>
      </c>
      <c r="F15" s="166">
        <f t="shared" si="1"/>
        <v>-32</v>
      </c>
      <c r="G15" s="175">
        <f t="shared" si="2"/>
        <v>8.5714285714285715E-2</v>
      </c>
    </row>
    <row r="16" spans="1:13" x14ac:dyDescent="0.35">
      <c r="A16" s="166">
        <v>10</v>
      </c>
      <c r="B16" s="13" t="s">
        <v>514</v>
      </c>
      <c r="C16" s="161" t="s">
        <v>18</v>
      </c>
      <c r="D16" s="147">
        <v>25</v>
      </c>
      <c r="E16" s="173">
        <v>27</v>
      </c>
      <c r="F16" s="166">
        <f t="shared" si="1"/>
        <v>2</v>
      </c>
      <c r="G16" s="175">
        <f t="shared" si="2"/>
        <v>1.08</v>
      </c>
    </row>
    <row r="17" spans="1:7" x14ac:dyDescent="0.35">
      <c r="A17" s="166">
        <v>11</v>
      </c>
      <c r="B17" s="171" t="s">
        <v>515</v>
      </c>
      <c r="C17" s="161" t="s">
        <v>18</v>
      </c>
      <c r="D17" s="147">
        <v>25</v>
      </c>
      <c r="E17" s="173">
        <v>12</v>
      </c>
      <c r="F17" s="166">
        <f t="shared" si="1"/>
        <v>-13</v>
      </c>
      <c r="G17" s="175">
        <f t="shared" si="2"/>
        <v>0.48</v>
      </c>
    </row>
    <row r="18" spans="1:7" ht="15.5" x14ac:dyDescent="0.35">
      <c r="A18" s="166">
        <v>12</v>
      </c>
      <c r="B18" s="163" t="s">
        <v>516</v>
      </c>
      <c r="C18" s="161" t="s">
        <v>18</v>
      </c>
      <c r="D18" s="147">
        <v>25</v>
      </c>
      <c r="E18" s="173">
        <v>32</v>
      </c>
      <c r="F18" s="166">
        <f t="shared" si="1"/>
        <v>7</v>
      </c>
      <c r="G18" s="175">
        <f t="shared" si="2"/>
        <v>1.28</v>
      </c>
    </row>
    <row r="19" spans="1:7" ht="15.5" x14ac:dyDescent="0.35">
      <c r="A19" s="166">
        <v>13</v>
      </c>
      <c r="B19" s="163" t="s">
        <v>517</v>
      </c>
      <c r="C19" s="161" t="s">
        <v>18</v>
      </c>
      <c r="D19" s="147">
        <v>25</v>
      </c>
      <c r="E19" s="173">
        <v>42</v>
      </c>
      <c r="F19" s="166">
        <f t="shared" si="1"/>
        <v>17</v>
      </c>
      <c r="G19" s="175">
        <f t="shared" si="2"/>
        <v>1.68</v>
      </c>
    </row>
    <row r="20" spans="1:7" ht="15.5" x14ac:dyDescent="0.35">
      <c r="A20" s="166">
        <v>14</v>
      </c>
      <c r="B20" s="163" t="s">
        <v>518</v>
      </c>
      <c r="C20" s="161" t="s">
        <v>18</v>
      </c>
      <c r="D20" s="147">
        <v>25</v>
      </c>
      <c r="E20" s="173">
        <v>3</v>
      </c>
      <c r="F20" s="166">
        <f t="shared" si="1"/>
        <v>-22</v>
      </c>
      <c r="G20" s="175">
        <f t="shared" si="2"/>
        <v>0.12</v>
      </c>
    </row>
    <row r="21" spans="1:7" ht="15.5" x14ac:dyDescent="0.35">
      <c r="A21" s="166">
        <v>15</v>
      </c>
      <c r="B21" s="165" t="s">
        <v>519</v>
      </c>
      <c r="C21" s="161" t="s">
        <v>16</v>
      </c>
      <c r="D21" s="147">
        <v>35</v>
      </c>
      <c r="E21" s="147">
        <v>10</v>
      </c>
      <c r="F21" s="166">
        <f t="shared" si="1"/>
        <v>-25</v>
      </c>
      <c r="G21" s="175">
        <f t="shared" si="2"/>
        <v>0.2857142857142857</v>
      </c>
    </row>
    <row r="22" spans="1:7" ht="15.5" x14ac:dyDescent="0.35">
      <c r="A22" s="166">
        <v>16</v>
      </c>
      <c r="B22" s="165" t="s">
        <v>520</v>
      </c>
      <c r="C22" s="161" t="s">
        <v>18</v>
      </c>
      <c r="D22" s="147">
        <v>25</v>
      </c>
      <c r="E22" s="147">
        <v>20</v>
      </c>
      <c r="F22" s="166">
        <f t="shared" si="1"/>
        <v>-5</v>
      </c>
      <c r="G22" s="175">
        <f t="shared" si="2"/>
        <v>0.8</v>
      </c>
    </row>
    <row r="23" spans="1:7" ht="15.5" x14ac:dyDescent="0.35">
      <c r="A23" s="166">
        <v>17</v>
      </c>
      <c r="B23" s="164" t="s">
        <v>521</v>
      </c>
      <c r="C23" s="161" t="s">
        <v>18</v>
      </c>
      <c r="D23" s="147">
        <v>25</v>
      </c>
      <c r="E23" s="147">
        <v>22</v>
      </c>
      <c r="F23" s="166">
        <f t="shared" si="1"/>
        <v>-3</v>
      </c>
      <c r="G23" s="175">
        <f t="shared" si="2"/>
        <v>0.88</v>
      </c>
    </row>
    <row r="24" spans="1:7" ht="15.5" x14ac:dyDescent="0.35">
      <c r="A24" s="166">
        <v>18</v>
      </c>
      <c r="B24" s="165" t="s">
        <v>522</v>
      </c>
      <c r="C24" s="161" t="s">
        <v>18</v>
      </c>
      <c r="D24" s="147">
        <v>25</v>
      </c>
      <c r="E24" s="147">
        <v>49</v>
      </c>
      <c r="F24" s="166">
        <f t="shared" si="1"/>
        <v>24</v>
      </c>
      <c r="G24" s="175">
        <f t="shared" si="2"/>
        <v>1.96</v>
      </c>
    </row>
    <row r="25" spans="1:7" ht="15.5" x14ac:dyDescent="0.35">
      <c r="A25" s="166">
        <v>19</v>
      </c>
      <c r="B25" s="164" t="s">
        <v>523</v>
      </c>
      <c r="C25" s="161" t="s">
        <v>18</v>
      </c>
      <c r="D25" s="147">
        <v>25</v>
      </c>
      <c r="E25" s="147">
        <v>19</v>
      </c>
      <c r="F25" s="166">
        <f t="shared" si="1"/>
        <v>-6</v>
      </c>
      <c r="G25" s="175">
        <f t="shared" si="2"/>
        <v>0.76</v>
      </c>
    </row>
    <row r="26" spans="1:7" x14ac:dyDescent="0.35">
      <c r="A26" s="166">
        <v>20</v>
      </c>
      <c r="B26" s="166" t="s">
        <v>524</v>
      </c>
      <c r="C26" s="161" t="s">
        <v>18</v>
      </c>
      <c r="D26" s="147">
        <v>25</v>
      </c>
      <c r="E26" s="147">
        <v>20</v>
      </c>
      <c r="F26" s="166">
        <f t="shared" si="1"/>
        <v>-5</v>
      </c>
      <c r="G26" s="175">
        <f t="shared" si="2"/>
        <v>0.8</v>
      </c>
    </row>
    <row r="27" spans="1:7" x14ac:dyDescent="0.35">
      <c r="A27" s="166">
        <v>21</v>
      </c>
      <c r="B27" s="169" t="s">
        <v>525</v>
      </c>
      <c r="C27" s="161" t="s">
        <v>16</v>
      </c>
      <c r="D27" s="147">
        <v>35</v>
      </c>
      <c r="E27" s="173">
        <v>15</v>
      </c>
      <c r="F27" s="166">
        <f t="shared" si="1"/>
        <v>-20</v>
      </c>
      <c r="G27" s="175">
        <f t="shared" si="2"/>
        <v>0.42857142857142855</v>
      </c>
    </row>
    <row r="28" spans="1:7" x14ac:dyDescent="0.35">
      <c r="A28" s="166">
        <v>22</v>
      </c>
      <c r="B28" s="168" t="s">
        <v>526</v>
      </c>
      <c r="C28" s="161" t="s">
        <v>18</v>
      </c>
      <c r="D28" s="147">
        <v>25</v>
      </c>
      <c r="E28" s="173">
        <v>19</v>
      </c>
      <c r="F28" s="166">
        <f t="shared" si="1"/>
        <v>-6</v>
      </c>
      <c r="G28" s="175">
        <f t="shared" si="2"/>
        <v>0.76</v>
      </c>
    </row>
    <row r="29" spans="1:7" x14ac:dyDescent="0.35">
      <c r="A29" s="166">
        <v>23</v>
      </c>
      <c r="B29" s="168" t="s">
        <v>527</v>
      </c>
      <c r="C29" s="161" t="s">
        <v>18</v>
      </c>
      <c r="D29" s="147">
        <v>25</v>
      </c>
      <c r="E29" s="173">
        <v>25</v>
      </c>
      <c r="F29" s="166">
        <f t="shared" si="1"/>
        <v>0</v>
      </c>
      <c r="G29" s="175">
        <f t="shared" si="2"/>
        <v>1</v>
      </c>
    </row>
    <row r="30" spans="1:7" x14ac:dyDescent="0.35">
      <c r="A30" s="166">
        <v>24</v>
      </c>
      <c r="B30" s="168" t="s">
        <v>528</v>
      </c>
      <c r="C30" s="161" t="s">
        <v>18</v>
      </c>
      <c r="D30" s="147">
        <v>25</v>
      </c>
      <c r="E30" s="173">
        <v>26</v>
      </c>
      <c r="F30" s="166">
        <f t="shared" si="1"/>
        <v>1</v>
      </c>
      <c r="G30" s="175">
        <f t="shared" si="2"/>
        <v>1.04</v>
      </c>
    </row>
    <row r="31" spans="1:7" x14ac:dyDescent="0.35">
      <c r="A31" s="166">
        <v>25</v>
      </c>
      <c r="B31" s="170" t="s">
        <v>529</v>
      </c>
      <c r="C31" s="161" t="s">
        <v>18</v>
      </c>
      <c r="D31" s="147">
        <v>25</v>
      </c>
      <c r="E31" s="173">
        <v>25</v>
      </c>
      <c r="F31" s="166">
        <f t="shared" si="1"/>
        <v>0</v>
      </c>
      <c r="G31" s="175">
        <f t="shared" si="2"/>
        <v>1</v>
      </c>
    </row>
    <row r="32" spans="1:7" x14ac:dyDescent="0.35">
      <c r="A32" s="166">
        <v>26</v>
      </c>
      <c r="B32" s="168" t="s">
        <v>530</v>
      </c>
      <c r="C32" s="161" t="s">
        <v>18</v>
      </c>
      <c r="D32" s="147">
        <v>25</v>
      </c>
      <c r="E32" s="173">
        <v>19</v>
      </c>
      <c r="F32" s="166">
        <f t="shared" si="1"/>
        <v>-6</v>
      </c>
      <c r="G32" s="175">
        <f t="shared" si="2"/>
        <v>0.76</v>
      </c>
    </row>
    <row r="33" spans="1:7" x14ac:dyDescent="0.35">
      <c r="A33" s="166">
        <v>27</v>
      </c>
      <c r="B33" s="169" t="s">
        <v>531</v>
      </c>
      <c r="C33" s="161" t="s">
        <v>16</v>
      </c>
      <c r="D33" s="147">
        <v>35</v>
      </c>
      <c r="E33" s="173">
        <v>1</v>
      </c>
      <c r="F33" s="166">
        <f t="shared" si="1"/>
        <v>-34</v>
      </c>
      <c r="G33" s="175">
        <f t="shared" si="2"/>
        <v>2.8571428571428571E-2</v>
      </c>
    </row>
    <row r="34" spans="1:7" x14ac:dyDescent="0.35">
      <c r="A34" s="166">
        <v>28</v>
      </c>
      <c r="B34" s="168" t="s">
        <v>532</v>
      </c>
      <c r="C34" s="161" t="s">
        <v>18</v>
      </c>
      <c r="D34" s="147">
        <v>25</v>
      </c>
      <c r="E34" s="173">
        <v>42</v>
      </c>
      <c r="F34" s="166">
        <f t="shared" si="1"/>
        <v>17</v>
      </c>
      <c r="G34" s="175">
        <f t="shared" si="2"/>
        <v>1.68</v>
      </c>
    </row>
    <row r="35" spans="1:7" x14ac:dyDescent="0.35">
      <c r="A35" s="166">
        <v>29</v>
      </c>
      <c r="B35" s="168" t="s">
        <v>533</v>
      </c>
      <c r="C35" s="161" t="s">
        <v>18</v>
      </c>
      <c r="D35" s="147">
        <v>25</v>
      </c>
      <c r="E35" s="173">
        <v>18</v>
      </c>
      <c r="F35" s="166">
        <f t="shared" si="1"/>
        <v>-7</v>
      </c>
      <c r="G35" s="175">
        <f t="shared" si="2"/>
        <v>0.72</v>
      </c>
    </row>
    <row r="36" spans="1:7" x14ac:dyDescent="0.35">
      <c r="A36" s="166">
        <v>30</v>
      </c>
      <c r="B36" s="170" t="s">
        <v>534</v>
      </c>
      <c r="C36" s="161" t="s">
        <v>18</v>
      </c>
      <c r="D36" s="147">
        <v>25</v>
      </c>
      <c r="E36" s="173">
        <v>19</v>
      </c>
      <c r="F36" s="166">
        <f t="shared" si="1"/>
        <v>-6</v>
      </c>
      <c r="G36" s="175">
        <f t="shared" si="2"/>
        <v>0.76</v>
      </c>
    </row>
    <row r="37" spans="1:7" x14ac:dyDescent="0.35">
      <c r="A37" s="166">
        <v>31</v>
      </c>
      <c r="B37" s="13" t="s">
        <v>535</v>
      </c>
      <c r="C37" s="161" t="s">
        <v>18</v>
      </c>
      <c r="D37" s="147">
        <v>25</v>
      </c>
      <c r="E37" s="174">
        <v>18</v>
      </c>
      <c r="F37" s="166">
        <f t="shared" si="1"/>
        <v>-7</v>
      </c>
      <c r="G37" s="175">
        <f t="shared" si="2"/>
        <v>0.72</v>
      </c>
    </row>
    <row r="38" spans="1:7" ht="15.5" x14ac:dyDescent="0.35">
      <c r="A38" s="166">
        <v>32</v>
      </c>
      <c r="B38" s="163" t="s">
        <v>536</v>
      </c>
      <c r="C38" s="161" t="s">
        <v>18</v>
      </c>
      <c r="D38" s="147">
        <v>25</v>
      </c>
      <c r="E38" s="174">
        <v>62</v>
      </c>
      <c r="F38" s="166">
        <f t="shared" si="1"/>
        <v>37</v>
      </c>
      <c r="G38" s="175">
        <f t="shared" si="2"/>
        <v>2.48</v>
      </c>
    </row>
    <row r="39" spans="1:7" x14ac:dyDescent="0.35">
      <c r="A39" s="166">
        <v>33</v>
      </c>
      <c r="B39" s="169" t="s">
        <v>537</v>
      </c>
      <c r="C39" s="161" t="s">
        <v>16</v>
      </c>
      <c r="D39" s="147">
        <v>35</v>
      </c>
      <c r="E39" s="174">
        <v>0</v>
      </c>
      <c r="F39" s="166">
        <f t="shared" si="1"/>
        <v>-35</v>
      </c>
      <c r="G39" s="175">
        <f t="shared" si="2"/>
        <v>0</v>
      </c>
    </row>
    <row r="40" spans="1:7" x14ac:dyDescent="0.35">
      <c r="A40" s="166">
        <v>34</v>
      </c>
      <c r="B40" s="168" t="s">
        <v>538</v>
      </c>
      <c r="C40" s="161" t="s">
        <v>18</v>
      </c>
      <c r="D40" s="147">
        <v>25</v>
      </c>
      <c r="E40" s="174">
        <v>26</v>
      </c>
      <c r="F40" s="166">
        <f t="shared" si="1"/>
        <v>1</v>
      </c>
      <c r="G40" s="175">
        <f t="shared" si="2"/>
        <v>1.04</v>
      </c>
    </row>
    <row r="41" spans="1:7" x14ac:dyDescent="0.35">
      <c r="A41" s="166">
        <v>35</v>
      </c>
      <c r="B41" s="168" t="s">
        <v>539</v>
      </c>
      <c r="C41" s="161" t="s">
        <v>18</v>
      </c>
      <c r="D41" s="147">
        <v>25</v>
      </c>
      <c r="E41" s="174">
        <v>40</v>
      </c>
      <c r="F41" s="166">
        <f t="shared" si="1"/>
        <v>15</v>
      </c>
      <c r="G41" s="175">
        <f t="shared" si="2"/>
        <v>1.6</v>
      </c>
    </row>
    <row r="42" spans="1:7" x14ac:dyDescent="0.35">
      <c r="A42" s="166">
        <v>36</v>
      </c>
      <c r="B42" s="168" t="s">
        <v>540</v>
      </c>
      <c r="C42" s="161" t="s">
        <v>18</v>
      </c>
      <c r="D42" s="147">
        <v>25</v>
      </c>
      <c r="E42" s="174">
        <v>17</v>
      </c>
      <c r="F42" s="166">
        <f t="shared" si="1"/>
        <v>-8</v>
      </c>
      <c r="G42" s="175">
        <f t="shared" si="2"/>
        <v>0.68</v>
      </c>
    </row>
    <row r="43" spans="1:7" x14ac:dyDescent="0.35">
      <c r="A43" s="166">
        <v>37</v>
      </c>
      <c r="B43" s="168" t="s">
        <v>541</v>
      </c>
      <c r="C43" s="161" t="s">
        <v>18</v>
      </c>
      <c r="D43" s="147">
        <v>25</v>
      </c>
      <c r="E43" s="174">
        <v>28</v>
      </c>
      <c r="F43" s="166">
        <f t="shared" si="1"/>
        <v>3</v>
      </c>
      <c r="G43" s="175">
        <f t="shared" si="2"/>
        <v>1.1200000000000001</v>
      </c>
    </row>
    <row r="44" spans="1:7" x14ac:dyDescent="0.35">
      <c r="A44" s="166">
        <v>38</v>
      </c>
      <c r="B44" s="168" t="s">
        <v>542</v>
      </c>
      <c r="C44" s="161" t="s">
        <v>18</v>
      </c>
      <c r="D44" s="147">
        <v>25</v>
      </c>
      <c r="E44" s="174">
        <v>23</v>
      </c>
      <c r="F44" s="166">
        <f t="shared" si="1"/>
        <v>-2</v>
      </c>
      <c r="G44" s="175">
        <f t="shared" si="2"/>
        <v>0.92</v>
      </c>
    </row>
    <row r="45" spans="1:7" x14ac:dyDescent="0.35">
      <c r="A45" s="166">
        <v>39</v>
      </c>
      <c r="B45" s="169" t="s">
        <v>543</v>
      </c>
      <c r="C45" s="161" t="s">
        <v>16</v>
      </c>
      <c r="D45" s="147">
        <v>35</v>
      </c>
      <c r="E45" s="174">
        <v>0</v>
      </c>
      <c r="F45" s="166">
        <f t="shared" si="1"/>
        <v>-35</v>
      </c>
      <c r="G45" s="175">
        <f t="shared" si="2"/>
        <v>0</v>
      </c>
    </row>
    <row r="46" spans="1:7" x14ac:dyDescent="0.35">
      <c r="A46" s="166">
        <v>40</v>
      </c>
      <c r="B46" s="168" t="s">
        <v>544</v>
      </c>
      <c r="C46" s="161" t="s">
        <v>18</v>
      </c>
      <c r="D46" s="147">
        <v>25</v>
      </c>
      <c r="E46" s="174">
        <v>31</v>
      </c>
      <c r="F46" s="166">
        <f t="shared" si="1"/>
        <v>6</v>
      </c>
      <c r="G46" s="175">
        <f t="shared" si="2"/>
        <v>1.24</v>
      </c>
    </row>
    <row r="47" spans="1:7" x14ac:dyDescent="0.35">
      <c r="A47" s="166">
        <v>41</v>
      </c>
      <c r="B47" s="168" t="s">
        <v>545</v>
      </c>
      <c r="C47" s="161" t="s">
        <v>18</v>
      </c>
      <c r="D47" s="147">
        <v>25</v>
      </c>
      <c r="E47" s="174">
        <v>27</v>
      </c>
      <c r="F47" s="166">
        <f t="shared" si="1"/>
        <v>2</v>
      </c>
      <c r="G47" s="175">
        <f t="shared" si="2"/>
        <v>1.08</v>
      </c>
    </row>
    <row r="48" spans="1:7" x14ac:dyDescent="0.35">
      <c r="A48" s="166">
        <v>42</v>
      </c>
      <c r="B48" s="168" t="s">
        <v>546</v>
      </c>
      <c r="C48" s="161" t="s">
        <v>18</v>
      </c>
      <c r="D48" s="147">
        <v>25</v>
      </c>
      <c r="E48" s="174">
        <v>23</v>
      </c>
      <c r="F48" s="166">
        <f t="shared" si="1"/>
        <v>-2</v>
      </c>
      <c r="G48" s="175">
        <f t="shared" si="2"/>
        <v>0.92</v>
      </c>
    </row>
    <row r="49" spans="1:7" x14ac:dyDescent="0.35">
      <c r="A49" s="166">
        <v>43</v>
      </c>
      <c r="B49" s="170" t="s">
        <v>547</v>
      </c>
      <c r="C49" s="161" t="s">
        <v>18</v>
      </c>
      <c r="D49" s="147">
        <v>25</v>
      </c>
      <c r="E49" s="174">
        <v>82</v>
      </c>
      <c r="F49" s="166">
        <f t="shared" si="1"/>
        <v>57</v>
      </c>
      <c r="G49" s="175">
        <f t="shared" si="2"/>
        <v>3.28</v>
      </c>
    </row>
    <row r="50" spans="1:7" x14ac:dyDescent="0.35">
      <c r="A50" s="166">
        <v>44</v>
      </c>
      <c r="B50" s="166" t="s">
        <v>548</v>
      </c>
      <c r="C50" s="161" t="s">
        <v>18</v>
      </c>
      <c r="D50" s="147">
        <v>25</v>
      </c>
      <c r="E50" s="174">
        <v>21</v>
      </c>
      <c r="F50" s="166">
        <f t="shared" si="1"/>
        <v>-4</v>
      </c>
      <c r="G50" s="175">
        <f t="shared" si="2"/>
        <v>0.84</v>
      </c>
    </row>
    <row r="51" spans="1:7" ht="15.5" x14ac:dyDescent="0.35">
      <c r="A51" s="166">
        <v>45</v>
      </c>
      <c r="B51" s="163" t="s">
        <v>549</v>
      </c>
      <c r="C51" s="161" t="s">
        <v>18</v>
      </c>
      <c r="D51" s="147">
        <v>25</v>
      </c>
      <c r="E51" s="174">
        <v>32</v>
      </c>
      <c r="F51" s="166">
        <f t="shared" si="1"/>
        <v>7</v>
      </c>
      <c r="G51" s="175">
        <f t="shared" si="2"/>
        <v>1.28</v>
      </c>
    </row>
    <row r="52" spans="1:7" x14ac:dyDescent="0.35">
      <c r="A52" s="166">
        <v>46</v>
      </c>
      <c r="B52" s="172" t="s">
        <v>550</v>
      </c>
      <c r="C52" s="161" t="s">
        <v>16</v>
      </c>
      <c r="D52" s="147">
        <v>35</v>
      </c>
      <c r="E52" s="174">
        <v>0</v>
      </c>
      <c r="F52" s="166">
        <f t="shared" si="1"/>
        <v>-35</v>
      </c>
      <c r="G52" s="175">
        <f t="shared" si="2"/>
        <v>0</v>
      </c>
    </row>
    <row r="53" spans="1:7" x14ac:dyDescent="0.35">
      <c r="A53" s="166">
        <v>47</v>
      </c>
      <c r="B53" s="168" t="s">
        <v>551</v>
      </c>
      <c r="C53" s="161" t="s">
        <v>18</v>
      </c>
      <c r="D53" s="147">
        <v>25</v>
      </c>
      <c r="E53" s="174">
        <v>69</v>
      </c>
      <c r="F53" s="166">
        <f t="shared" si="1"/>
        <v>44</v>
      </c>
      <c r="G53" s="175">
        <f t="shared" si="2"/>
        <v>2.76</v>
      </c>
    </row>
    <row r="54" spans="1:7" x14ac:dyDescent="0.35">
      <c r="A54" s="166">
        <v>48</v>
      </c>
      <c r="B54" s="168" t="s">
        <v>552</v>
      </c>
      <c r="C54" s="161" t="s">
        <v>18</v>
      </c>
      <c r="D54" s="147">
        <v>25</v>
      </c>
      <c r="E54" s="174">
        <v>42</v>
      </c>
      <c r="F54" s="166">
        <f t="shared" si="1"/>
        <v>17</v>
      </c>
      <c r="G54" s="175">
        <f t="shared" si="2"/>
        <v>1.68</v>
      </c>
    </row>
    <row r="55" spans="1:7" x14ac:dyDescent="0.35">
      <c r="A55" s="166">
        <v>49</v>
      </c>
      <c r="B55" s="168" t="s">
        <v>553</v>
      </c>
      <c r="C55" s="161" t="s">
        <v>18</v>
      </c>
      <c r="D55" s="147">
        <v>25</v>
      </c>
      <c r="E55" s="174">
        <v>27</v>
      </c>
      <c r="F55" s="166">
        <f t="shared" si="1"/>
        <v>2</v>
      </c>
      <c r="G55" s="175">
        <f t="shared" si="2"/>
        <v>1.08</v>
      </c>
    </row>
    <row r="56" spans="1:7" x14ac:dyDescent="0.35">
      <c r="A56" s="166">
        <v>50</v>
      </c>
      <c r="B56" s="168" t="s">
        <v>554</v>
      </c>
      <c r="C56" s="161" t="s">
        <v>18</v>
      </c>
      <c r="D56" s="147">
        <v>25</v>
      </c>
      <c r="E56" s="174">
        <v>24</v>
      </c>
      <c r="F56" s="166">
        <f t="shared" si="1"/>
        <v>-1</v>
      </c>
      <c r="G56" s="175">
        <f t="shared" si="2"/>
        <v>0.96</v>
      </c>
    </row>
    <row r="57" spans="1:7" x14ac:dyDescent="0.35">
      <c r="A57" s="166">
        <v>51</v>
      </c>
      <c r="B57" s="168" t="s">
        <v>555</v>
      </c>
      <c r="C57" s="161" t="s">
        <v>18</v>
      </c>
      <c r="D57" s="147">
        <v>25</v>
      </c>
      <c r="E57" s="174">
        <v>12</v>
      </c>
      <c r="F57" s="166">
        <f t="shared" si="1"/>
        <v>-13</v>
      </c>
      <c r="G57" s="175">
        <f t="shared" si="2"/>
        <v>0.48</v>
      </c>
    </row>
    <row r="58" spans="1:7" x14ac:dyDescent="0.35">
      <c r="A58" s="166">
        <v>52</v>
      </c>
      <c r="B58" s="168" t="s">
        <v>556</v>
      </c>
      <c r="C58" s="161" t="s">
        <v>18</v>
      </c>
      <c r="D58" s="147">
        <v>25</v>
      </c>
      <c r="E58" s="174">
        <v>25</v>
      </c>
      <c r="F58" s="166">
        <f t="shared" si="1"/>
        <v>0</v>
      </c>
      <c r="G58" s="175">
        <f t="shared" si="2"/>
        <v>1</v>
      </c>
    </row>
    <row r="59" spans="1:7" x14ac:dyDescent="0.35">
      <c r="A59" s="166">
        <v>53</v>
      </c>
      <c r="B59" s="168" t="s">
        <v>557</v>
      </c>
      <c r="C59" s="161" t="s">
        <v>18</v>
      </c>
      <c r="D59" s="147">
        <v>25</v>
      </c>
      <c r="E59" s="174">
        <v>4</v>
      </c>
      <c r="F59" s="166">
        <f t="shared" si="1"/>
        <v>-21</v>
      </c>
      <c r="G59" s="175">
        <f t="shared" si="2"/>
        <v>0.16</v>
      </c>
    </row>
    <row r="60" spans="1:7" x14ac:dyDescent="0.35">
      <c r="A60" s="166"/>
      <c r="B60" s="166" t="s">
        <v>47</v>
      </c>
      <c r="C60" s="166"/>
      <c r="D60" s="166">
        <v>1320</v>
      </c>
      <c r="E60" s="166">
        <f>SUM(E7:E59)</f>
        <v>1299</v>
      </c>
      <c r="F60" s="166">
        <f t="shared" si="1"/>
        <v>-21</v>
      </c>
      <c r="G60" s="175">
        <f t="shared" si="2"/>
        <v>0.98409090909090913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DB2B-8CA1-4606-ACE7-5F7D13D2E9FA}">
  <dimension ref="A1:M25"/>
  <sheetViews>
    <sheetView workbookViewId="0">
      <selection activeCell="C5" sqref="C5:G5"/>
    </sheetView>
  </sheetViews>
  <sheetFormatPr defaultRowHeight="14.5" x14ac:dyDescent="0.35"/>
  <cols>
    <col min="1" max="1" width="3.81640625" customWidth="1"/>
    <col min="2" max="2" width="23.08984375" customWidth="1"/>
    <col min="7" max="7" width="8.7265625" style="16"/>
    <col min="9" max="9" width="6.7265625" customWidth="1"/>
    <col min="10" max="10" width="23.36328125" customWidth="1"/>
    <col min="13" max="13" width="8.7265625" style="16"/>
  </cols>
  <sheetData>
    <row r="1" spans="1:13" x14ac:dyDescent="0.35">
      <c r="B1" s="5" t="s">
        <v>7</v>
      </c>
    </row>
    <row r="2" spans="1:13" x14ac:dyDescent="0.35">
      <c r="B2" s="5" t="s">
        <v>48</v>
      </c>
    </row>
    <row r="5" spans="1:13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  <c r="I5" s="1" t="s">
        <v>0</v>
      </c>
      <c r="J5" s="1" t="s">
        <v>2</v>
      </c>
      <c r="K5" s="1" t="s">
        <v>4</v>
      </c>
      <c r="L5" s="1" t="s">
        <v>5</v>
      </c>
      <c r="M5" s="2" t="s">
        <v>6</v>
      </c>
    </row>
    <row r="6" spans="1:13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82" t="s">
        <v>6</v>
      </c>
      <c r="I6" s="18">
        <v>1</v>
      </c>
      <c r="J6" s="18" t="s">
        <v>66</v>
      </c>
      <c r="K6" s="3">
        <v>150</v>
      </c>
      <c r="L6" s="3">
        <v>157</v>
      </c>
      <c r="M6" s="17">
        <f>L6/K6*100%</f>
        <v>1.0466666666666666</v>
      </c>
    </row>
    <row r="7" spans="1:13" x14ac:dyDescent="0.35">
      <c r="A7" s="78"/>
      <c r="B7" s="79"/>
      <c r="C7" s="81"/>
      <c r="D7" s="81"/>
      <c r="E7" s="81"/>
      <c r="F7" s="81"/>
      <c r="G7" s="83"/>
      <c r="I7" s="18">
        <v>2</v>
      </c>
      <c r="J7" s="18" t="s">
        <v>67</v>
      </c>
      <c r="K7" s="3">
        <v>150</v>
      </c>
      <c r="L7" s="3">
        <v>126</v>
      </c>
      <c r="M7" s="17">
        <f t="shared" ref="M7:M8" si="0">L7/K7*100%</f>
        <v>0.84</v>
      </c>
    </row>
    <row r="8" spans="1:13" x14ac:dyDescent="0.35">
      <c r="A8" s="7">
        <v>1</v>
      </c>
      <c r="B8" s="19" t="s">
        <v>49</v>
      </c>
      <c r="C8" s="20" t="s">
        <v>16</v>
      </c>
      <c r="D8" s="20">
        <v>35</v>
      </c>
      <c r="E8" s="20">
        <v>0</v>
      </c>
      <c r="F8" s="7">
        <f>E8-D8</f>
        <v>-35</v>
      </c>
      <c r="G8" s="21">
        <f>E8/D8*100%</f>
        <v>0</v>
      </c>
      <c r="I8" s="18">
        <v>3</v>
      </c>
      <c r="J8" s="18" t="s">
        <v>68</v>
      </c>
      <c r="K8" s="3">
        <v>150</v>
      </c>
      <c r="L8" s="3">
        <v>134</v>
      </c>
      <c r="M8" s="17">
        <f t="shared" si="0"/>
        <v>0.89333333333333331</v>
      </c>
    </row>
    <row r="9" spans="1:13" x14ac:dyDescent="0.35">
      <c r="A9" s="7">
        <v>2</v>
      </c>
      <c r="B9" s="8" t="s">
        <v>50</v>
      </c>
      <c r="C9" s="10" t="s">
        <v>18</v>
      </c>
      <c r="D9" s="20">
        <v>25</v>
      </c>
      <c r="E9" s="20">
        <v>46</v>
      </c>
      <c r="F9" s="7">
        <f t="shared" ref="F9:F25" si="1">E9-D9</f>
        <v>21</v>
      </c>
      <c r="G9" s="21">
        <f t="shared" ref="G9:G25" si="2">E9/D9*100%</f>
        <v>1.84</v>
      </c>
      <c r="K9">
        <v>450</v>
      </c>
      <c r="M9" s="17"/>
    </row>
    <row r="10" spans="1:13" x14ac:dyDescent="0.35">
      <c r="A10" s="7">
        <v>3</v>
      </c>
      <c r="B10" s="8" t="s">
        <v>51</v>
      </c>
      <c r="C10" s="10" t="s">
        <v>18</v>
      </c>
      <c r="D10" s="10">
        <v>25</v>
      </c>
      <c r="E10" s="20">
        <v>21</v>
      </c>
      <c r="F10" s="7">
        <f t="shared" si="1"/>
        <v>-4</v>
      </c>
      <c r="G10" s="21">
        <f t="shared" si="2"/>
        <v>0.84</v>
      </c>
    </row>
    <row r="11" spans="1:13" x14ac:dyDescent="0.35">
      <c r="A11" s="7">
        <v>4</v>
      </c>
      <c r="B11" s="8" t="s">
        <v>52</v>
      </c>
      <c r="C11" s="11" t="s">
        <v>18</v>
      </c>
      <c r="D11" s="11">
        <v>25</v>
      </c>
      <c r="E11" s="20">
        <v>60</v>
      </c>
      <c r="F11" s="7">
        <f t="shared" si="1"/>
        <v>35</v>
      </c>
      <c r="G11" s="21">
        <f t="shared" si="2"/>
        <v>2.4</v>
      </c>
    </row>
    <row r="12" spans="1:13" x14ac:dyDescent="0.35">
      <c r="A12" s="7">
        <v>5</v>
      </c>
      <c r="B12" s="8" t="s">
        <v>53</v>
      </c>
      <c r="C12" s="11" t="s">
        <v>18</v>
      </c>
      <c r="D12" s="11">
        <v>25</v>
      </c>
      <c r="E12" s="20">
        <v>30</v>
      </c>
      <c r="F12" s="7">
        <f t="shared" si="1"/>
        <v>5</v>
      </c>
      <c r="G12" s="21">
        <f t="shared" si="2"/>
        <v>1.2</v>
      </c>
    </row>
    <row r="13" spans="1:13" x14ac:dyDescent="0.35">
      <c r="A13" s="7">
        <v>6</v>
      </c>
      <c r="B13" s="19" t="s">
        <v>54</v>
      </c>
      <c r="C13" s="20" t="s">
        <v>16</v>
      </c>
      <c r="D13" s="20">
        <v>35</v>
      </c>
      <c r="E13" s="20">
        <v>2</v>
      </c>
      <c r="F13" s="7">
        <f t="shared" si="1"/>
        <v>-33</v>
      </c>
      <c r="G13" s="21">
        <f t="shared" si="2"/>
        <v>5.7142857142857141E-2</v>
      </c>
    </row>
    <row r="14" spans="1:13" x14ac:dyDescent="0.35">
      <c r="A14" s="7">
        <v>7</v>
      </c>
      <c r="B14" s="8" t="s">
        <v>55</v>
      </c>
      <c r="C14" s="10" t="s">
        <v>18</v>
      </c>
      <c r="D14" s="20">
        <v>25</v>
      </c>
      <c r="E14" s="20">
        <v>22</v>
      </c>
      <c r="F14" s="7">
        <f t="shared" si="1"/>
        <v>-3</v>
      </c>
      <c r="G14" s="21">
        <f t="shared" si="2"/>
        <v>0.88</v>
      </c>
    </row>
    <row r="15" spans="1:13" x14ac:dyDescent="0.35">
      <c r="A15" s="7">
        <v>8</v>
      </c>
      <c r="B15" s="8" t="s">
        <v>56</v>
      </c>
      <c r="C15" s="11" t="s">
        <v>18</v>
      </c>
      <c r="D15" s="11">
        <v>25</v>
      </c>
      <c r="E15" s="20">
        <v>36</v>
      </c>
      <c r="F15" s="7">
        <f t="shared" si="1"/>
        <v>11</v>
      </c>
      <c r="G15" s="21">
        <f t="shared" si="2"/>
        <v>1.44</v>
      </c>
    </row>
    <row r="16" spans="1:13" x14ac:dyDescent="0.35">
      <c r="A16" s="7">
        <v>9</v>
      </c>
      <c r="B16" s="8" t="s">
        <v>57</v>
      </c>
      <c r="C16" s="11" t="s">
        <v>18</v>
      </c>
      <c r="D16" s="11">
        <v>25</v>
      </c>
      <c r="E16" s="20">
        <v>33</v>
      </c>
      <c r="F16" s="7">
        <f t="shared" si="1"/>
        <v>8</v>
      </c>
      <c r="G16" s="21">
        <f t="shared" si="2"/>
        <v>1.32</v>
      </c>
    </row>
    <row r="17" spans="1:7" x14ac:dyDescent="0.35">
      <c r="A17" s="7">
        <v>10</v>
      </c>
      <c r="B17" s="8" t="s">
        <v>58</v>
      </c>
      <c r="C17" s="11" t="s">
        <v>18</v>
      </c>
      <c r="D17" s="11">
        <v>25</v>
      </c>
      <c r="E17" s="20">
        <v>16</v>
      </c>
      <c r="F17" s="7">
        <f t="shared" si="1"/>
        <v>-9</v>
      </c>
      <c r="G17" s="21">
        <f t="shared" si="2"/>
        <v>0.64</v>
      </c>
    </row>
    <row r="18" spans="1:7" x14ac:dyDescent="0.35">
      <c r="A18" s="7">
        <v>11</v>
      </c>
      <c r="B18" s="8" t="s">
        <v>59</v>
      </c>
      <c r="C18" s="11" t="s">
        <v>18</v>
      </c>
      <c r="D18" s="11">
        <v>25</v>
      </c>
      <c r="E18" s="20">
        <v>17</v>
      </c>
      <c r="F18" s="7">
        <f t="shared" si="1"/>
        <v>-8</v>
      </c>
      <c r="G18" s="21">
        <f t="shared" si="2"/>
        <v>0.68</v>
      </c>
    </row>
    <row r="19" spans="1:7" x14ac:dyDescent="0.35">
      <c r="A19" s="7">
        <v>12</v>
      </c>
      <c r="B19" s="19" t="s">
        <v>60</v>
      </c>
      <c r="C19" s="20" t="s">
        <v>16</v>
      </c>
      <c r="D19" s="20">
        <v>35</v>
      </c>
      <c r="E19" s="20">
        <v>3</v>
      </c>
      <c r="F19" s="7">
        <f t="shared" si="1"/>
        <v>-32</v>
      </c>
      <c r="G19" s="21">
        <f t="shared" si="2"/>
        <v>8.5714285714285715E-2</v>
      </c>
    </row>
    <row r="20" spans="1:7" x14ac:dyDescent="0.35">
      <c r="A20" s="7">
        <v>13</v>
      </c>
      <c r="B20" s="8" t="s">
        <v>61</v>
      </c>
      <c r="C20" s="10" t="s">
        <v>18</v>
      </c>
      <c r="D20" s="20">
        <v>25</v>
      </c>
      <c r="E20" s="20">
        <v>25</v>
      </c>
      <c r="F20" s="7">
        <f t="shared" si="1"/>
        <v>0</v>
      </c>
      <c r="G20" s="21">
        <f t="shared" si="2"/>
        <v>1</v>
      </c>
    </row>
    <row r="21" spans="1:7" x14ac:dyDescent="0.35">
      <c r="A21" s="7">
        <v>14</v>
      </c>
      <c r="B21" s="8" t="s">
        <v>62</v>
      </c>
      <c r="C21" s="10" t="s">
        <v>18</v>
      </c>
      <c r="D21" s="10">
        <v>25</v>
      </c>
      <c r="E21" s="20">
        <v>31</v>
      </c>
      <c r="F21" s="7">
        <f t="shared" si="1"/>
        <v>6</v>
      </c>
      <c r="G21" s="21">
        <f t="shared" si="2"/>
        <v>1.24</v>
      </c>
    </row>
    <row r="22" spans="1:7" x14ac:dyDescent="0.35">
      <c r="A22" s="7">
        <v>15</v>
      </c>
      <c r="B22" s="8" t="s">
        <v>63</v>
      </c>
      <c r="C22" s="11" t="s">
        <v>18</v>
      </c>
      <c r="D22" s="11">
        <v>25</v>
      </c>
      <c r="E22" s="20">
        <v>31</v>
      </c>
      <c r="F22" s="7">
        <f t="shared" si="1"/>
        <v>6</v>
      </c>
      <c r="G22" s="21">
        <f t="shared" si="2"/>
        <v>1.24</v>
      </c>
    </row>
    <row r="23" spans="1:7" x14ac:dyDescent="0.35">
      <c r="A23" s="7">
        <v>16</v>
      </c>
      <c r="B23" s="8" t="s">
        <v>64</v>
      </c>
      <c r="C23" s="10" t="s">
        <v>18</v>
      </c>
      <c r="D23" s="10">
        <v>25</v>
      </c>
      <c r="E23" s="20">
        <v>30</v>
      </c>
      <c r="F23" s="7">
        <f t="shared" si="1"/>
        <v>5</v>
      </c>
      <c r="G23" s="21">
        <f t="shared" si="2"/>
        <v>1.2</v>
      </c>
    </row>
    <row r="24" spans="1:7" x14ac:dyDescent="0.35">
      <c r="A24" s="7">
        <v>17</v>
      </c>
      <c r="B24" s="8" t="s">
        <v>65</v>
      </c>
      <c r="C24" s="11" t="s">
        <v>18</v>
      </c>
      <c r="D24" s="11">
        <v>25</v>
      </c>
      <c r="E24" s="20">
        <v>14</v>
      </c>
      <c r="F24" s="7">
        <f t="shared" si="1"/>
        <v>-11</v>
      </c>
      <c r="G24" s="21">
        <f t="shared" si="2"/>
        <v>0.56000000000000005</v>
      </c>
    </row>
    <row r="25" spans="1:7" x14ac:dyDescent="0.35">
      <c r="A25" s="7"/>
      <c r="B25" s="7" t="s">
        <v>69</v>
      </c>
      <c r="C25" s="7"/>
      <c r="D25" s="7">
        <v>450</v>
      </c>
      <c r="E25" s="7">
        <f>SUM(E8:E24)</f>
        <v>417</v>
      </c>
      <c r="F25" s="7">
        <f t="shared" si="1"/>
        <v>-33</v>
      </c>
      <c r="G25" s="21">
        <f t="shared" si="2"/>
        <v>0.92666666666666664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1BD3-EA79-4BEC-8D08-B9BF7D74F8FB}">
  <dimension ref="A1:M17"/>
  <sheetViews>
    <sheetView workbookViewId="0">
      <selection activeCell="C5" sqref="C5:G5"/>
    </sheetView>
  </sheetViews>
  <sheetFormatPr defaultRowHeight="14.5" x14ac:dyDescent="0.35"/>
  <cols>
    <col min="1" max="1" width="4.1796875" customWidth="1"/>
    <col min="2" max="2" width="27.1796875" customWidth="1"/>
    <col min="7" max="7" width="8.7265625" style="16"/>
    <col min="9" max="9" width="6.54296875" customWidth="1"/>
    <col min="10" max="10" width="18.453125" customWidth="1"/>
    <col min="13" max="13" width="8.7265625" style="16"/>
  </cols>
  <sheetData>
    <row r="1" spans="1:13" x14ac:dyDescent="0.35">
      <c r="B1" s="5" t="s">
        <v>7</v>
      </c>
    </row>
    <row r="2" spans="1:13" x14ac:dyDescent="0.35">
      <c r="B2" s="5" t="s">
        <v>48</v>
      </c>
    </row>
    <row r="5" spans="1:13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  <c r="I5" s="1" t="s">
        <v>0</v>
      </c>
      <c r="J5" s="1" t="s">
        <v>2</v>
      </c>
      <c r="K5" s="1" t="s">
        <v>4</v>
      </c>
      <c r="L5" s="1" t="s">
        <v>5</v>
      </c>
      <c r="M5" s="2" t="s">
        <v>6</v>
      </c>
    </row>
    <row r="6" spans="1:13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82" t="s">
        <v>6</v>
      </c>
      <c r="I6" s="3">
        <v>1</v>
      </c>
      <c r="J6" s="18" t="s">
        <v>70</v>
      </c>
      <c r="K6" s="3">
        <v>150</v>
      </c>
      <c r="L6" s="3">
        <v>150</v>
      </c>
      <c r="M6" s="17">
        <f>L6/K6*100%</f>
        <v>1</v>
      </c>
    </row>
    <row r="7" spans="1:13" x14ac:dyDescent="0.35">
      <c r="A7" s="78"/>
      <c r="B7" s="79"/>
      <c r="C7" s="81"/>
      <c r="D7" s="81"/>
      <c r="E7" s="81"/>
      <c r="F7" s="81"/>
      <c r="G7" s="83"/>
      <c r="I7" s="3">
        <v>2</v>
      </c>
      <c r="J7" s="18" t="s">
        <v>71</v>
      </c>
      <c r="K7" s="3">
        <v>75</v>
      </c>
      <c r="L7" s="3">
        <v>6</v>
      </c>
      <c r="M7" s="17">
        <f>L7/K7*100%</f>
        <v>0.08</v>
      </c>
    </row>
    <row r="8" spans="1:13" x14ac:dyDescent="0.35">
      <c r="A8" s="7">
        <v>1</v>
      </c>
      <c r="B8" s="8" t="s">
        <v>72</v>
      </c>
      <c r="C8" s="10" t="s">
        <v>16</v>
      </c>
      <c r="D8" s="10">
        <v>35</v>
      </c>
      <c r="E8" s="20">
        <v>6</v>
      </c>
      <c r="F8" s="7">
        <f>E8-D8</f>
        <v>-29</v>
      </c>
      <c r="G8" s="21">
        <f>E8/D8*100%</f>
        <v>0.17142857142857143</v>
      </c>
    </row>
    <row r="9" spans="1:13" x14ac:dyDescent="0.35">
      <c r="A9" s="7">
        <v>2</v>
      </c>
      <c r="B9" s="19" t="s">
        <v>73</v>
      </c>
      <c r="C9" s="20" t="s">
        <v>18</v>
      </c>
      <c r="D9" s="20">
        <v>25</v>
      </c>
      <c r="E9" s="20">
        <v>41</v>
      </c>
      <c r="F9" s="7">
        <f t="shared" ref="F9:F17" si="0">E9-D9</f>
        <v>16</v>
      </c>
      <c r="G9" s="21">
        <f t="shared" ref="G9:G17" si="1">E9/D9*100%</f>
        <v>1.64</v>
      </c>
    </row>
    <row r="10" spans="1:13" x14ac:dyDescent="0.35">
      <c r="A10" s="7">
        <v>3</v>
      </c>
      <c r="B10" s="8" t="s">
        <v>74</v>
      </c>
      <c r="C10" s="10" t="s">
        <v>18</v>
      </c>
      <c r="D10" s="20">
        <v>25</v>
      </c>
      <c r="E10" s="20">
        <v>31</v>
      </c>
      <c r="F10" s="7">
        <f t="shared" si="0"/>
        <v>6</v>
      </c>
      <c r="G10" s="21">
        <f t="shared" si="1"/>
        <v>1.24</v>
      </c>
    </row>
    <row r="11" spans="1:13" x14ac:dyDescent="0.35">
      <c r="A11" s="7">
        <v>4</v>
      </c>
      <c r="B11" s="8" t="s">
        <v>75</v>
      </c>
      <c r="C11" s="10" t="s">
        <v>18</v>
      </c>
      <c r="D11" s="10">
        <v>25</v>
      </c>
      <c r="E11" s="20">
        <v>8</v>
      </c>
      <c r="F11" s="7">
        <f t="shared" si="0"/>
        <v>-17</v>
      </c>
      <c r="G11" s="21">
        <f t="shared" si="1"/>
        <v>0.32</v>
      </c>
    </row>
    <row r="12" spans="1:13" x14ac:dyDescent="0.35">
      <c r="A12" s="7">
        <v>5</v>
      </c>
      <c r="B12" s="8" t="s">
        <v>76</v>
      </c>
      <c r="C12" s="11" t="s">
        <v>18</v>
      </c>
      <c r="D12" s="11">
        <v>25</v>
      </c>
      <c r="E12" s="20">
        <v>34</v>
      </c>
      <c r="F12" s="7">
        <f t="shared" si="0"/>
        <v>9</v>
      </c>
      <c r="G12" s="21">
        <f t="shared" si="1"/>
        <v>1.36</v>
      </c>
    </row>
    <row r="13" spans="1:13" x14ac:dyDescent="0.35">
      <c r="A13" s="7">
        <v>6</v>
      </c>
      <c r="B13" s="8" t="s">
        <v>77</v>
      </c>
      <c r="C13" s="10" t="s">
        <v>18</v>
      </c>
      <c r="D13" s="10">
        <v>25</v>
      </c>
      <c r="E13" s="20">
        <v>30</v>
      </c>
      <c r="F13" s="7">
        <f t="shared" si="0"/>
        <v>5</v>
      </c>
      <c r="G13" s="21">
        <f t="shared" si="1"/>
        <v>1.2</v>
      </c>
    </row>
    <row r="14" spans="1:13" x14ac:dyDescent="0.35">
      <c r="A14" s="7">
        <v>7</v>
      </c>
      <c r="B14" s="8" t="s">
        <v>78</v>
      </c>
      <c r="C14" s="10" t="s">
        <v>18</v>
      </c>
      <c r="D14" s="20">
        <v>25</v>
      </c>
      <c r="E14" s="20">
        <v>0</v>
      </c>
      <c r="F14" s="7">
        <f t="shared" si="0"/>
        <v>-25</v>
      </c>
      <c r="G14" s="21">
        <f t="shared" si="1"/>
        <v>0</v>
      </c>
    </row>
    <row r="15" spans="1:13" x14ac:dyDescent="0.35">
      <c r="A15" s="7">
        <v>8</v>
      </c>
      <c r="B15" s="8" t="s">
        <v>79</v>
      </c>
      <c r="C15" s="11" t="s">
        <v>18</v>
      </c>
      <c r="D15" s="11">
        <v>25</v>
      </c>
      <c r="E15" s="20">
        <v>5</v>
      </c>
      <c r="F15" s="7">
        <f t="shared" si="0"/>
        <v>-20</v>
      </c>
      <c r="G15" s="21">
        <f t="shared" si="1"/>
        <v>0.2</v>
      </c>
    </row>
    <row r="16" spans="1:13" x14ac:dyDescent="0.35">
      <c r="A16" s="7">
        <v>9</v>
      </c>
      <c r="B16" s="8" t="s">
        <v>80</v>
      </c>
      <c r="C16" s="11" t="s">
        <v>18</v>
      </c>
      <c r="D16" s="11">
        <v>25</v>
      </c>
      <c r="E16" s="20">
        <v>1</v>
      </c>
      <c r="F16" s="7">
        <f t="shared" si="0"/>
        <v>-24</v>
      </c>
      <c r="G16" s="21">
        <f t="shared" si="1"/>
        <v>0.04</v>
      </c>
    </row>
    <row r="17" spans="1:7" x14ac:dyDescent="0.35">
      <c r="A17" s="7"/>
      <c r="B17" s="7" t="s">
        <v>47</v>
      </c>
      <c r="C17" s="7"/>
      <c r="D17" s="7">
        <v>225</v>
      </c>
      <c r="E17" s="7">
        <f>SUM(E8:E16)</f>
        <v>156</v>
      </c>
      <c r="F17" s="7">
        <f t="shared" si="0"/>
        <v>-69</v>
      </c>
      <c r="G17" s="21">
        <f t="shared" si="1"/>
        <v>0.69333333333333336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45A2-31EF-4416-90B7-D1E50F47CCA3}">
  <dimension ref="A1:G12"/>
  <sheetViews>
    <sheetView workbookViewId="0">
      <selection activeCell="C4" sqref="C4:G4"/>
    </sheetView>
  </sheetViews>
  <sheetFormatPr defaultRowHeight="14.5" x14ac:dyDescent="0.35"/>
  <cols>
    <col min="1" max="1" width="4.08984375" customWidth="1"/>
    <col min="2" max="2" width="30.6328125" customWidth="1"/>
    <col min="7" max="7" width="8.7265625" style="16"/>
  </cols>
  <sheetData>
    <row r="1" spans="1:7" x14ac:dyDescent="0.35">
      <c r="B1" s="5" t="s">
        <v>7</v>
      </c>
    </row>
    <row r="2" spans="1:7" x14ac:dyDescent="0.35">
      <c r="B2" s="5" t="s">
        <v>48</v>
      </c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</row>
    <row r="6" spans="1:7" x14ac:dyDescent="0.35">
      <c r="A6" s="78"/>
      <c r="B6" s="79"/>
      <c r="C6" s="81"/>
      <c r="D6" s="81"/>
      <c r="E6" s="81"/>
      <c r="F6" s="81"/>
      <c r="G6" s="83"/>
    </row>
    <row r="7" spans="1:7" x14ac:dyDescent="0.35">
      <c r="A7" s="7">
        <v>1</v>
      </c>
      <c r="B7" s="19" t="s">
        <v>81</v>
      </c>
      <c r="C7" s="20" t="s">
        <v>16</v>
      </c>
      <c r="D7" s="20">
        <v>35</v>
      </c>
      <c r="E7" s="20">
        <v>4</v>
      </c>
      <c r="F7" s="7">
        <f>E7-D7</f>
        <v>-31</v>
      </c>
      <c r="G7" s="21">
        <f>E7/D7*100%</f>
        <v>0.11428571428571428</v>
      </c>
    </row>
    <row r="8" spans="1:7" x14ac:dyDescent="0.35">
      <c r="A8" s="7">
        <v>2</v>
      </c>
      <c r="B8" s="8" t="s">
        <v>82</v>
      </c>
      <c r="C8" s="10" t="s">
        <v>18</v>
      </c>
      <c r="D8" s="20">
        <v>25</v>
      </c>
      <c r="E8" s="20">
        <v>5</v>
      </c>
      <c r="F8" s="7">
        <f t="shared" ref="F8:F11" si="0">E8-D8</f>
        <v>-20</v>
      </c>
      <c r="G8" s="21">
        <f t="shared" ref="G8:G11" si="1">E8/D8*100%</f>
        <v>0.2</v>
      </c>
    </row>
    <row r="9" spans="1:7" x14ac:dyDescent="0.35">
      <c r="A9" s="7">
        <v>3</v>
      </c>
      <c r="B9" s="8" t="s">
        <v>83</v>
      </c>
      <c r="C9" s="11" t="s">
        <v>18</v>
      </c>
      <c r="D9" s="11">
        <v>25</v>
      </c>
      <c r="E9" s="20">
        <v>1</v>
      </c>
      <c r="F9" s="7">
        <f t="shared" si="0"/>
        <v>-24</v>
      </c>
      <c r="G9" s="21">
        <f t="shared" si="1"/>
        <v>0.04</v>
      </c>
    </row>
    <row r="10" spans="1:7" x14ac:dyDescent="0.35">
      <c r="A10" s="7">
        <v>4</v>
      </c>
      <c r="B10" s="8" t="s">
        <v>84</v>
      </c>
      <c r="C10" s="11" t="s">
        <v>18</v>
      </c>
      <c r="D10" s="11">
        <v>25</v>
      </c>
      <c r="E10" s="20">
        <v>12</v>
      </c>
      <c r="F10" s="7">
        <f t="shared" si="0"/>
        <v>-13</v>
      </c>
      <c r="G10" s="21">
        <f t="shared" si="1"/>
        <v>0.48</v>
      </c>
    </row>
    <row r="11" spans="1:7" x14ac:dyDescent="0.35">
      <c r="A11" s="7">
        <v>5</v>
      </c>
      <c r="B11" s="8" t="s">
        <v>85</v>
      </c>
      <c r="C11" s="11" t="s">
        <v>18</v>
      </c>
      <c r="D11" s="11">
        <v>25</v>
      </c>
      <c r="E11" s="20">
        <v>1</v>
      </c>
      <c r="F11" s="7">
        <f t="shared" si="0"/>
        <v>-24</v>
      </c>
      <c r="G11" s="21">
        <f t="shared" si="1"/>
        <v>0.04</v>
      </c>
    </row>
    <row r="12" spans="1:7" x14ac:dyDescent="0.35">
      <c r="A12" s="7"/>
      <c r="B12" s="7" t="s">
        <v>47</v>
      </c>
      <c r="C12" s="7"/>
      <c r="D12" s="7">
        <v>150</v>
      </c>
      <c r="E12" s="7">
        <f>SUM(E7:E11)</f>
        <v>23</v>
      </c>
      <c r="F12" s="7"/>
      <c r="G12" s="21">
        <f>E12/D12*100%</f>
        <v>0.15333333333333332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5A70-ED7B-41D2-BFFC-ABA6C3D2B6BE}">
  <dimension ref="A1:M26"/>
  <sheetViews>
    <sheetView workbookViewId="0">
      <selection activeCell="C4" sqref="C4:G4"/>
    </sheetView>
  </sheetViews>
  <sheetFormatPr defaultRowHeight="14.5" x14ac:dyDescent="0.35"/>
  <cols>
    <col min="1" max="1" width="5.26953125" customWidth="1"/>
    <col min="2" max="2" width="28.7265625" customWidth="1"/>
    <col min="7" max="7" width="8.7265625" style="16"/>
    <col min="9" max="9" width="5.6328125" customWidth="1"/>
    <col min="10" max="10" width="17.453125" customWidth="1"/>
  </cols>
  <sheetData>
    <row r="1" spans="1:13" x14ac:dyDescent="0.35">
      <c r="B1" s="5" t="s">
        <v>7</v>
      </c>
    </row>
    <row r="2" spans="1:13" x14ac:dyDescent="0.35">
      <c r="B2" s="5" t="s">
        <v>48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27" t="s">
        <v>2</v>
      </c>
      <c r="K4" s="27" t="s">
        <v>4</v>
      </c>
      <c r="L4" s="27" t="s">
        <v>5</v>
      </c>
      <c r="M4" s="28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18">
        <v>1</v>
      </c>
      <c r="J5" s="18" t="s">
        <v>105</v>
      </c>
      <c r="K5" s="18">
        <v>150</v>
      </c>
      <c r="L5" s="18">
        <v>118</v>
      </c>
      <c r="M5" s="29">
        <f>L5/K5*100%</f>
        <v>0.78666666666666663</v>
      </c>
    </row>
    <row r="6" spans="1:13" x14ac:dyDescent="0.35">
      <c r="A6" s="78"/>
      <c r="B6" s="79"/>
      <c r="C6" s="81"/>
      <c r="D6" s="81"/>
      <c r="E6" s="81"/>
      <c r="F6" s="81"/>
      <c r="G6" s="83"/>
      <c r="I6" s="18">
        <v>2</v>
      </c>
      <c r="J6" s="18" t="s">
        <v>106</v>
      </c>
      <c r="K6" s="18">
        <v>150</v>
      </c>
      <c r="L6" s="18">
        <v>94</v>
      </c>
      <c r="M6" s="29">
        <f t="shared" ref="M6:M7" si="0">L6/K6*100%</f>
        <v>0.62666666666666671</v>
      </c>
    </row>
    <row r="7" spans="1:13" x14ac:dyDescent="0.35">
      <c r="A7" s="7">
        <v>1</v>
      </c>
      <c r="B7" s="22" t="s">
        <v>86</v>
      </c>
      <c r="C7" s="20" t="s">
        <v>16</v>
      </c>
      <c r="D7" s="20">
        <v>35</v>
      </c>
      <c r="E7" s="20">
        <v>0</v>
      </c>
      <c r="F7" s="7">
        <f>E7-D7</f>
        <v>-35</v>
      </c>
      <c r="G7" s="21">
        <f>E7/D7*100%</f>
        <v>0</v>
      </c>
      <c r="I7" s="18">
        <v>3</v>
      </c>
      <c r="J7" s="18" t="s">
        <v>107</v>
      </c>
      <c r="K7" s="18">
        <v>175</v>
      </c>
      <c r="L7" s="18">
        <v>8</v>
      </c>
      <c r="M7" s="29">
        <f t="shared" si="0"/>
        <v>4.5714285714285714E-2</v>
      </c>
    </row>
    <row r="8" spans="1:13" x14ac:dyDescent="0.35">
      <c r="A8" s="7">
        <v>2</v>
      </c>
      <c r="B8" s="8" t="s">
        <v>87</v>
      </c>
      <c r="C8" s="10" t="s">
        <v>18</v>
      </c>
      <c r="D8" s="20">
        <v>25</v>
      </c>
      <c r="E8" s="20">
        <v>37</v>
      </c>
      <c r="F8" s="7">
        <f t="shared" ref="F8:F26" si="1">E8-D8</f>
        <v>12</v>
      </c>
      <c r="G8" s="21">
        <f t="shared" ref="G8:G26" si="2">E8/D8*100%</f>
        <v>1.48</v>
      </c>
    </row>
    <row r="9" spans="1:13" x14ac:dyDescent="0.35">
      <c r="A9" s="7">
        <v>3</v>
      </c>
      <c r="B9" s="8" t="s">
        <v>88</v>
      </c>
      <c r="C9" s="10" t="s">
        <v>18</v>
      </c>
      <c r="D9" s="11">
        <v>25</v>
      </c>
      <c r="E9" s="20">
        <v>31</v>
      </c>
      <c r="F9" s="7">
        <f t="shared" si="1"/>
        <v>6</v>
      </c>
      <c r="G9" s="21">
        <f t="shared" si="2"/>
        <v>1.24</v>
      </c>
    </row>
    <row r="10" spans="1:13" x14ac:dyDescent="0.35">
      <c r="A10" s="7">
        <v>4</v>
      </c>
      <c r="B10" s="23" t="s">
        <v>89</v>
      </c>
      <c r="C10" s="10" t="s">
        <v>18</v>
      </c>
      <c r="D10" s="10">
        <v>25</v>
      </c>
      <c r="E10" s="20">
        <v>20</v>
      </c>
      <c r="F10" s="7">
        <f t="shared" si="1"/>
        <v>-5</v>
      </c>
      <c r="G10" s="21">
        <f t="shared" si="2"/>
        <v>0.8</v>
      </c>
    </row>
    <row r="11" spans="1:13" x14ac:dyDescent="0.35">
      <c r="A11" s="7">
        <v>5</v>
      </c>
      <c r="B11" s="23" t="s">
        <v>90</v>
      </c>
      <c r="C11" s="10" t="s">
        <v>18</v>
      </c>
      <c r="D11" s="11">
        <v>25</v>
      </c>
      <c r="E11" s="20">
        <v>16</v>
      </c>
      <c r="F11" s="7">
        <f t="shared" si="1"/>
        <v>-9</v>
      </c>
      <c r="G11" s="21">
        <f t="shared" si="2"/>
        <v>0.64</v>
      </c>
    </row>
    <row r="12" spans="1:13" x14ac:dyDescent="0.35">
      <c r="A12" s="7">
        <v>6</v>
      </c>
      <c r="B12" s="8" t="s">
        <v>91</v>
      </c>
      <c r="C12" s="10" t="s">
        <v>18</v>
      </c>
      <c r="D12" s="24">
        <v>25</v>
      </c>
      <c r="E12" s="25">
        <v>14</v>
      </c>
      <c r="F12" s="7">
        <f t="shared" si="1"/>
        <v>-11</v>
      </c>
      <c r="G12" s="21">
        <f t="shared" si="2"/>
        <v>0.56000000000000005</v>
      </c>
    </row>
    <row r="13" spans="1:13" x14ac:dyDescent="0.35">
      <c r="A13" s="7">
        <v>7</v>
      </c>
      <c r="B13" s="8" t="s">
        <v>92</v>
      </c>
      <c r="C13" s="10" t="s">
        <v>16</v>
      </c>
      <c r="D13" s="10">
        <v>35</v>
      </c>
      <c r="E13" s="20">
        <v>3</v>
      </c>
      <c r="F13" s="7">
        <f t="shared" si="1"/>
        <v>-32</v>
      </c>
      <c r="G13" s="21">
        <f t="shared" si="2"/>
        <v>8.5714285714285715E-2</v>
      </c>
    </row>
    <row r="14" spans="1:13" x14ac:dyDescent="0.35">
      <c r="A14" s="7">
        <v>8</v>
      </c>
      <c r="B14" s="8" t="s">
        <v>93</v>
      </c>
      <c r="C14" s="10" t="s">
        <v>18</v>
      </c>
      <c r="D14" s="10">
        <v>25</v>
      </c>
      <c r="E14" s="20">
        <v>28</v>
      </c>
      <c r="F14" s="7">
        <f t="shared" si="1"/>
        <v>3</v>
      </c>
      <c r="G14" s="21">
        <f t="shared" si="2"/>
        <v>1.1200000000000001</v>
      </c>
    </row>
    <row r="15" spans="1:13" x14ac:dyDescent="0.35">
      <c r="A15" s="7">
        <v>9</v>
      </c>
      <c r="B15" s="8" t="s">
        <v>94</v>
      </c>
      <c r="C15" s="10" t="s">
        <v>18</v>
      </c>
      <c r="D15" s="11">
        <v>25</v>
      </c>
      <c r="E15" s="20">
        <v>29</v>
      </c>
      <c r="F15" s="7">
        <f t="shared" si="1"/>
        <v>4</v>
      </c>
      <c r="G15" s="21">
        <f t="shared" si="2"/>
        <v>1.1599999999999999</v>
      </c>
    </row>
    <row r="16" spans="1:13" x14ac:dyDescent="0.35">
      <c r="A16" s="7">
        <v>10</v>
      </c>
      <c r="B16" s="8" t="s">
        <v>95</v>
      </c>
      <c r="C16" s="10" t="s">
        <v>18</v>
      </c>
      <c r="D16" s="10">
        <v>25</v>
      </c>
      <c r="E16" s="10">
        <v>12</v>
      </c>
      <c r="F16" s="7">
        <f t="shared" si="1"/>
        <v>-13</v>
      </c>
      <c r="G16" s="21">
        <f t="shared" si="2"/>
        <v>0.48</v>
      </c>
    </row>
    <row r="17" spans="1:7" x14ac:dyDescent="0.35">
      <c r="A17" s="7">
        <v>11</v>
      </c>
      <c r="B17" s="23" t="s">
        <v>96</v>
      </c>
      <c r="C17" s="10" t="s">
        <v>18</v>
      </c>
      <c r="D17" s="24">
        <v>25</v>
      </c>
      <c r="E17" s="25">
        <v>14</v>
      </c>
      <c r="F17" s="7">
        <f t="shared" si="1"/>
        <v>-11</v>
      </c>
      <c r="G17" s="21">
        <f t="shared" si="2"/>
        <v>0.56000000000000005</v>
      </c>
    </row>
    <row r="18" spans="1:7" x14ac:dyDescent="0.35">
      <c r="A18" s="7">
        <v>12</v>
      </c>
      <c r="B18" s="8" t="s">
        <v>97</v>
      </c>
      <c r="C18" s="10" t="s">
        <v>18</v>
      </c>
      <c r="D18" s="10">
        <v>25</v>
      </c>
      <c r="E18" s="10">
        <v>8</v>
      </c>
      <c r="F18" s="7">
        <f t="shared" si="1"/>
        <v>-17</v>
      </c>
      <c r="G18" s="21">
        <f t="shared" si="2"/>
        <v>0.32</v>
      </c>
    </row>
    <row r="19" spans="1:7" x14ac:dyDescent="0.35">
      <c r="A19" s="7">
        <v>13</v>
      </c>
      <c r="B19" s="8" t="s">
        <v>98</v>
      </c>
      <c r="C19" s="10" t="s">
        <v>18</v>
      </c>
      <c r="D19" s="24">
        <v>25</v>
      </c>
      <c r="E19" s="25">
        <v>2</v>
      </c>
      <c r="F19" s="7">
        <f t="shared" si="1"/>
        <v>-23</v>
      </c>
      <c r="G19" s="21">
        <f t="shared" si="2"/>
        <v>0.08</v>
      </c>
    </row>
    <row r="20" spans="1:7" x14ac:dyDescent="0.35">
      <c r="A20" s="7">
        <v>14</v>
      </c>
      <c r="B20" s="8" t="s">
        <v>99</v>
      </c>
      <c r="C20" s="10" t="s">
        <v>18</v>
      </c>
      <c r="D20" s="10">
        <v>25</v>
      </c>
      <c r="E20" s="10">
        <v>2</v>
      </c>
      <c r="F20" s="7">
        <f t="shared" si="1"/>
        <v>-23</v>
      </c>
      <c r="G20" s="21">
        <f t="shared" si="2"/>
        <v>0.08</v>
      </c>
    </row>
    <row r="21" spans="1:7" x14ac:dyDescent="0.35">
      <c r="A21" s="7">
        <v>15</v>
      </c>
      <c r="B21" s="8" t="s">
        <v>100</v>
      </c>
      <c r="C21" s="10" t="s">
        <v>18</v>
      </c>
      <c r="D21" s="10">
        <v>25</v>
      </c>
      <c r="E21" s="10">
        <v>1</v>
      </c>
      <c r="F21" s="7">
        <f t="shared" si="1"/>
        <v>-24</v>
      </c>
      <c r="G21" s="21">
        <f t="shared" si="2"/>
        <v>0.04</v>
      </c>
    </row>
    <row r="22" spans="1:7" x14ac:dyDescent="0.35">
      <c r="A22" s="7">
        <v>16</v>
      </c>
      <c r="B22" s="26" t="s">
        <v>101</v>
      </c>
      <c r="C22" s="10" t="s">
        <v>18</v>
      </c>
      <c r="D22" s="10">
        <v>25</v>
      </c>
      <c r="E22" s="10">
        <v>0</v>
      </c>
      <c r="F22" s="7">
        <f t="shared" si="1"/>
        <v>-25</v>
      </c>
      <c r="G22" s="21">
        <f t="shared" si="2"/>
        <v>0</v>
      </c>
    </row>
    <row r="23" spans="1:7" x14ac:dyDescent="0.35">
      <c r="A23" s="7">
        <v>17</v>
      </c>
      <c r="B23" s="12" t="s">
        <v>102</v>
      </c>
      <c r="C23" s="10" t="s">
        <v>18</v>
      </c>
      <c r="D23" s="10">
        <v>25</v>
      </c>
      <c r="E23" s="10">
        <v>1</v>
      </c>
      <c r="F23" s="7">
        <f t="shared" si="1"/>
        <v>-24</v>
      </c>
      <c r="G23" s="21">
        <f t="shared" si="2"/>
        <v>0.04</v>
      </c>
    </row>
    <row r="24" spans="1:7" x14ac:dyDescent="0.35">
      <c r="A24" s="7">
        <v>18</v>
      </c>
      <c r="B24" s="12" t="s">
        <v>103</v>
      </c>
      <c r="C24" s="10" t="s">
        <v>18</v>
      </c>
      <c r="D24" s="10">
        <v>25</v>
      </c>
      <c r="E24" s="10">
        <v>1</v>
      </c>
      <c r="F24" s="7">
        <f t="shared" si="1"/>
        <v>-24</v>
      </c>
      <c r="G24" s="21">
        <f t="shared" si="2"/>
        <v>0.04</v>
      </c>
    </row>
    <row r="25" spans="1:7" x14ac:dyDescent="0.35">
      <c r="A25" s="7">
        <v>19</v>
      </c>
      <c r="B25" s="12" t="s">
        <v>104</v>
      </c>
      <c r="C25" s="10" t="s">
        <v>18</v>
      </c>
      <c r="D25" s="10">
        <v>25</v>
      </c>
      <c r="E25" s="10">
        <v>1</v>
      </c>
      <c r="F25" s="7">
        <f t="shared" si="1"/>
        <v>-24</v>
      </c>
      <c r="G25" s="21">
        <f t="shared" si="2"/>
        <v>0.04</v>
      </c>
    </row>
    <row r="26" spans="1:7" x14ac:dyDescent="0.35">
      <c r="A26" s="7"/>
      <c r="B26" s="7" t="s">
        <v>47</v>
      </c>
      <c r="C26" s="7"/>
      <c r="D26" s="7">
        <v>475</v>
      </c>
      <c r="E26" s="7">
        <f>SUM(E7:E25)</f>
        <v>220</v>
      </c>
      <c r="F26" s="7">
        <f t="shared" si="1"/>
        <v>-255</v>
      </c>
      <c r="G26" s="21">
        <f t="shared" si="2"/>
        <v>0.4631578947368421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9D28-B7C1-46E3-9ABC-499FC4727623}">
  <dimension ref="A1:M21"/>
  <sheetViews>
    <sheetView workbookViewId="0">
      <selection activeCell="C4" sqref="C4:G4"/>
    </sheetView>
  </sheetViews>
  <sheetFormatPr defaultRowHeight="14.5" x14ac:dyDescent="0.35"/>
  <cols>
    <col min="1" max="1" width="4.90625" customWidth="1"/>
    <col min="2" max="2" width="35.6328125" customWidth="1"/>
    <col min="7" max="7" width="8.7265625" style="16"/>
    <col min="9" max="9" width="4.08984375" customWidth="1"/>
    <col min="10" max="10" width="18.453125" customWidth="1"/>
  </cols>
  <sheetData>
    <row r="1" spans="1:13" x14ac:dyDescent="0.35">
      <c r="B1" s="5" t="s">
        <v>7</v>
      </c>
    </row>
    <row r="2" spans="1:13" x14ac:dyDescent="0.35">
      <c r="B2" s="5" t="s">
        <v>231</v>
      </c>
    </row>
    <row r="3" spans="1:13" x14ac:dyDescent="0.35">
      <c r="B3" s="5" t="s">
        <v>232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18">
        <v>1</v>
      </c>
      <c r="J5" s="18" t="s">
        <v>245</v>
      </c>
      <c r="K5" s="18">
        <v>190</v>
      </c>
      <c r="L5" s="18">
        <v>194</v>
      </c>
      <c r="M5" s="29">
        <f>L5/K5*100%</f>
        <v>1.0210526315789474</v>
      </c>
    </row>
    <row r="6" spans="1:13" x14ac:dyDescent="0.35">
      <c r="A6" s="84"/>
      <c r="B6" s="85"/>
      <c r="C6" s="88"/>
      <c r="D6" s="88"/>
      <c r="E6" s="88"/>
      <c r="F6" s="88"/>
      <c r="G6" s="89"/>
      <c r="I6" s="18">
        <v>2</v>
      </c>
      <c r="J6" s="18" t="s">
        <v>246</v>
      </c>
      <c r="K6" s="18">
        <v>150</v>
      </c>
      <c r="L6" s="18">
        <v>169</v>
      </c>
      <c r="M6" s="29">
        <f>L6/K6*100%</f>
        <v>1.1266666666666667</v>
      </c>
    </row>
    <row r="7" spans="1:13" x14ac:dyDescent="0.35">
      <c r="A7" s="13">
        <v>1</v>
      </c>
      <c r="B7" s="74" t="s">
        <v>247</v>
      </c>
      <c r="C7" s="73" t="s">
        <v>16</v>
      </c>
      <c r="D7" s="73">
        <v>35</v>
      </c>
      <c r="E7" s="73">
        <v>0</v>
      </c>
      <c r="F7" s="13">
        <f>E7-D7</f>
        <v>-35</v>
      </c>
      <c r="G7" s="15">
        <f>E7/D7*100%</f>
        <v>0</v>
      </c>
    </row>
    <row r="8" spans="1:13" x14ac:dyDescent="0.35">
      <c r="A8" s="13">
        <v>2</v>
      </c>
      <c r="B8" s="72" t="s">
        <v>233</v>
      </c>
      <c r="C8" s="73" t="s">
        <v>18</v>
      </c>
      <c r="D8" s="73">
        <v>25</v>
      </c>
      <c r="E8" s="73">
        <v>34</v>
      </c>
      <c r="F8" s="13">
        <f t="shared" ref="F8:F21" si="0">E8-D8</f>
        <v>9</v>
      </c>
      <c r="G8" s="15">
        <f t="shared" ref="G8:G21" si="1">E8/D8*100%</f>
        <v>1.36</v>
      </c>
    </row>
    <row r="9" spans="1:13" x14ac:dyDescent="0.35">
      <c r="A9" s="13">
        <v>3</v>
      </c>
      <c r="B9" s="72" t="s">
        <v>234</v>
      </c>
      <c r="C9" s="73" t="s">
        <v>18</v>
      </c>
      <c r="D9" s="73">
        <v>25</v>
      </c>
      <c r="E9" s="73">
        <v>21</v>
      </c>
      <c r="F9" s="13">
        <f t="shared" si="0"/>
        <v>-4</v>
      </c>
      <c r="G9" s="15">
        <f t="shared" si="1"/>
        <v>0.84</v>
      </c>
    </row>
    <row r="10" spans="1:13" x14ac:dyDescent="0.35">
      <c r="A10" s="13">
        <v>4</v>
      </c>
      <c r="B10" s="72" t="s">
        <v>235</v>
      </c>
      <c r="C10" s="73" t="s">
        <v>18</v>
      </c>
      <c r="D10" s="73">
        <v>25</v>
      </c>
      <c r="E10" s="73">
        <v>25</v>
      </c>
      <c r="F10" s="13">
        <f t="shared" si="0"/>
        <v>0</v>
      </c>
      <c r="G10" s="15">
        <f t="shared" si="1"/>
        <v>1</v>
      </c>
    </row>
    <row r="11" spans="1:13" x14ac:dyDescent="0.35">
      <c r="A11" s="13">
        <v>5</v>
      </c>
      <c r="B11" s="72" t="s">
        <v>236</v>
      </c>
      <c r="C11" s="73" t="s">
        <v>18</v>
      </c>
      <c r="D11" s="73">
        <v>25</v>
      </c>
      <c r="E11" s="73">
        <v>20</v>
      </c>
      <c r="F11" s="13">
        <f t="shared" si="0"/>
        <v>-5</v>
      </c>
      <c r="G11" s="15">
        <f t="shared" si="1"/>
        <v>0.8</v>
      </c>
    </row>
    <row r="12" spans="1:13" x14ac:dyDescent="0.35">
      <c r="A12" s="13">
        <v>6</v>
      </c>
      <c r="B12" s="75" t="s">
        <v>237</v>
      </c>
      <c r="C12" s="73" t="s">
        <v>18</v>
      </c>
      <c r="D12" s="73">
        <v>25</v>
      </c>
      <c r="E12" s="73">
        <v>59</v>
      </c>
      <c r="F12" s="13">
        <f t="shared" si="0"/>
        <v>34</v>
      </c>
      <c r="G12" s="15">
        <f t="shared" si="1"/>
        <v>2.36</v>
      </c>
    </row>
    <row r="13" spans="1:13" x14ac:dyDescent="0.35">
      <c r="A13" s="13">
        <v>7</v>
      </c>
      <c r="B13" s="75" t="s">
        <v>238</v>
      </c>
      <c r="C13" s="73" t="s">
        <v>18</v>
      </c>
      <c r="D13" s="73">
        <v>25</v>
      </c>
      <c r="E13" s="73">
        <v>25</v>
      </c>
      <c r="F13" s="13">
        <f t="shared" si="0"/>
        <v>0</v>
      </c>
      <c r="G13" s="15">
        <f t="shared" si="1"/>
        <v>1</v>
      </c>
    </row>
    <row r="14" spans="1:13" x14ac:dyDescent="0.35">
      <c r="A14" s="13">
        <v>8</v>
      </c>
      <c r="B14" s="75" t="s">
        <v>239</v>
      </c>
      <c r="C14" s="73" t="s">
        <v>18</v>
      </c>
      <c r="D14" s="73">
        <v>25</v>
      </c>
      <c r="E14" s="73">
        <v>10</v>
      </c>
      <c r="F14" s="13">
        <f t="shared" si="0"/>
        <v>-15</v>
      </c>
      <c r="G14" s="15">
        <f t="shared" si="1"/>
        <v>0.4</v>
      </c>
    </row>
    <row r="15" spans="1:13" x14ac:dyDescent="0.35">
      <c r="A15" s="13">
        <v>9</v>
      </c>
      <c r="B15" s="74" t="s">
        <v>248</v>
      </c>
      <c r="C15" s="73" t="s">
        <v>16</v>
      </c>
      <c r="D15" s="73">
        <v>35</v>
      </c>
      <c r="E15" s="73">
        <v>0</v>
      </c>
      <c r="F15" s="13">
        <f t="shared" si="0"/>
        <v>-35</v>
      </c>
      <c r="G15" s="15">
        <f t="shared" si="1"/>
        <v>0</v>
      </c>
    </row>
    <row r="16" spans="1:13" x14ac:dyDescent="0.35">
      <c r="A16" s="13">
        <v>10</v>
      </c>
      <c r="B16" s="72" t="s">
        <v>240</v>
      </c>
      <c r="C16" s="73" t="s">
        <v>18</v>
      </c>
      <c r="D16" s="73">
        <v>25</v>
      </c>
      <c r="E16" s="73">
        <v>30</v>
      </c>
      <c r="F16" s="13">
        <f t="shared" si="0"/>
        <v>5</v>
      </c>
      <c r="G16" s="15">
        <f t="shared" si="1"/>
        <v>1.2</v>
      </c>
    </row>
    <row r="17" spans="1:7" x14ac:dyDescent="0.35">
      <c r="A17" s="13">
        <v>11</v>
      </c>
      <c r="B17" s="72" t="s">
        <v>241</v>
      </c>
      <c r="C17" s="73" t="s">
        <v>18</v>
      </c>
      <c r="D17" s="73">
        <v>25</v>
      </c>
      <c r="E17" s="73">
        <v>34</v>
      </c>
      <c r="F17" s="13">
        <f t="shared" si="0"/>
        <v>9</v>
      </c>
      <c r="G17" s="15">
        <f t="shared" si="1"/>
        <v>1.36</v>
      </c>
    </row>
    <row r="18" spans="1:7" x14ac:dyDescent="0.35">
      <c r="A18" s="13">
        <v>12</v>
      </c>
      <c r="B18" s="72" t="s">
        <v>242</v>
      </c>
      <c r="C18" s="73" t="s">
        <v>18</v>
      </c>
      <c r="D18" s="73">
        <v>25</v>
      </c>
      <c r="E18" s="73">
        <v>35</v>
      </c>
      <c r="F18" s="13">
        <f t="shared" si="0"/>
        <v>10</v>
      </c>
      <c r="G18" s="15">
        <f t="shared" si="1"/>
        <v>1.4</v>
      </c>
    </row>
    <row r="19" spans="1:7" x14ac:dyDescent="0.35">
      <c r="A19" s="13">
        <v>13</v>
      </c>
      <c r="B19" s="75" t="s">
        <v>243</v>
      </c>
      <c r="C19" s="73" t="s">
        <v>18</v>
      </c>
      <c r="D19" s="73">
        <v>25</v>
      </c>
      <c r="E19" s="73">
        <v>30</v>
      </c>
      <c r="F19" s="13">
        <f t="shared" si="0"/>
        <v>5</v>
      </c>
      <c r="G19" s="15">
        <f t="shared" si="1"/>
        <v>1.2</v>
      </c>
    </row>
    <row r="20" spans="1:7" x14ac:dyDescent="0.35">
      <c r="A20" s="13">
        <v>14</v>
      </c>
      <c r="B20" s="72" t="s">
        <v>244</v>
      </c>
      <c r="C20" s="73" t="s">
        <v>18</v>
      </c>
      <c r="D20" s="73">
        <v>25</v>
      </c>
      <c r="E20" s="73">
        <v>40</v>
      </c>
      <c r="F20" s="13">
        <f t="shared" si="0"/>
        <v>15</v>
      </c>
      <c r="G20" s="15">
        <f t="shared" si="1"/>
        <v>1.6</v>
      </c>
    </row>
    <row r="21" spans="1:7" x14ac:dyDescent="0.35">
      <c r="A21" s="13"/>
      <c r="B21" s="13" t="s">
        <v>47</v>
      </c>
      <c r="C21" s="13"/>
      <c r="D21" s="13">
        <v>340</v>
      </c>
      <c r="E21" s="13">
        <f>SUM(E7:E20)</f>
        <v>363</v>
      </c>
      <c r="F21" s="13">
        <f t="shared" si="0"/>
        <v>23</v>
      </c>
      <c r="G21" s="15">
        <f t="shared" si="1"/>
        <v>1.0676470588235294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E3B-A7B0-4E1A-AFCE-0E6D6CEA145C}">
  <dimension ref="A1:M27"/>
  <sheetViews>
    <sheetView workbookViewId="0">
      <selection activeCell="C4" sqref="C4:G4"/>
    </sheetView>
  </sheetViews>
  <sheetFormatPr defaultRowHeight="14.5" x14ac:dyDescent="0.35"/>
  <cols>
    <col min="1" max="1" width="5" customWidth="1"/>
    <col min="2" max="2" width="30.1796875" customWidth="1"/>
    <col min="7" max="7" width="8.7265625" style="16"/>
    <col min="9" max="9" width="5.36328125" customWidth="1"/>
    <col min="10" max="10" width="22.54296875" customWidth="1"/>
  </cols>
  <sheetData>
    <row r="1" spans="1:13" x14ac:dyDescent="0.35">
      <c r="B1" s="5" t="s">
        <v>7</v>
      </c>
    </row>
    <row r="2" spans="1:13" x14ac:dyDescent="0.35">
      <c r="B2" s="5" t="s">
        <v>231</v>
      </c>
    </row>
    <row r="3" spans="1:13" x14ac:dyDescent="0.35">
      <c r="B3" s="5" t="s">
        <v>232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18">
        <v>1</v>
      </c>
      <c r="J5" s="18" t="s">
        <v>266</v>
      </c>
      <c r="K5" s="18">
        <v>150</v>
      </c>
      <c r="L5" s="18">
        <v>136</v>
      </c>
      <c r="M5" s="29">
        <f>L5/K5*100%</f>
        <v>0.90666666666666662</v>
      </c>
    </row>
    <row r="6" spans="1:13" x14ac:dyDescent="0.35">
      <c r="A6" s="84"/>
      <c r="B6" s="85"/>
      <c r="C6" s="88"/>
      <c r="D6" s="88"/>
      <c r="E6" s="88"/>
      <c r="F6" s="88"/>
      <c r="G6" s="89"/>
      <c r="I6" s="18">
        <v>2</v>
      </c>
      <c r="J6" s="18" t="s">
        <v>267</v>
      </c>
      <c r="K6" s="18">
        <v>150</v>
      </c>
      <c r="L6" s="18">
        <v>80</v>
      </c>
      <c r="M6" s="29">
        <f t="shared" ref="M6:M7" si="0">L6/K6*100%</f>
        <v>0.53333333333333333</v>
      </c>
    </row>
    <row r="7" spans="1:13" x14ac:dyDescent="0.35">
      <c r="A7" s="13">
        <v>1</v>
      </c>
      <c r="B7" s="74" t="s">
        <v>269</v>
      </c>
      <c r="C7" s="73" t="s">
        <v>16</v>
      </c>
      <c r="D7" s="73">
        <v>35</v>
      </c>
      <c r="E7" s="73">
        <v>8</v>
      </c>
      <c r="F7" s="13">
        <f>E7-D7</f>
        <v>-27</v>
      </c>
      <c r="G7" s="15">
        <f>E7/D7*100%</f>
        <v>0.22857142857142856</v>
      </c>
      <c r="I7" s="18">
        <v>3</v>
      </c>
      <c r="J7" s="18" t="s">
        <v>268</v>
      </c>
      <c r="K7" s="18">
        <v>150</v>
      </c>
      <c r="L7" s="18">
        <v>57</v>
      </c>
      <c r="M7" s="29">
        <f t="shared" si="0"/>
        <v>0.38</v>
      </c>
    </row>
    <row r="8" spans="1:13" x14ac:dyDescent="0.35">
      <c r="A8" s="13">
        <v>2</v>
      </c>
      <c r="B8" s="72" t="s">
        <v>249</v>
      </c>
      <c r="C8" s="73" t="s">
        <v>18</v>
      </c>
      <c r="D8" s="73">
        <v>25</v>
      </c>
      <c r="E8" s="73">
        <v>26</v>
      </c>
      <c r="F8" s="13">
        <f t="shared" ref="F8:F27" si="1">E8-D8</f>
        <v>1</v>
      </c>
      <c r="G8" s="15">
        <f t="shared" ref="G8:G27" si="2">E8/D8*100%</f>
        <v>1.04</v>
      </c>
    </row>
    <row r="9" spans="1:13" x14ac:dyDescent="0.35">
      <c r="A9" s="13">
        <v>3</v>
      </c>
      <c r="B9" s="72" t="s">
        <v>250</v>
      </c>
      <c r="C9" s="73" t="s">
        <v>18</v>
      </c>
      <c r="D9" s="73">
        <v>25</v>
      </c>
      <c r="E9" s="73">
        <v>32</v>
      </c>
      <c r="F9" s="13">
        <f t="shared" si="1"/>
        <v>7</v>
      </c>
      <c r="G9" s="15">
        <f t="shared" si="2"/>
        <v>1.28</v>
      </c>
    </row>
    <row r="10" spans="1:13" x14ac:dyDescent="0.35">
      <c r="A10" s="13">
        <v>4</v>
      </c>
      <c r="B10" s="75" t="s">
        <v>251</v>
      </c>
      <c r="C10" s="73" t="s">
        <v>18</v>
      </c>
      <c r="D10" s="73">
        <v>25</v>
      </c>
      <c r="E10" s="73">
        <v>48</v>
      </c>
      <c r="F10" s="13">
        <f t="shared" si="1"/>
        <v>23</v>
      </c>
      <c r="G10" s="15">
        <f t="shared" si="2"/>
        <v>1.92</v>
      </c>
    </row>
    <row r="11" spans="1:13" x14ac:dyDescent="0.35">
      <c r="A11" s="13">
        <v>5</v>
      </c>
      <c r="B11" s="76" t="s">
        <v>252</v>
      </c>
      <c r="C11" s="73" t="s">
        <v>18</v>
      </c>
      <c r="D11" s="73">
        <v>25</v>
      </c>
      <c r="E11" s="73">
        <v>9</v>
      </c>
      <c r="F11" s="13">
        <f t="shared" si="1"/>
        <v>-16</v>
      </c>
      <c r="G11" s="15">
        <f t="shared" si="2"/>
        <v>0.36</v>
      </c>
    </row>
    <row r="12" spans="1:13" x14ac:dyDescent="0.35">
      <c r="A12" s="13">
        <v>6</v>
      </c>
      <c r="B12" s="75" t="s">
        <v>253</v>
      </c>
      <c r="C12" s="73" t="s">
        <v>18</v>
      </c>
      <c r="D12" s="73">
        <v>25</v>
      </c>
      <c r="E12" s="73">
        <v>13</v>
      </c>
      <c r="F12" s="13">
        <f t="shared" si="1"/>
        <v>-12</v>
      </c>
      <c r="G12" s="15">
        <f t="shared" si="2"/>
        <v>0.52</v>
      </c>
    </row>
    <row r="13" spans="1:13" x14ac:dyDescent="0.35">
      <c r="A13" s="13">
        <v>7</v>
      </c>
      <c r="B13" s="74" t="s">
        <v>271</v>
      </c>
      <c r="C13" s="73" t="s">
        <v>16</v>
      </c>
      <c r="D13" s="73">
        <v>35</v>
      </c>
      <c r="E13" s="73">
        <v>0</v>
      </c>
      <c r="F13" s="13">
        <f t="shared" si="1"/>
        <v>-35</v>
      </c>
      <c r="G13" s="15">
        <f t="shared" si="2"/>
        <v>0</v>
      </c>
      <c r="J13" t="s">
        <v>272</v>
      </c>
    </row>
    <row r="14" spans="1:13" x14ac:dyDescent="0.35">
      <c r="A14" s="13">
        <v>8</v>
      </c>
      <c r="B14" s="75" t="s">
        <v>254</v>
      </c>
      <c r="C14" s="73" t="s">
        <v>18</v>
      </c>
      <c r="D14" s="73">
        <v>25</v>
      </c>
      <c r="E14" s="73">
        <v>27</v>
      </c>
      <c r="F14" s="13">
        <f t="shared" si="1"/>
        <v>2</v>
      </c>
      <c r="G14" s="15">
        <f t="shared" si="2"/>
        <v>1.08</v>
      </c>
    </row>
    <row r="15" spans="1:13" x14ac:dyDescent="0.35">
      <c r="A15" s="13">
        <v>9</v>
      </c>
      <c r="B15" s="75" t="s">
        <v>255</v>
      </c>
      <c r="C15" s="73" t="s">
        <v>18</v>
      </c>
      <c r="D15" s="73">
        <v>25</v>
      </c>
      <c r="E15" s="73">
        <v>19</v>
      </c>
      <c r="F15" s="13">
        <f t="shared" si="1"/>
        <v>-6</v>
      </c>
      <c r="G15" s="15">
        <f t="shared" si="2"/>
        <v>0.76</v>
      </c>
    </row>
    <row r="16" spans="1:13" x14ac:dyDescent="0.35">
      <c r="A16" s="13">
        <v>10</v>
      </c>
      <c r="B16" s="75" t="s">
        <v>256</v>
      </c>
      <c r="C16" s="73" t="s">
        <v>18</v>
      </c>
      <c r="D16" s="73">
        <v>25</v>
      </c>
      <c r="E16" s="73">
        <v>11</v>
      </c>
      <c r="F16" s="13">
        <f t="shared" si="1"/>
        <v>-14</v>
      </c>
      <c r="G16" s="15">
        <f t="shared" si="2"/>
        <v>0.44</v>
      </c>
    </row>
    <row r="17" spans="1:7" x14ac:dyDescent="0.35">
      <c r="A17" s="13">
        <v>11</v>
      </c>
      <c r="B17" s="75" t="s">
        <v>257</v>
      </c>
      <c r="C17" s="73" t="s">
        <v>18</v>
      </c>
      <c r="D17" s="73">
        <v>25</v>
      </c>
      <c r="E17" s="73">
        <v>7</v>
      </c>
      <c r="F17" s="13">
        <f t="shared" si="1"/>
        <v>-18</v>
      </c>
      <c r="G17" s="15">
        <f t="shared" si="2"/>
        <v>0.28000000000000003</v>
      </c>
    </row>
    <row r="18" spans="1:7" x14ac:dyDescent="0.35">
      <c r="A18" s="13">
        <v>12</v>
      </c>
      <c r="B18" s="75" t="s">
        <v>258</v>
      </c>
      <c r="C18" s="73" t="s">
        <v>18</v>
      </c>
      <c r="D18" s="73">
        <v>25</v>
      </c>
      <c r="E18" s="73">
        <v>16</v>
      </c>
      <c r="F18" s="13">
        <f t="shared" si="1"/>
        <v>-9</v>
      </c>
      <c r="G18" s="15">
        <f t="shared" si="2"/>
        <v>0.64</v>
      </c>
    </row>
    <row r="19" spans="1:7" x14ac:dyDescent="0.35">
      <c r="A19" s="13">
        <v>13</v>
      </c>
      <c r="B19" s="76" t="s">
        <v>270</v>
      </c>
      <c r="C19" s="73" t="s">
        <v>16</v>
      </c>
      <c r="D19" s="73">
        <v>35</v>
      </c>
      <c r="E19" s="73">
        <v>0</v>
      </c>
      <c r="F19" s="13">
        <f t="shared" si="1"/>
        <v>-35</v>
      </c>
      <c r="G19" s="15">
        <f t="shared" si="2"/>
        <v>0</v>
      </c>
    </row>
    <row r="20" spans="1:7" x14ac:dyDescent="0.35">
      <c r="A20" s="13">
        <v>14</v>
      </c>
      <c r="B20" s="77" t="s">
        <v>259</v>
      </c>
      <c r="C20" s="73" t="s">
        <v>18</v>
      </c>
      <c r="D20" s="73">
        <v>25</v>
      </c>
      <c r="E20" s="73">
        <v>14</v>
      </c>
      <c r="F20" s="13">
        <f t="shared" si="1"/>
        <v>-11</v>
      </c>
      <c r="G20" s="15">
        <f t="shared" si="2"/>
        <v>0.56000000000000005</v>
      </c>
    </row>
    <row r="21" spans="1:7" x14ac:dyDescent="0.35">
      <c r="A21" s="13">
        <v>15</v>
      </c>
      <c r="B21" s="77" t="s">
        <v>260</v>
      </c>
      <c r="C21" s="73" t="s">
        <v>18</v>
      </c>
      <c r="D21" s="73">
        <v>25</v>
      </c>
      <c r="E21" s="73">
        <v>12</v>
      </c>
      <c r="F21" s="13">
        <f t="shared" si="1"/>
        <v>-13</v>
      </c>
      <c r="G21" s="15">
        <f t="shared" si="2"/>
        <v>0.48</v>
      </c>
    </row>
    <row r="22" spans="1:7" x14ac:dyDescent="0.35">
      <c r="A22" s="13">
        <v>16</v>
      </c>
      <c r="B22" s="77" t="s">
        <v>261</v>
      </c>
      <c r="C22" s="73" t="s">
        <v>18</v>
      </c>
      <c r="D22" s="73">
        <v>25</v>
      </c>
      <c r="E22" s="73">
        <v>12</v>
      </c>
      <c r="F22" s="13">
        <f t="shared" si="1"/>
        <v>-13</v>
      </c>
      <c r="G22" s="15">
        <f t="shared" si="2"/>
        <v>0.48</v>
      </c>
    </row>
    <row r="23" spans="1:7" x14ac:dyDescent="0.35">
      <c r="A23" s="13">
        <v>17</v>
      </c>
      <c r="B23" s="77" t="s">
        <v>262</v>
      </c>
      <c r="C23" s="73" t="s">
        <v>18</v>
      </c>
      <c r="D23" s="73">
        <v>25</v>
      </c>
      <c r="E23" s="73">
        <v>9</v>
      </c>
      <c r="F23" s="13">
        <f t="shared" si="1"/>
        <v>-16</v>
      </c>
      <c r="G23" s="15">
        <f t="shared" si="2"/>
        <v>0.36</v>
      </c>
    </row>
    <row r="24" spans="1:7" x14ac:dyDescent="0.35">
      <c r="A24" s="13">
        <v>18</v>
      </c>
      <c r="B24" s="77" t="s">
        <v>263</v>
      </c>
      <c r="C24" s="73" t="s">
        <v>18</v>
      </c>
      <c r="D24" s="73">
        <v>25</v>
      </c>
      <c r="E24" s="73">
        <v>8</v>
      </c>
      <c r="F24" s="13">
        <f t="shared" si="1"/>
        <v>-17</v>
      </c>
      <c r="G24" s="15">
        <f t="shared" si="2"/>
        <v>0.32</v>
      </c>
    </row>
    <row r="25" spans="1:7" x14ac:dyDescent="0.35">
      <c r="A25" s="13">
        <v>19</v>
      </c>
      <c r="B25" s="77" t="s">
        <v>264</v>
      </c>
      <c r="C25" s="73" t="s">
        <v>18</v>
      </c>
      <c r="D25" s="73">
        <v>25</v>
      </c>
      <c r="E25" s="73">
        <v>1</v>
      </c>
      <c r="F25" s="13">
        <f t="shared" si="1"/>
        <v>-24</v>
      </c>
      <c r="G25" s="15">
        <f t="shared" si="2"/>
        <v>0.04</v>
      </c>
    </row>
    <row r="26" spans="1:7" x14ac:dyDescent="0.35">
      <c r="A26" s="13">
        <v>20</v>
      </c>
      <c r="B26" s="77" t="s">
        <v>265</v>
      </c>
      <c r="C26" s="73" t="s">
        <v>18</v>
      </c>
      <c r="D26" s="73">
        <v>25</v>
      </c>
      <c r="E26" s="73">
        <v>1</v>
      </c>
      <c r="F26" s="13">
        <f t="shared" si="1"/>
        <v>-24</v>
      </c>
      <c r="G26" s="15">
        <f t="shared" si="2"/>
        <v>0.04</v>
      </c>
    </row>
    <row r="27" spans="1:7" x14ac:dyDescent="0.35">
      <c r="A27" s="13"/>
      <c r="B27" s="13" t="s">
        <v>47</v>
      </c>
      <c r="C27" s="13"/>
      <c r="D27" s="13">
        <v>490</v>
      </c>
      <c r="E27" s="13">
        <f>SUM(E7:E26)</f>
        <v>273</v>
      </c>
      <c r="F27" s="13">
        <f t="shared" si="1"/>
        <v>-217</v>
      </c>
      <c r="G27" s="15">
        <f t="shared" si="2"/>
        <v>0.55714285714285716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C337-EA41-41FF-8FE8-6B86B0E57F3D}">
  <dimension ref="A1:G11"/>
  <sheetViews>
    <sheetView workbookViewId="0">
      <selection activeCell="C4" sqref="C4:G4"/>
    </sheetView>
  </sheetViews>
  <sheetFormatPr defaultRowHeight="14.5" x14ac:dyDescent="0.35"/>
  <cols>
    <col min="1" max="1" width="4.54296875" customWidth="1"/>
    <col min="2" max="2" width="33.54296875" customWidth="1"/>
    <col min="7" max="7" width="8.7265625" style="16"/>
  </cols>
  <sheetData>
    <row r="1" spans="1:7" x14ac:dyDescent="0.35">
      <c r="B1" s="5" t="s">
        <v>7</v>
      </c>
    </row>
    <row r="2" spans="1:7" x14ac:dyDescent="0.35">
      <c r="B2" s="5" t="s">
        <v>231</v>
      </c>
    </row>
    <row r="3" spans="1:7" x14ac:dyDescent="0.35">
      <c r="B3" s="5" t="s">
        <v>232</v>
      </c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84"/>
      <c r="B6" s="85"/>
      <c r="C6" s="88"/>
      <c r="D6" s="88"/>
      <c r="E6" s="88"/>
      <c r="F6" s="88"/>
      <c r="G6" s="128"/>
    </row>
    <row r="7" spans="1:7" x14ac:dyDescent="0.35">
      <c r="A7" s="91">
        <v>1</v>
      </c>
      <c r="B7" s="72" t="s">
        <v>361</v>
      </c>
      <c r="C7" s="126" t="s">
        <v>16</v>
      </c>
      <c r="D7" s="126">
        <v>35</v>
      </c>
      <c r="E7" s="126">
        <v>6</v>
      </c>
      <c r="F7" s="91">
        <f>E7-D7</f>
        <v>-29</v>
      </c>
      <c r="G7" s="102">
        <f>E7/D7*100%</f>
        <v>0.17142857142857143</v>
      </c>
    </row>
    <row r="8" spans="1:7" x14ac:dyDescent="0.35">
      <c r="A8" s="91">
        <v>2</v>
      </c>
      <c r="B8" s="127" t="s">
        <v>362</v>
      </c>
      <c r="C8" s="73" t="s">
        <v>18</v>
      </c>
      <c r="D8" s="126">
        <v>25</v>
      </c>
      <c r="E8" s="126">
        <v>11</v>
      </c>
      <c r="F8" s="91">
        <f t="shared" ref="F8:F11" si="0">E8-D8</f>
        <v>-14</v>
      </c>
      <c r="G8" s="102">
        <f t="shared" ref="G8:G11" si="1">E8/D8*100%</f>
        <v>0.44</v>
      </c>
    </row>
    <row r="9" spans="1:7" x14ac:dyDescent="0.35">
      <c r="A9" s="91">
        <v>3</v>
      </c>
      <c r="B9" s="72" t="s">
        <v>363</v>
      </c>
      <c r="C9" s="73" t="s">
        <v>18</v>
      </c>
      <c r="D9" s="126">
        <v>25</v>
      </c>
      <c r="E9" s="126">
        <v>23</v>
      </c>
      <c r="F9" s="91">
        <f t="shared" si="0"/>
        <v>-2</v>
      </c>
      <c r="G9" s="102">
        <f t="shared" si="1"/>
        <v>0.92</v>
      </c>
    </row>
    <row r="10" spans="1:7" x14ac:dyDescent="0.35">
      <c r="A10" s="91">
        <v>4</v>
      </c>
      <c r="B10" s="72" t="s">
        <v>364</v>
      </c>
      <c r="C10" s="73" t="s">
        <v>18</v>
      </c>
      <c r="D10" s="126">
        <v>25</v>
      </c>
      <c r="E10" s="126">
        <v>2</v>
      </c>
      <c r="F10" s="91">
        <f t="shared" si="0"/>
        <v>-23</v>
      </c>
      <c r="G10" s="102">
        <f t="shared" si="1"/>
        <v>0.08</v>
      </c>
    </row>
    <row r="11" spans="1:7" x14ac:dyDescent="0.35">
      <c r="A11" s="91"/>
      <c r="B11" s="91" t="s">
        <v>47</v>
      </c>
      <c r="C11" s="91"/>
      <c r="D11" s="91">
        <v>150</v>
      </c>
      <c r="E11" s="91">
        <f>SUM(E7:E10)</f>
        <v>42</v>
      </c>
      <c r="F11" s="91">
        <f t="shared" si="0"/>
        <v>-108</v>
      </c>
      <c r="G11" s="102">
        <f t="shared" si="1"/>
        <v>0.28000000000000003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E2F8-BB97-4F20-B2FF-8EA02C6E62D2}">
  <dimension ref="A1:M28"/>
  <sheetViews>
    <sheetView topLeftCell="A4" workbookViewId="0">
      <selection activeCell="C5" sqref="C5:G5"/>
    </sheetView>
  </sheetViews>
  <sheetFormatPr defaultRowHeight="14.5" x14ac:dyDescent="0.35"/>
  <cols>
    <col min="1" max="1" width="4.7265625" customWidth="1"/>
    <col min="2" max="2" width="31.1796875" customWidth="1"/>
    <col min="7" max="7" width="8.7265625" style="16"/>
    <col min="9" max="9" width="6.1796875" customWidth="1"/>
    <col min="10" max="10" width="17.453125" customWidth="1"/>
  </cols>
  <sheetData>
    <row r="1" spans="1:13" x14ac:dyDescent="0.35">
      <c r="A1" s="4"/>
      <c r="B1" s="5" t="s">
        <v>7</v>
      </c>
      <c r="F1" s="4"/>
      <c r="G1" s="6"/>
    </row>
    <row r="2" spans="1:13" x14ac:dyDescent="0.35">
      <c r="A2" s="4"/>
      <c r="B2" s="5" t="s">
        <v>365</v>
      </c>
      <c r="F2" s="4"/>
      <c r="G2" s="6"/>
    </row>
    <row r="3" spans="1:13" x14ac:dyDescent="0.35">
      <c r="A3" s="4"/>
      <c r="F3" s="4"/>
      <c r="G3" s="6"/>
    </row>
    <row r="4" spans="1:13" x14ac:dyDescent="0.35">
      <c r="A4" s="4"/>
      <c r="F4" s="4"/>
      <c r="G4" s="6"/>
    </row>
    <row r="5" spans="1:13" x14ac:dyDescent="0.35">
      <c r="A5" s="78" t="s">
        <v>9</v>
      </c>
      <c r="B5" s="79" t="s">
        <v>10</v>
      </c>
      <c r="C5" s="86" t="s">
        <v>930</v>
      </c>
      <c r="D5" s="87"/>
      <c r="E5" s="87"/>
      <c r="F5" s="87"/>
      <c r="G5" s="87"/>
      <c r="I5" s="1" t="s">
        <v>0</v>
      </c>
      <c r="J5" s="1" t="s">
        <v>2</v>
      </c>
      <c r="K5" s="1" t="s">
        <v>4</v>
      </c>
      <c r="L5" s="1" t="s">
        <v>5</v>
      </c>
      <c r="M5" s="2" t="s">
        <v>6</v>
      </c>
    </row>
    <row r="6" spans="1:13" x14ac:dyDescent="0.35">
      <c r="A6" s="78"/>
      <c r="B6" s="79"/>
      <c r="C6" s="80" t="s">
        <v>11</v>
      </c>
      <c r="D6" s="80" t="s">
        <v>12</v>
      </c>
      <c r="E6" s="80" t="s">
        <v>13</v>
      </c>
      <c r="F6" s="80" t="s">
        <v>14</v>
      </c>
      <c r="G6" s="100" t="s">
        <v>6</v>
      </c>
      <c r="I6" s="18">
        <v>1</v>
      </c>
      <c r="J6" s="18" t="s">
        <v>386</v>
      </c>
      <c r="K6" s="18">
        <v>190</v>
      </c>
      <c r="L6" s="18">
        <v>89</v>
      </c>
      <c r="M6" s="29">
        <f>L6/K6*100%</f>
        <v>0.46842105263157896</v>
      </c>
    </row>
    <row r="7" spans="1:13" x14ac:dyDescent="0.35">
      <c r="A7" s="78"/>
      <c r="B7" s="79"/>
      <c r="C7" s="81"/>
      <c r="D7" s="81"/>
      <c r="E7" s="81"/>
      <c r="F7" s="81"/>
      <c r="G7" s="101"/>
      <c r="I7" s="18">
        <v>2</v>
      </c>
      <c r="J7" s="18" t="s">
        <v>388</v>
      </c>
      <c r="K7" s="18">
        <v>190</v>
      </c>
      <c r="L7" s="18">
        <v>69</v>
      </c>
      <c r="M7" s="29">
        <f t="shared" ref="M7:M8" si="0">L7/K7*100%</f>
        <v>0.36315789473684212</v>
      </c>
    </row>
    <row r="8" spans="1:13" x14ac:dyDescent="0.35">
      <c r="A8" s="91">
        <v>1</v>
      </c>
      <c r="B8" s="127" t="s">
        <v>366</v>
      </c>
      <c r="C8" s="126" t="s">
        <v>16</v>
      </c>
      <c r="D8" s="126">
        <v>25</v>
      </c>
      <c r="E8" s="126">
        <v>0</v>
      </c>
      <c r="F8" s="91">
        <f>E8-D8</f>
        <v>-25</v>
      </c>
      <c r="G8" s="102">
        <f>E8/D8*100%</f>
        <v>0</v>
      </c>
      <c r="I8" s="18">
        <v>3</v>
      </c>
      <c r="J8" s="18" t="s">
        <v>387</v>
      </c>
      <c r="K8" s="18">
        <v>150</v>
      </c>
      <c r="L8" s="18">
        <v>108</v>
      </c>
      <c r="M8" s="29">
        <f t="shared" si="0"/>
        <v>0.72</v>
      </c>
    </row>
    <row r="9" spans="1:13" x14ac:dyDescent="0.35">
      <c r="A9" s="91">
        <v>2</v>
      </c>
      <c r="B9" s="129" t="s">
        <v>367</v>
      </c>
      <c r="C9" s="73" t="s">
        <v>18</v>
      </c>
      <c r="D9" s="126">
        <v>25</v>
      </c>
      <c r="E9" s="126">
        <v>19</v>
      </c>
      <c r="F9" s="91">
        <f t="shared" ref="F9:F28" si="1">E9-D9</f>
        <v>-6</v>
      </c>
      <c r="G9" s="102">
        <f t="shared" ref="G9:G28" si="2">E9/D9*100%</f>
        <v>0.76</v>
      </c>
    </row>
    <row r="10" spans="1:13" x14ac:dyDescent="0.35">
      <c r="A10" s="91">
        <v>3</v>
      </c>
      <c r="B10" s="129" t="s">
        <v>368</v>
      </c>
      <c r="C10" s="73" t="s">
        <v>18</v>
      </c>
      <c r="D10" s="126">
        <v>25</v>
      </c>
      <c r="E10" s="126">
        <v>12</v>
      </c>
      <c r="F10" s="91">
        <f t="shared" si="1"/>
        <v>-13</v>
      </c>
      <c r="G10" s="102">
        <f t="shared" si="2"/>
        <v>0.48</v>
      </c>
    </row>
    <row r="11" spans="1:13" x14ac:dyDescent="0.35">
      <c r="A11" s="91">
        <v>4</v>
      </c>
      <c r="B11" s="129" t="s">
        <v>369</v>
      </c>
      <c r="C11" s="73" t="s">
        <v>18</v>
      </c>
      <c r="D11" s="126">
        <v>25</v>
      </c>
      <c r="E11" s="126">
        <v>11</v>
      </c>
      <c r="F11" s="91">
        <f t="shared" si="1"/>
        <v>-14</v>
      </c>
      <c r="G11" s="102">
        <f t="shared" si="2"/>
        <v>0.44</v>
      </c>
    </row>
    <row r="12" spans="1:13" x14ac:dyDescent="0.35">
      <c r="A12" s="91">
        <v>5</v>
      </c>
      <c r="B12" s="129" t="s">
        <v>370</v>
      </c>
      <c r="C12" s="73" t="s">
        <v>18</v>
      </c>
      <c r="D12" s="126">
        <v>25</v>
      </c>
      <c r="E12" s="126">
        <v>22</v>
      </c>
      <c r="F12" s="91">
        <f t="shared" si="1"/>
        <v>-3</v>
      </c>
      <c r="G12" s="102">
        <f t="shared" si="2"/>
        <v>0.88</v>
      </c>
    </row>
    <row r="13" spans="1:13" x14ac:dyDescent="0.35">
      <c r="A13" s="91">
        <v>6</v>
      </c>
      <c r="B13" s="129" t="s">
        <v>371</v>
      </c>
      <c r="C13" s="73" t="s">
        <v>18</v>
      </c>
      <c r="D13" s="126">
        <v>25</v>
      </c>
      <c r="E13" s="126">
        <v>13</v>
      </c>
      <c r="F13" s="91">
        <f t="shared" si="1"/>
        <v>-12</v>
      </c>
      <c r="G13" s="102">
        <f t="shared" si="2"/>
        <v>0.52</v>
      </c>
    </row>
    <row r="14" spans="1:13" x14ac:dyDescent="0.35">
      <c r="A14" s="91">
        <v>7</v>
      </c>
      <c r="B14" s="127" t="s">
        <v>372</v>
      </c>
      <c r="C14" s="126" t="s">
        <v>18</v>
      </c>
      <c r="D14" s="126">
        <v>25</v>
      </c>
      <c r="E14" s="126">
        <v>12</v>
      </c>
      <c r="F14" s="91">
        <f t="shared" si="1"/>
        <v>-13</v>
      </c>
      <c r="G14" s="102">
        <f t="shared" si="2"/>
        <v>0.48</v>
      </c>
    </row>
    <row r="15" spans="1:13" x14ac:dyDescent="0.35">
      <c r="A15" s="91">
        <v>8</v>
      </c>
      <c r="B15" s="129" t="s">
        <v>373</v>
      </c>
      <c r="C15" s="73" t="s">
        <v>16</v>
      </c>
      <c r="D15" s="126">
        <v>25</v>
      </c>
      <c r="E15" s="126">
        <v>1</v>
      </c>
      <c r="F15" s="91">
        <f t="shared" si="1"/>
        <v>-24</v>
      </c>
      <c r="G15" s="102">
        <f t="shared" si="2"/>
        <v>0.04</v>
      </c>
    </row>
    <row r="16" spans="1:13" x14ac:dyDescent="0.35">
      <c r="A16" s="91">
        <v>9</v>
      </c>
      <c r="B16" s="72" t="s">
        <v>374</v>
      </c>
      <c r="C16" s="73" t="s">
        <v>18</v>
      </c>
      <c r="D16" s="126">
        <v>25</v>
      </c>
      <c r="E16" s="126">
        <v>11</v>
      </c>
      <c r="F16" s="91">
        <f t="shared" si="1"/>
        <v>-14</v>
      </c>
      <c r="G16" s="102">
        <f t="shared" si="2"/>
        <v>0.44</v>
      </c>
    </row>
    <row r="17" spans="1:7" x14ac:dyDescent="0.35">
      <c r="A17" s="91">
        <v>10</v>
      </c>
      <c r="B17" s="72" t="s">
        <v>375</v>
      </c>
      <c r="C17" s="73" t="s">
        <v>18</v>
      </c>
      <c r="D17" s="126">
        <v>25</v>
      </c>
      <c r="E17" s="126">
        <v>15</v>
      </c>
      <c r="F17" s="91">
        <f t="shared" si="1"/>
        <v>-10</v>
      </c>
      <c r="G17" s="102">
        <f t="shared" si="2"/>
        <v>0.6</v>
      </c>
    </row>
    <row r="18" spans="1:7" x14ac:dyDescent="0.35">
      <c r="A18" s="91">
        <v>11</v>
      </c>
      <c r="B18" s="72" t="s">
        <v>376</v>
      </c>
      <c r="C18" s="73" t="s">
        <v>18</v>
      </c>
      <c r="D18" s="126">
        <v>25</v>
      </c>
      <c r="E18" s="126">
        <v>11</v>
      </c>
      <c r="F18" s="91">
        <f t="shared" si="1"/>
        <v>-14</v>
      </c>
      <c r="G18" s="102">
        <f t="shared" si="2"/>
        <v>0.44</v>
      </c>
    </row>
    <row r="19" spans="1:7" x14ac:dyDescent="0.35">
      <c r="A19" s="91">
        <v>12</v>
      </c>
      <c r="B19" s="130" t="s">
        <v>377</v>
      </c>
      <c r="C19" s="73" t="s">
        <v>18</v>
      </c>
      <c r="D19" s="126">
        <v>25</v>
      </c>
      <c r="E19" s="126">
        <v>11</v>
      </c>
      <c r="F19" s="91">
        <f t="shared" si="1"/>
        <v>-14</v>
      </c>
      <c r="G19" s="102">
        <f t="shared" si="2"/>
        <v>0.44</v>
      </c>
    </row>
    <row r="20" spans="1:7" x14ac:dyDescent="0.35">
      <c r="A20" s="91">
        <v>13</v>
      </c>
      <c r="B20" s="130" t="s">
        <v>378</v>
      </c>
      <c r="C20" s="73" t="s">
        <v>18</v>
      </c>
      <c r="D20" s="126">
        <v>25</v>
      </c>
      <c r="E20" s="126">
        <v>18</v>
      </c>
      <c r="F20" s="91">
        <f t="shared" si="1"/>
        <v>-7</v>
      </c>
      <c r="G20" s="102">
        <f t="shared" si="2"/>
        <v>0.72</v>
      </c>
    </row>
    <row r="21" spans="1:7" x14ac:dyDescent="0.35">
      <c r="A21" s="91">
        <v>14</v>
      </c>
      <c r="B21" s="72" t="s">
        <v>379</v>
      </c>
      <c r="C21" s="73" t="s">
        <v>18</v>
      </c>
      <c r="D21" s="126">
        <v>25</v>
      </c>
      <c r="E21" s="126">
        <v>2</v>
      </c>
      <c r="F21" s="91">
        <f t="shared" si="1"/>
        <v>-23</v>
      </c>
      <c r="G21" s="102">
        <f t="shared" si="2"/>
        <v>0.08</v>
      </c>
    </row>
    <row r="22" spans="1:7" x14ac:dyDescent="0.35">
      <c r="A22" s="91">
        <v>15</v>
      </c>
      <c r="B22" s="127" t="s">
        <v>380</v>
      </c>
      <c r="C22" s="126" t="s">
        <v>16</v>
      </c>
      <c r="D22" s="126">
        <v>25</v>
      </c>
      <c r="E22" s="126">
        <v>0</v>
      </c>
      <c r="F22" s="91">
        <f t="shared" si="1"/>
        <v>-25</v>
      </c>
      <c r="G22" s="102">
        <f t="shared" si="2"/>
        <v>0</v>
      </c>
    </row>
    <row r="23" spans="1:7" x14ac:dyDescent="0.35">
      <c r="A23" s="91">
        <v>16</v>
      </c>
      <c r="B23" s="129" t="s">
        <v>381</v>
      </c>
      <c r="C23" s="73" t="s">
        <v>18</v>
      </c>
      <c r="D23" s="126">
        <v>25</v>
      </c>
      <c r="E23" s="126">
        <v>46</v>
      </c>
      <c r="F23" s="91">
        <f t="shared" si="1"/>
        <v>21</v>
      </c>
      <c r="G23" s="102">
        <f t="shared" si="2"/>
        <v>1.84</v>
      </c>
    </row>
    <row r="24" spans="1:7" x14ac:dyDescent="0.35">
      <c r="A24" s="91">
        <v>17</v>
      </c>
      <c r="B24" s="129" t="s">
        <v>382</v>
      </c>
      <c r="C24" s="73" t="s">
        <v>18</v>
      </c>
      <c r="D24" s="126">
        <v>25</v>
      </c>
      <c r="E24" s="126">
        <v>13</v>
      </c>
      <c r="F24" s="91">
        <f t="shared" si="1"/>
        <v>-12</v>
      </c>
      <c r="G24" s="102">
        <f t="shared" si="2"/>
        <v>0.52</v>
      </c>
    </row>
    <row r="25" spans="1:7" x14ac:dyDescent="0.35">
      <c r="A25" s="91">
        <v>18</v>
      </c>
      <c r="B25" s="129" t="s">
        <v>383</v>
      </c>
      <c r="C25" s="73" t="s">
        <v>18</v>
      </c>
      <c r="D25" s="126">
        <v>25</v>
      </c>
      <c r="E25" s="126">
        <v>22</v>
      </c>
      <c r="F25" s="91">
        <f t="shared" si="1"/>
        <v>-3</v>
      </c>
      <c r="G25" s="102">
        <f t="shared" si="2"/>
        <v>0.88</v>
      </c>
    </row>
    <row r="26" spans="1:7" x14ac:dyDescent="0.35">
      <c r="A26" s="91">
        <v>19</v>
      </c>
      <c r="B26" s="129" t="s">
        <v>384</v>
      </c>
      <c r="C26" s="73" t="s">
        <v>18</v>
      </c>
      <c r="D26" s="126">
        <v>25</v>
      </c>
      <c r="E26" s="126">
        <v>16</v>
      </c>
      <c r="F26" s="91">
        <f t="shared" si="1"/>
        <v>-9</v>
      </c>
      <c r="G26" s="102">
        <f t="shared" si="2"/>
        <v>0.64</v>
      </c>
    </row>
    <row r="27" spans="1:7" x14ac:dyDescent="0.35">
      <c r="A27" s="91">
        <v>20</v>
      </c>
      <c r="B27" s="129" t="s">
        <v>385</v>
      </c>
      <c r="C27" s="73" t="s">
        <v>18</v>
      </c>
      <c r="D27" s="126">
        <v>25</v>
      </c>
      <c r="E27" s="126">
        <v>11</v>
      </c>
      <c r="F27" s="91">
        <f t="shared" si="1"/>
        <v>-14</v>
      </c>
      <c r="G27" s="102">
        <f t="shared" si="2"/>
        <v>0.44</v>
      </c>
    </row>
    <row r="28" spans="1:7" x14ac:dyDescent="0.35">
      <c r="A28" s="91"/>
      <c r="B28" s="91" t="s">
        <v>47</v>
      </c>
      <c r="C28" s="91"/>
      <c r="D28" s="91">
        <v>530</v>
      </c>
      <c r="E28" s="91">
        <f>SUM(E8:E27)</f>
        <v>266</v>
      </c>
      <c r="F28" s="91">
        <f t="shared" si="1"/>
        <v>-264</v>
      </c>
      <c r="G28" s="102">
        <f t="shared" si="2"/>
        <v>0.50188679245283019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C6AE-FF02-488B-9304-5DD89800DF8E}">
  <dimension ref="A1:G14"/>
  <sheetViews>
    <sheetView topLeftCell="A4" workbookViewId="0">
      <selection activeCell="C4" sqref="C4:G4"/>
    </sheetView>
  </sheetViews>
  <sheetFormatPr defaultRowHeight="14.5" x14ac:dyDescent="0.35"/>
  <cols>
    <col min="1" max="1" width="4.36328125" customWidth="1"/>
    <col min="2" max="2" width="31.08984375" customWidth="1"/>
    <col min="7" max="7" width="8.7265625" style="16"/>
  </cols>
  <sheetData>
    <row r="1" spans="1:7" x14ac:dyDescent="0.35">
      <c r="B1" s="5" t="s">
        <v>7</v>
      </c>
    </row>
    <row r="2" spans="1:7" x14ac:dyDescent="0.35">
      <c r="B2" s="5" t="s">
        <v>365</v>
      </c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78"/>
      <c r="B6" s="79"/>
      <c r="C6" s="81"/>
      <c r="D6" s="81"/>
      <c r="E6" s="81"/>
      <c r="F6" s="81"/>
      <c r="G6" s="101"/>
    </row>
    <row r="7" spans="1:7" x14ac:dyDescent="0.35">
      <c r="A7" s="91">
        <v>1</v>
      </c>
      <c r="B7" s="19" t="s">
        <v>389</v>
      </c>
      <c r="C7" s="20" t="s">
        <v>16</v>
      </c>
      <c r="D7" s="20">
        <v>40</v>
      </c>
      <c r="E7" s="20">
        <v>9</v>
      </c>
      <c r="F7" s="91">
        <f>E7-D7</f>
        <v>-31</v>
      </c>
      <c r="G7" s="102">
        <f>E7/D7*100%</f>
        <v>0.22500000000000001</v>
      </c>
    </row>
    <row r="8" spans="1:7" x14ac:dyDescent="0.35">
      <c r="A8" s="91">
        <v>2</v>
      </c>
      <c r="B8" s="8" t="s">
        <v>390</v>
      </c>
      <c r="C8" s="10" t="s">
        <v>18</v>
      </c>
      <c r="D8" s="20">
        <v>25</v>
      </c>
      <c r="E8" s="20">
        <v>16</v>
      </c>
      <c r="F8" s="91">
        <f t="shared" ref="F8:F14" si="0">E8-D8</f>
        <v>-9</v>
      </c>
      <c r="G8" s="102">
        <f t="shared" ref="G8:G14" si="1">E8/D8*100%</f>
        <v>0.64</v>
      </c>
    </row>
    <row r="9" spans="1:7" x14ac:dyDescent="0.35">
      <c r="A9" s="91">
        <v>3</v>
      </c>
      <c r="B9" s="8" t="s">
        <v>391</v>
      </c>
      <c r="C9" s="10" t="s">
        <v>18</v>
      </c>
      <c r="D9" s="10">
        <v>25</v>
      </c>
      <c r="E9" s="20">
        <v>16</v>
      </c>
      <c r="F9" s="91">
        <f t="shared" si="0"/>
        <v>-9</v>
      </c>
      <c r="G9" s="102">
        <f t="shared" si="1"/>
        <v>0.64</v>
      </c>
    </row>
    <row r="10" spans="1:7" x14ac:dyDescent="0.35">
      <c r="A10" s="91">
        <v>4</v>
      </c>
      <c r="B10" s="8" t="s">
        <v>392</v>
      </c>
      <c r="C10" s="10" t="s">
        <v>18</v>
      </c>
      <c r="D10" s="11">
        <v>25</v>
      </c>
      <c r="E10" s="20">
        <v>9</v>
      </c>
      <c r="F10" s="91">
        <f t="shared" si="0"/>
        <v>-16</v>
      </c>
      <c r="G10" s="102">
        <f t="shared" si="1"/>
        <v>0.36</v>
      </c>
    </row>
    <row r="11" spans="1:7" x14ac:dyDescent="0.35">
      <c r="A11" s="91">
        <v>5</v>
      </c>
      <c r="B11" s="8" t="s">
        <v>393</v>
      </c>
      <c r="C11" s="10" t="s">
        <v>18</v>
      </c>
      <c r="D11" s="11">
        <v>25</v>
      </c>
      <c r="E11" s="20">
        <v>14</v>
      </c>
      <c r="F11" s="91">
        <f t="shared" si="0"/>
        <v>-11</v>
      </c>
      <c r="G11" s="102">
        <f t="shared" si="1"/>
        <v>0.56000000000000005</v>
      </c>
    </row>
    <row r="12" spans="1:7" x14ac:dyDescent="0.35">
      <c r="A12" s="91">
        <v>6</v>
      </c>
      <c r="B12" s="8" t="s">
        <v>394</v>
      </c>
      <c r="C12" s="10" t="s">
        <v>18</v>
      </c>
      <c r="D12" s="11">
        <v>25</v>
      </c>
      <c r="E12" s="10">
        <v>17</v>
      </c>
      <c r="F12" s="91">
        <f t="shared" si="0"/>
        <v>-8</v>
      </c>
      <c r="G12" s="102">
        <f t="shared" si="1"/>
        <v>0.68</v>
      </c>
    </row>
    <row r="13" spans="1:7" x14ac:dyDescent="0.35">
      <c r="A13" s="91">
        <v>7</v>
      </c>
      <c r="B13" s="8" t="s">
        <v>395</v>
      </c>
      <c r="C13" s="10" t="s">
        <v>18</v>
      </c>
      <c r="D13" s="11">
        <v>25</v>
      </c>
      <c r="E13" s="10">
        <v>5</v>
      </c>
      <c r="F13" s="91">
        <f t="shared" si="0"/>
        <v>-20</v>
      </c>
      <c r="G13" s="102">
        <f t="shared" si="1"/>
        <v>0.2</v>
      </c>
    </row>
    <row r="14" spans="1:7" x14ac:dyDescent="0.35">
      <c r="A14" s="91"/>
      <c r="B14" s="91" t="s">
        <v>47</v>
      </c>
      <c r="C14" s="91"/>
      <c r="D14" s="91">
        <v>190</v>
      </c>
      <c r="E14" s="91">
        <f>SUM(E7:E13)</f>
        <v>86</v>
      </c>
      <c r="F14" s="91">
        <f t="shared" si="0"/>
        <v>-104</v>
      </c>
      <c r="G14" s="102">
        <f t="shared" si="1"/>
        <v>0.45263157894736844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E4D8-49A8-47D5-BA94-21952E7ECE09}">
  <dimension ref="A1:M33"/>
  <sheetViews>
    <sheetView topLeftCell="A4" workbookViewId="0">
      <selection activeCell="C4" sqref="C4:G4"/>
    </sheetView>
  </sheetViews>
  <sheetFormatPr defaultRowHeight="14.5" x14ac:dyDescent="0.35"/>
  <cols>
    <col min="1" max="1" width="3.7265625" customWidth="1"/>
    <col min="2" max="2" width="28.453125" customWidth="1"/>
    <col min="3" max="3" width="6.08984375" customWidth="1"/>
    <col min="7" max="7" width="8.7265625" style="16"/>
    <col min="9" max="9" width="4.90625" customWidth="1"/>
    <col min="10" max="10" width="20.453125" customWidth="1"/>
    <col min="11" max="12" width="10.1796875" customWidth="1"/>
    <col min="13" max="13" width="8.7265625" style="16"/>
  </cols>
  <sheetData>
    <row r="1" spans="1:13" x14ac:dyDescent="0.35">
      <c r="A1" s="4"/>
      <c r="B1" s="5" t="s">
        <v>7</v>
      </c>
      <c r="F1" s="4"/>
      <c r="G1" s="6"/>
    </row>
    <row r="2" spans="1:13" x14ac:dyDescent="0.35">
      <c r="A2" s="4"/>
      <c r="B2" s="5" t="s">
        <v>8</v>
      </c>
      <c r="F2" s="4"/>
      <c r="G2" s="6"/>
    </row>
    <row r="3" spans="1:13" x14ac:dyDescent="0.35">
      <c r="A3" s="4"/>
      <c r="F3" s="4"/>
      <c r="G3" s="6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1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3">
        <v>1</v>
      </c>
      <c r="J5" s="3" t="s">
        <v>43</v>
      </c>
      <c r="K5" s="14">
        <v>190</v>
      </c>
      <c r="L5" s="14">
        <v>82</v>
      </c>
      <c r="M5" s="17">
        <f>L5/K5*100%</f>
        <v>0.43157894736842106</v>
      </c>
    </row>
    <row r="6" spans="1:13" x14ac:dyDescent="0.35">
      <c r="A6" s="78"/>
      <c r="B6" s="79"/>
      <c r="C6" s="81"/>
      <c r="D6" s="81"/>
      <c r="E6" s="81"/>
      <c r="F6" s="81"/>
      <c r="G6" s="83"/>
      <c r="I6" s="3">
        <v>2</v>
      </c>
      <c r="J6" s="3" t="s">
        <v>44</v>
      </c>
      <c r="K6" s="14">
        <v>150</v>
      </c>
      <c r="L6" s="14">
        <v>75</v>
      </c>
      <c r="M6" s="17">
        <f t="shared" ref="M6:M8" si="0">L6/K6*100%</f>
        <v>0.5</v>
      </c>
    </row>
    <row r="7" spans="1:13" x14ac:dyDescent="0.35">
      <c r="A7" s="13">
        <v>1</v>
      </c>
      <c r="B7" s="9" t="s">
        <v>15</v>
      </c>
      <c r="C7" s="10" t="s">
        <v>16</v>
      </c>
      <c r="D7" s="10">
        <v>25</v>
      </c>
      <c r="E7" s="10">
        <v>0</v>
      </c>
      <c r="F7" s="13">
        <f>E7-D7</f>
        <v>-25</v>
      </c>
      <c r="G7" s="15">
        <f>E7/D7*100%</f>
        <v>0</v>
      </c>
      <c r="I7" s="3">
        <v>3</v>
      </c>
      <c r="J7" s="3" t="s">
        <v>45</v>
      </c>
      <c r="K7" s="14">
        <v>150</v>
      </c>
      <c r="L7" s="14">
        <v>96</v>
      </c>
      <c r="M7" s="17">
        <f t="shared" si="0"/>
        <v>0.64</v>
      </c>
    </row>
    <row r="8" spans="1:13" x14ac:dyDescent="0.35">
      <c r="A8" s="13">
        <v>2</v>
      </c>
      <c r="B8" s="8" t="s">
        <v>17</v>
      </c>
      <c r="C8" s="10" t="s">
        <v>18</v>
      </c>
      <c r="D8" s="10">
        <v>25</v>
      </c>
      <c r="E8" s="10">
        <v>10</v>
      </c>
      <c r="F8" s="13">
        <f t="shared" ref="F8:F32" si="1">E8-D8</f>
        <v>-15</v>
      </c>
      <c r="G8" s="15">
        <f t="shared" ref="G8:G33" si="2">E8/D8*100%</f>
        <v>0.4</v>
      </c>
      <c r="I8" s="3">
        <v>4</v>
      </c>
      <c r="J8" s="3" t="s">
        <v>46</v>
      </c>
      <c r="K8" s="14">
        <v>150</v>
      </c>
      <c r="L8" s="14">
        <v>50</v>
      </c>
      <c r="M8" s="17">
        <f t="shared" si="0"/>
        <v>0.33333333333333331</v>
      </c>
    </row>
    <row r="9" spans="1:13" x14ac:dyDescent="0.35">
      <c r="A9" s="13">
        <v>3</v>
      </c>
      <c r="B9" s="8" t="s">
        <v>19</v>
      </c>
      <c r="C9" s="11" t="s">
        <v>18</v>
      </c>
      <c r="D9" s="10">
        <v>25</v>
      </c>
      <c r="E9" s="10">
        <v>26</v>
      </c>
      <c r="F9" s="13">
        <f t="shared" si="1"/>
        <v>1</v>
      </c>
      <c r="G9" s="15">
        <f t="shared" si="2"/>
        <v>1.04</v>
      </c>
      <c r="K9">
        <f>SUM(K5:K8)</f>
        <v>640</v>
      </c>
    </row>
    <row r="10" spans="1:13" x14ac:dyDescent="0.35">
      <c r="A10" s="13">
        <v>4</v>
      </c>
      <c r="B10" s="9" t="s">
        <v>20</v>
      </c>
      <c r="C10" s="10" t="s">
        <v>18</v>
      </c>
      <c r="D10" s="10">
        <v>25</v>
      </c>
      <c r="E10" s="10">
        <v>8</v>
      </c>
      <c r="F10" s="13">
        <f t="shared" si="1"/>
        <v>-17</v>
      </c>
      <c r="G10" s="15">
        <f t="shared" si="2"/>
        <v>0.32</v>
      </c>
    </row>
    <row r="11" spans="1:13" x14ac:dyDescent="0.35">
      <c r="A11" s="13">
        <v>5</v>
      </c>
      <c r="B11" s="8" t="s">
        <v>21</v>
      </c>
      <c r="C11" s="11" t="s">
        <v>18</v>
      </c>
      <c r="D11" s="11">
        <v>25</v>
      </c>
      <c r="E11" s="10">
        <v>25</v>
      </c>
      <c r="F11" s="13">
        <f t="shared" si="1"/>
        <v>0</v>
      </c>
      <c r="G11" s="15">
        <f t="shared" si="2"/>
        <v>1</v>
      </c>
    </row>
    <row r="12" spans="1:13" x14ac:dyDescent="0.35">
      <c r="A12" s="13">
        <v>6</v>
      </c>
      <c r="B12" s="8" t="s">
        <v>22</v>
      </c>
      <c r="C12" s="10" t="s">
        <v>18</v>
      </c>
      <c r="D12" s="10">
        <v>25</v>
      </c>
      <c r="E12" s="10">
        <v>12</v>
      </c>
      <c r="F12" s="13">
        <f t="shared" si="1"/>
        <v>-13</v>
      </c>
      <c r="G12" s="15">
        <f t="shared" si="2"/>
        <v>0.48</v>
      </c>
    </row>
    <row r="13" spans="1:13" x14ac:dyDescent="0.35">
      <c r="A13" s="13">
        <v>7</v>
      </c>
      <c r="B13" s="8" t="s">
        <v>23</v>
      </c>
      <c r="C13" s="11" t="s">
        <v>18</v>
      </c>
      <c r="D13" s="11">
        <v>25</v>
      </c>
      <c r="E13" s="10">
        <v>0</v>
      </c>
      <c r="F13" s="13">
        <f t="shared" si="1"/>
        <v>-25</v>
      </c>
      <c r="G13" s="15">
        <f t="shared" si="2"/>
        <v>0</v>
      </c>
    </row>
    <row r="14" spans="1:13" x14ac:dyDescent="0.35">
      <c r="A14" s="13">
        <v>8</v>
      </c>
      <c r="B14" s="8" t="s">
        <v>24</v>
      </c>
      <c r="C14" s="11" t="s">
        <v>18</v>
      </c>
      <c r="D14" s="11">
        <v>25</v>
      </c>
      <c r="E14" s="10">
        <v>1</v>
      </c>
      <c r="F14" s="13">
        <f t="shared" si="1"/>
        <v>-24</v>
      </c>
      <c r="G14" s="15">
        <f t="shared" si="2"/>
        <v>0.04</v>
      </c>
    </row>
    <row r="15" spans="1:13" x14ac:dyDescent="0.35">
      <c r="A15" s="13">
        <v>9</v>
      </c>
      <c r="B15" s="8" t="s">
        <v>25</v>
      </c>
      <c r="C15" s="10" t="s">
        <v>16</v>
      </c>
      <c r="D15" s="10">
        <v>25</v>
      </c>
      <c r="E15" s="10">
        <v>4</v>
      </c>
      <c r="F15" s="13">
        <f t="shared" si="1"/>
        <v>-21</v>
      </c>
      <c r="G15" s="15">
        <f t="shared" si="2"/>
        <v>0.16</v>
      </c>
    </row>
    <row r="16" spans="1:13" x14ac:dyDescent="0.35">
      <c r="A16" s="13">
        <v>10</v>
      </c>
      <c r="B16" s="9" t="s">
        <v>26</v>
      </c>
      <c r="C16" s="10" t="s">
        <v>18</v>
      </c>
      <c r="D16" s="10">
        <v>25</v>
      </c>
      <c r="E16" s="10">
        <v>17</v>
      </c>
      <c r="F16" s="13">
        <f t="shared" si="1"/>
        <v>-8</v>
      </c>
      <c r="G16" s="15">
        <f t="shared" si="2"/>
        <v>0.68</v>
      </c>
    </row>
    <row r="17" spans="1:7" x14ac:dyDescent="0.35">
      <c r="A17" s="13">
        <v>11</v>
      </c>
      <c r="B17" s="9" t="s">
        <v>27</v>
      </c>
      <c r="C17" s="10" t="s">
        <v>18</v>
      </c>
      <c r="D17" s="10">
        <v>25</v>
      </c>
      <c r="E17" s="10">
        <v>7</v>
      </c>
      <c r="F17" s="13">
        <f t="shared" si="1"/>
        <v>-18</v>
      </c>
      <c r="G17" s="15">
        <f t="shared" si="2"/>
        <v>0.28000000000000003</v>
      </c>
    </row>
    <row r="18" spans="1:7" x14ac:dyDescent="0.35">
      <c r="A18" s="13">
        <v>12</v>
      </c>
      <c r="B18" s="8" t="s">
        <v>28</v>
      </c>
      <c r="C18" s="10" t="s">
        <v>18</v>
      </c>
      <c r="D18" s="10">
        <v>25</v>
      </c>
      <c r="E18" s="10">
        <v>22</v>
      </c>
      <c r="F18" s="13">
        <f t="shared" si="1"/>
        <v>-3</v>
      </c>
      <c r="G18" s="15">
        <f t="shared" si="2"/>
        <v>0.88</v>
      </c>
    </row>
    <row r="19" spans="1:7" x14ac:dyDescent="0.35">
      <c r="A19" s="13">
        <v>13</v>
      </c>
      <c r="B19" s="9" t="s">
        <v>29</v>
      </c>
      <c r="C19" s="10" t="s">
        <v>18</v>
      </c>
      <c r="D19" s="10">
        <v>25</v>
      </c>
      <c r="E19" s="10">
        <v>19</v>
      </c>
      <c r="F19" s="13">
        <f t="shared" si="1"/>
        <v>-6</v>
      </c>
      <c r="G19" s="15">
        <f t="shared" si="2"/>
        <v>0.76</v>
      </c>
    </row>
    <row r="20" spans="1:7" x14ac:dyDescent="0.35">
      <c r="A20" s="13">
        <v>14</v>
      </c>
      <c r="B20" s="9" t="s">
        <v>30</v>
      </c>
      <c r="C20" s="10" t="s">
        <v>18</v>
      </c>
      <c r="D20" s="10">
        <v>25</v>
      </c>
      <c r="E20" s="10">
        <v>6</v>
      </c>
      <c r="F20" s="13">
        <f t="shared" si="1"/>
        <v>-19</v>
      </c>
      <c r="G20" s="15">
        <f t="shared" si="2"/>
        <v>0.24</v>
      </c>
    </row>
    <row r="21" spans="1:7" x14ac:dyDescent="0.35">
      <c r="A21" s="13">
        <v>15</v>
      </c>
      <c r="B21" s="8" t="s">
        <v>31</v>
      </c>
      <c r="C21" s="11" t="s">
        <v>16</v>
      </c>
      <c r="D21" s="11">
        <v>25</v>
      </c>
      <c r="E21" s="10">
        <v>1</v>
      </c>
      <c r="F21" s="13">
        <f t="shared" si="1"/>
        <v>-24</v>
      </c>
      <c r="G21" s="15">
        <f t="shared" si="2"/>
        <v>0.04</v>
      </c>
    </row>
    <row r="22" spans="1:7" x14ac:dyDescent="0.35">
      <c r="A22" s="13">
        <v>16</v>
      </c>
      <c r="B22" s="9" t="s">
        <v>32</v>
      </c>
      <c r="C22" s="10" t="s">
        <v>18</v>
      </c>
      <c r="D22" s="10">
        <v>25</v>
      </c>
      <c r="E22" s="10">
        <v>51</v>
      </c>
      <c r="F22" s="13">
        <f t="shared" si="1"/>
        <v>26</v>
      </c>
      <c r="G22" s="15">
        <f t="shared" si="2"/>
        <v>2.04</v>
      </c>
    </row>
    <row r="23" spans="1:7" x14ac:dyDescent="0.35">
      <c r="A23" s="13">
        <v>17</v>
      </c>
      <c r="B23" s="8" t="s">
        <v>33</v>
      </c>
      <c r="C23" s="10" t="s">
        <v>18</v>
      </c>
      <c r="D23" s="10">
        <v>25</v>
      </c>
      <c r="E23" s="10">
        <v>17</v>
      </c>
      <c r="F23" s="13">
        <f t="shared" si="1"/>
        <v>-8</v>
      </c>
      <c r="G23" s="15">
        <f t="shared" si="2"/>
        <v>0.68</v>
      </c>
    </row>
    <row r="24" spans="1:7" x14ac:dyDescent="0.35">
      <c r="A24" s="13">
        <v>18</v>
      </c>
      <c r="B24" s="8" t="s">
        <v>34</v>
      </c>
      <c r="C24" s="11" t="s">
        <v>18</v>
      </c>
      <c r="D24" s="11">
        <v>25</v>
      </c>
      <c r="E24" s="10">
        <v>7</v>
      </c>
      <c r="F24" s="13">
        <f t="shared" si="1"/>
        <v>-18</v>
      </c>
      <c r="G24" s="15">
        <f t="shared" si="2"/>
        <v>0.28000000000000003</v>
      </c>
    </row>
    <row r="25" spans="1:7" x14ac:dyDescent="0.35">
      <c r="A25" s="13">
        <v>19</v>
      </c>
      <c r="B25" s="8" t="s">
        <v>35</v>
      </c>
      <c r="C25" s="11" t="s">
        <v>18</v>
      </c>
      <c r="D25" s="11">
        <v>25</v>
      </c>
      <c r="E25" s="10">
        <v>12</v>
      </c>
      <c r="F25" s="13">
        <f t="shared" si="1"/>
        <v>-13</v>
      </c>
      <c r="G25" s="15">
        <f t="shared" si="2"/>
        <v>0.48</v>
      </c>
    </row>
    <row r="26" spans="1:7" x14ac:dyDescent="0.35">
      <c r="A26" s="13">
        <v>20</v>
      </c>
      <c r="B26" s="8" t="s">
        <v>36</v>
      </c>
      <c r="C26" s="10" t="s">
        <v>18</v>
      </c>
      <c r="D26" s="10">
        <v>25</v>
      </c>
      <c r="E26" s="10">
        <v>8</v>
      </c>
      <c r="F26" s="13">
        <f t="shared" si="1"/>
        <v>-17</v>
      </c>
      <c r="G26" s="15">
        <f t="shared" si="2"/>
        <v>0.32</v>
      </c>
    </row>
    <row r="27" spans="1:7" x14ac:dyDescent="0.35">
      <c r="A27" s="13">
        <v>21</v>
      </c>
      <c r="B27" s="8" t="s">
        <v>37</v>
      </c>
      <c r="C27" s="11" t="s">
        <v>16</v>
      </c>
      <c r="D27" s="11">
        <v>25</v>
      </c>
      <c r="E27" s="10">
        <v>1</v>
      </c>
      <c r="F27" s="13">
        <f t="shared" si="1"/>
        <v>-24</v>
      </c>
      <c r="G27" s="15">
        <f t="shared" si="2"/>
        <v>0.04</v>
      </c>
    </row>
    <row r="28" spans="1:7" x14ac:dyDescent="0.35">
      <c r="A28" s="13">
        <v>22</v>
      </c>
      <c r="B28" s="9" t="s">
        <v>38</v>
      </c>
      <c r="C28" s="10" t="s">
        <v>18</v>
      </c>
      <c r="D28" s="10">
        <v>25</v>
      </c>
      <c r="E28" s="10">
        <v>15</v>
      </c>
      <c r="F28" s="13">
        <f t="shared" si="1"/>
        <v>-10</v>
      </c>
      <c r="G28" s="15">
        <f t="shared" si="2"/>
        <v>0.6</v>
      </c>
    </row>
    <row r="29" spans="1:7" x14ac:dyDescent="0.35">
      <c r="A29" s="13">
        <v>23</v>
      </c>
      <c r="B29" s="8" t="s">
        <v>39</v>
      </c>
      <c r="C29" s="10" t="s">
        <v>18</v>
      </c>
      <c r="D29" s="10">
        <v>25</v>
      </c>
      <c r="E29" s="10">
        <v>6</v>
      </c>
      <c r="F29" s="13">
        <f t="shared" si="1"/>
        <v>-19</v>
      </c>
      <c r="G29" s="15">
        <f t="shared" si="2"/>
        <v>0.24</v>
      </c>
    </row>
    <row r="30" spans="1:7" x14ac:dyDescent="0.35">
      <c r="A30" s="13">
        <v>24</v>
      </c>
      <c r="B30" s="8" t="s">
        <v>40</v>
      </c>
      <c r="C30" s="11" t="s">
        <v>18</v>
      </c>
      <c r="D30" s="11">
        <v>25</v>
      </c>
      <c r="E30" s="10">
        <v>0</v>
      </c>
      <c r="F30" s="13">
        <f t="shared" si="1"/>
        <v>-25</v>
      </c>
      <c r="G30" s="15">
        <f t="shared" si="2"/>
        <v>0</v>
      </c>
    </row>
    <row r="31" spans="1:7" x14ac:dyDescent="0.35">
      <c r="A31" s="13">
        <v>25</v>
      </c>
      <c r="B31" s="8" t="s">
        <v>41</v>
      </c>
      <c r="C31" s="10" t="s">
        <v>18</v>
      </c>
      <c r="D31" s="10">
        <v>25</v>
      </c>
      <c r="E31" s="10">
        <v>18</v>
      </c>
      <c r="F31" s="13">
        <f t="shared" si="1"/>
        <v>-7</v>
      </c>
      <c r="G31" s="15">
        <f t="shared" si="2"/>
        <v>0.72</v>
      </c>
    </row>
    <row r="32" spans="1:7" x14ac:dyDescent="0.35">
      <c r="A32" s="13">
        <v>26</v>
      </c>
      <c r="B32" s="9" t="s">
        <v>42</v>
      </c>
      <c r="C32" s="10" t="s">
        <v>18</v>
      </c>
      <c r="D32" s="10">
        <v>25</v>
      </c>
      <c r="E32" s="10">
        <v>10</v>
      </c>
      <c r="F32" s="13">
        <f t="shared" si="1"/>
        <v>-15</v>
      </c>
      <c r="G32" s="15">
        <f t="shared" si="2"/>
        <v>0.4</v>
      </c>
    </row>
    <row r="33" spans="1:7" x14ac:dyDescent="0.35">
      <c r="A33" s="13"/>
      <c r="B33" s="13" t="s">
        <v>47</v>
      </c>
      <c r="C33" s="13"/>
      <c r="D33" s="13">
        <v>640</v>
      </c>
      <c r="E33" s="13">
        <f>SUM(E7:E32)</f>
        <v>303</v>
      </c>
      <c r="F33" s="13"/>
      <c r="G33" s="15">
        <f t="shared" si="2"/>
        <v>0.47343750000000001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8609-28B1-4976-A7B5-FF5ABD89F98B}">
  <dimension ref="A1:G7"/>
  <sheetViews>
    <sheetView workbookViewId="0">
      <selection activeCell="C4" sqref="C4:G4"/>
    </sheetView>
  </sheetViews>
  <sheetFormatPr defaultRowHeight="14.5" x14ac:dyDescent="0.35"/>
  <cols>
    <col min="1" max="1" width="4.54296875" customWidth="1"/>
    <col min="2" max="2" width="35.453125" customWidth="1"/>
    <col min="7" max="7" width="8.7265625" style="16"/>
  </cols>
  <sheetData>
    <row r="1" spans="1:7" x14ac:dyDescent="0.35">
      <c r="A1" s="167"/>
      <c r="B1" s="5" t="s">
        <v>7</v>
      </c>
      <c r="C1" s="167"/>
      <c r="D1" s="167"/>
      <c r="E1" s="167"/>
      <c r="F1" s="167"/>
    </row>
    <row r="2" spans="1:7" x14ac:dyDescent="0.35">
      <c r="A2" s="167"/>
      <c r="B2" s="5" t="s">
        <v>231</v>
      </c>
      <c r="C2" s="167"/>
      <c r="D2" s="167"/>
      <c r="E2" s="167"/>
      <c r="F2" s="167"/>
    </row>
    <row r="3" spans="1:7" x14ac:dyDescent="0.35">
      <c r="A3" s="167"/>
      <c r="B3" s="5" t="s">
        <v>504</v>
      </c>
      <c r="C3" s="167"/>
      <c r="D3" s="167"/>
      <c r="E3" s="167"/>
      <c r="F3" s="167"/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</row>
    <row r="6" spans="1:7" x14ac:dyDescent="0.35">
      <c r="A6" s="84"/>
      <c r="B6" s="85"/>
      <c r="C6" s="88"/>
      <c r="D6" s="88"/>
      <c r="E6" s="88"/>
      <c r="F6" s="88"/>
      <c r="G6" s="128"/>
    </row>
    <row r="7" spans="1:7" x14ac:dyDescent="0.35">
      <c r="A7" s="183">
        <v>1</v>
      </c>
      <c r="B7" s="182" t="s">
        <v>565</v>
      </c>
      <c r="C7" s="176" t="s">
        <v>16</v>
      </c>
      <c r="D7" s="176">
        <v>150</v>
      </c>
      <c r="E7" s="176">
        <v>4</v>
      </c>
      <c r="F7" s="90">
        <f>E7-D7</f>
        <v>-146</v>
      </c>
      <c r="G7" s="159">
        <f>E7/D7*100%</f>
        <v>2.6666666666666668E-2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E099-5A14-4C81-8AF7-8A6103B78453}">
  <dimension ref="A1:M20"/>
  <sheetViews>
    <sheetView workbookViewId="0">
      <selection activeCell="C3" sqref="C3:G3"/>
    </sheetView>
  </sheetViews>
  <sheetFormatPr defaultRowHeight="14.5" x14ac:dyDescent="0.35"/>
  <cols>
    <col min="1" max="1" width="4.6328125" customWidth="1"/>
    <col min="2" max="2" width="31.7265625" customWidth="1"/>
    <col min="7" max="7" width="8.7265625" style="16"/>
    <col min="9" max="9" width="4.26953125" customWidth="1"/>
    <col min="10" max="10" width="19.7265625" customWidth="1"/>
  </cols>
  <sheetData>
    <row r="1" spans="1:13" x14ac:dyDescent="0.35">
      <c r="A1" s="146"/>
      <c r="B1" s="5" t="s">
        <v>7</v>
      </c>
      <c r="C1" s="146"/>
      <c r="D1" s="146"/>
      <c r="E1" s="146"/>
      <c r="F1" s="146"/>
    </row>
    <row r="2" spans="1:13" x14ac:dyDescent="0.35">
      <c r="A2" s="146"/>
      <c r="B2" s="5" t="s">
        <v>183</v>
      </c>
      <c r="C2" s="146"/>
      <c r="D2" s="146"/>
      <c r="E2" s="146"/>
      <c r="F2" s="146"/>
    </row>
    <row r="3" spans="1:13" x14ac:dyDescent="0.35">
      <c r="A3" s="78" t="s">
        <v>9</v>
      </c>
      <c r="B3" s="79" t="s">
        <v>10</v>
      </c>
      <c r="C3" s="86" t="s">
        <v>930</v>
      </c>
      <c r="D3" s="87"/>
      <c r="E3" s="87"/>
      <c r="F3" s="87"/>
      <c r="G3" s="87"/>
      <c r="I3" s="27" t="s">
        <v>0</v>
      </c>
      <c r="J3" s="1" t="s">
        <v>2</v>
      </c>
      <c r="K3" s="1" t="s">
        <v>4</v>
      </c>
      <c r="L3" s="1" t="s">
        <v>5</v>
      </c>
      <c r="M3" s="2" t="s">
        <v>6</v>
      </c>
    </row>
    <row r="4" spans="1:13" x14ac:dyDescent="0.35">
      <c r="A4" s="78"/>
      <c r="B4" s="79"/>
      <c r="C4" s="80" t="s">
        <v>11</v>
      </c>
      <c r="D4" s="80" t="s">
        <v>12</v>
      </c>
      <c r="E4" s="80" t="s">
        <v>13</v>
      </c>
      <c r="F4" s="80" t="s">
        <v>14</v>
      </c>
      <c r="G4" s="100" t="s">
        <v>6</v>
      </c>
      <c r="I4" s="18">
        <v>1</v>
      </c>
      <c r="J4" s="18" t="s">
        <v>499</v>
      </c>
      <c r="K4" s="18">
        <v>150</v>
      </c>
      <c r="L4" s="18">
        <v>44</v>
      </c>
      <c r="M4" s="29">
        <f>L4/K4*100%</f>
        <v>0.29333333333333333</v>
      </c>
    </row>
    <row r="5" spans="1:13" x14ac:dyDescent="0.35">
      <c r="A5" s="84"/>
      <c r="B5" s="85"/>
      <c r="C5" s="88"/>
      <c r="D5" s="88"/>
      <c r="E5" s="88"/>
      <c r="F5" s="88"/>
      <c r="G5" s="128"/>
      <c r="I5" s="18">
        <v>2</v>
      </c>
      <c r="J5" s="18" t="s">
        <v>500</v>
      </c>
      <c r="K5" s="18">
        <v>230</v>
      </c>
      <c r="L5" s="18">
        <v>96</v>
      </c>
      <c r="M5" s="29">
        <f>L5/K5*100%</f>
        <v>0.41739130434782606</v>
      </c>
    </row>
    <row r="6" spans="1:13" x14ac:dyDescent="0.35">
      <c r="A6" s="90">
        <v>1</v>
      </c>
      <c r="B6" s="153" t="s">
        <v>485</v>
      </c>
      <c r="C6" s="150" t="s">
        <v>16</v>
      </c>
      <c r="D6" s="150">
        <v>35</v>
      </c>
      <c r="E6" s="150">
        <v>5</v>
      </c>
      <c r="F6" s="90">
        <f>E6-D6</f>
        <v>-30</v>
      </c>
      <c r="G6" s="159">
        <f>E6/D6*100%</f>
        <v>0.14285714285714285</v>
      </c>
    </row>
    <row r="7" spans="1:13" x14ac:dyDescent="0.35">
      <c r="A7" s="90">
        <v>2</v>
      </c>
      <c r="B7" s="154" t="s">
        <v>486</v>
      </c>
      <c r="C7" s="36" t="s">
        <v>18</v>
      </c>
      <c r="D7" s="150">
        <v>25</v>
      </c>
      <c r="E7" s="150">
        <v>18</v>
      </c>
      <c r="F7" s="90">
        <f t="shared" ref="F7:F20" si="0">E7-D7</f>
        <v>-7</v>
      </c>
      <c r="G7" s="159">
        <f t="shared" ref="G7:G20" si="1">E7/D7*100%</f>
        <v>0.72</v>
      </c>
    </row>
    <row r="8" spans="1:13" x14ac:dyDescent="0.35">
      <c r="A8" s="90">
        <v>3</v>
      </c>
      <c r="B8" s="154" t="s">
        <v>487</v>
      </c>
      <c r="C8" s="36" t="s">
        <v>18</v>
      </c>
      <c r="D8" s="150">
        <v>25</v>
      </c>
      <c r="E8" s="150">
        <v>11</v>
      </c>
      <c r="F8" s="90">
        <f t="shared" si="0"/>
        <v>-14</v>
      </c>
      <c r="G8" s="159">
        <f t="shared" si="1"/>
        <v>0.44</v>
      </c>
    </row>
    <row r="9" spans="1:13" x14ac:dyDescent="0.35">
      <c r="A9" s="90">
        <v>4</v>
      </c>
      <c r="B9" s="154" t="s">
        <v>488</v>
      </c>
      <c r="C9" s="36" t="s">
        <v>18</v>
      </c>
      <c r="D9" s="150">
        <v>25</v>
      </c>
      <c r="E9" s="150">
        <v>4</v>
      </c>
      <c r="F9" s="90">
        <f t="shared" si="0"/>
        <v>-21</v>
      </c>
      <c r="G9" s="159">
        <f t="shared" si="1"/>
        <v>0.16</v>
      </c>
    </row>
    <row r="10" spans="1:13" x14ac:dyDescent="0.35">
      <c r="A10" s="90">
        <v>5</v>
      </c>
      <c r="B10" s="154" t="s">
        <v>489</v>
      </c>
      <c r="C10" s="36" t="s">
        <v>18</v>
      </c>
      <c r="D10" s="150">
        <v>25</v>
      </c>
      <c r="E10" s="150">
        <v>6</v>
      </c>
      <c r="F10" s="90">
        <f t="shared" si="0"/>
        <v>-19</v>
      </c>
      <c r="G10" s="159">
        <f t="shared" si="1"/>
        <v>0.24</v>
      </c>
    </row>
    <row r="11" spans="1:13" x14ac:dyDescent="0.35">
      <c r="A11" s="90">
        <v>6</v>
      </c>
      <c r="B11" s="155" t="s">
        <v>490</v>
      </c>
      <c r="C11" s="150" t="s">
        <v>16</v>
      </c>
      <c r="D11" s="150">
        <v>35</v>
      </c>
      <c r="E11" s="150">
        <v>0</v>
      </c>
      <c r="F11" s="90">
        <f t="shared" si="0"/>
        <v>-35</v>
      </c>
      <c r="G11" s="159">
        <f t="shared" si="1"/>
        <v>0</v>
      </c>
    </row>
    <row r="12" spans="1:13" x14ac:dyDescent="0.35">
      <c r="A12" s="90">
        <v>7</v>
      </c>
      <c r="B12" s="155" t="s">
        <v>491</v>
      </c>
      <c r="C12" s="36" t="s">
        <v>18</v>
      </c>
      <c r="D12" s="150">
        <v>25</v>
      </c>
      <c r="E12" s="150">
        <v>10</v>
      </c>
      <c r="F12" s="90">
        <f t="shared" si="0"/>
        <v>-15</v>
      </c>
      <c r="G12" s="159">
        <f t="shared" si="1"/>
        <v>0.4</v>
      </c>
    </row>
    <row r="13" spans="1:13" x14ac:dyDescent="0.35">
      <c r="A13" s="90">
        <v>8</v>
      </c>
      <c r="B13" s="156" t="s">
        <v>492</v>
      </c>
      <c r="C13" s="36" t="s">
        <v>18</v>
      </c>
      <c r="D13" s="150">
        <v>25</v>
      </c>
      <c r="E13" s="150">
        <v>6</v>
      </c>
      <c r="F13" s="90">
        <f t="shared" si="0"/>
        <v>-19</v>
      </c>
      <c r="G13" s="159">
        <f t="shared" si="1"/>
        <v>0.24</v>
      </c>
    </row>
    <row r="14" spans="1:13" x14ac:dyDescent="0.35">
      <c r="A14" s="90">
        <v>9</v>
      </c>
      <c r="B14" s="157" t="s">
        <v>493</v>
      </c>
      <c r="C14" s="36" t="s">
        <v>18</v>
      </c>
      <c r="D14" s="150">
        <v>25</v>
      </c>
      <c r="E14" s="150">
        <v>15</v>
      </c>
      <c r="F14" s="90">
        <f t="shared" si="0"/>
        <v>-10</v>
      </c>
      <c r="G14" s="159">
        <f t="shared" si="1"/>
        <v>0.6</v>
      </c>
    </row>
    <row r="15" spans="1:13" x14ac:dyDescent="0.35">
      <c r="A15" s="90">
        <v>10</v>
      </c>
      <c r="B15" s="157" t="s">
        <v>494</v>
      </c>
      <c r="C15" s="36" t="s">
        <v>18</v>
      </c>
      <c r="D15" s="150">
        <v>25</v>
      </c>
      <c r="E15" s="150">
        <v>11</v>
      </c>
      <c r="F15" s="90">
        <f t="shared" si="0"/>
        <v>-14</v>
      </c>
      <c r="G15" s="159">
        <f t="shared" si="1"/>
        <v>0.44</v>
      </c>
    </row>
    <row r="16" spans="1:13" x14ac:dyDescent="0.35">
      <c r="A16" s="90">
        <v>11</v>
      </c>
      <c r="B16" s="157" t="s">
        <v>495</v>
      </c>
      <c r="C16" s="36" t="s">
        <v>18</v>
      </c>
      <c r="D16" s="150">
        <v>25</v>
      </c>
      <c r="E16" s="150">
        <v>4</v>
      </c>
      <c r="F16" s="90">
        <f t="shared" si="0"/>
        <v>-21</v>
      </c>
      <c r="G16" s="159">
        <f t="shared" si="1"/>
        <v>0.16</v>
      </c>
    </row>
    <row r="17" spans="1:7" x14ac:dyDescent="0.35">
      <c r="A17" s="90">
        <v>12</v>
      </c>
      <c r="B17" s="155" t="s">
        <v>496</v>
      </c>
      <c r="C17" s="36" t="s">
        <v>18</v>
      </c>
      <c r="D17" s="150">
        <v>25</v>
      </c>
      <c r="E17" s="150">
        <v>21</v>
      </c>
      <c r="F17" s="90">
        <f t="shared" si="0"/>
        <v>-4</v>
      </c>
      <c r="G17" s="159">
        <f t="shared" si="1"/>
        <v>0.84</v>
      </c>
    </row>
    <row r="18" spans="1:7" x14ac:dyDescent="0.35">
      <c r="A18" s="90">
        <v>13</v>
      </c>
      <c r="B18" s="156" t="s">
        <v>497</v>
      </c>
      <c r="C18" s="36" t="s">
        <v>18</v>
      </c>
      <c r="D18" s="150">
        <v>25</v>
      </c>
      <c r="E18" s="150">
        <v>28</v>
      </c>
      <c r="F18" s="90">
        <f t="shared" si="0"/>
        <v>3</v>
      </c>
      <c r="G18" s="159">
        <f t="shared" si="1"/>
        <v>1.1200000000000001</v>
      </c>
    </row>
    <row r="19" spans="1:7" x14ac:dyDescent="0.35">
      <c r="A19" s="90">
        <v>14</v>
      </c>
      <c r="B19" s="158" t="s">
        <v>498</v>
      </c>
      <c r="C19" s="36" t="s">
        <v>18</v>
      </c>
      <c r="D19" s="150">
        <v>25</v>
      </c>
      <c r="E19" s="150">
        <v>1</v>
      </c>
      <c r="F19" s="90">
        <f t="shared" si="0"/>
        <v>-24</v>
      </c>
      <c r="G19" s="159">
        <f t="shared" si="1"/>
        <v>0.04</v>
      </c>
    </row>
    <row r="20" spans="1:7" x14ac:dyDescent="0.35">
      <c r="A20" s="90"/>
      <c r="B20" s="90" t="s">
        <v>47</v>
      </c>
      <c r="C20" s="90"/>
      <c r="D20" s="90">
        <v>380</v>
      </c>
      <c r="E20" s="90">
        <f>SUM(E6:E19)</f>
        <v>140</v>
      </c>
      <c r="F20" s="90">
        <f t="shared" si="0"/>
        <v>-240</v>
      </c>
      <c r="G20" s="159">
        <f t="shared" si="1"/>
        <v>0.36842105263157893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2752-8633-47AC-93DC-7D37126FE5EA}">
  <dimension ref="A1:G9"/>
  <sheetViews>
    <sheetView workbookViewId="0">
      <selection activeCell="C3" sqref="C3:G3"/>
    </sheetView>
  </sheetViews>
  <sheetFormatPr defaultRowHeight="14.5" x14ac:dyDescent="0.35"/>
  <cols>
    <col min="1" max="1" width="4.1796875" customWidth="1"/>
    <col min="2" max="2" width="41" customWidth="1"/>
    <col min="7" max="7" width="8.7265625" style="16"/>
  </cols>
  <sheetData>
    <row r="1" spans="1:7" x14ac:dyDescent="0.35">
      <c r="A1" s="146"/>
      <c r="B1" s="5" t="s">
        <v>7</v>
      </c>
      <c r="C1" s="146"/>
      <c r="D1" s="146"/>
      <c r="E1" s="146"/>
      <c r="F1" s="146"/>
    </row>
    <row r="2" spans="1:7" x14ac:dyDescent="0.35">
      <c r="A2" s="146"/>
      <c r="B2" s="5" t="s">
        <v>183</v>
      </c>
      <c r="C2" s="146"/>
      <c r="D2" s="146"/>
      <c r="E2" s="146"/>
      <c r="F2" s="146"/>
    </row>
    <row r="3" spans="1:7" x14ac:dyDescent="0.35">
      <c r="A3" s="78" t="s">
        <v>9</v>
      </c>
      <c r="B3" s="79" t="s">
        <v>10</v>
      </c>
      <c r="C3" s="86" t="s">
        <v>930</v>
      </c>
      <c r="D3" s="87"/>
      <c r="E3" s="87"/>
      <c r="F3" s="87"/>
      <c r="G3" s="87"/>
    </row>
    <row r="4" spans="1:7" x14ac:dyDescent="0.35">
      <c r="A4" s="78"/>
      <c r="B4" s="79"/>
      <c r="C4" s="80" t="s">
        <v>11</v>
      </c>
      <c r="D4" s="80" t="s">
        <v>12</v>
      </c>
      <c r="E4" s="80" t="s">
        <v>13</v>
      </c>
      <c r="F4" s="80" t="s">
        <v>14</v>
      </c>
      <c r="G4" s="100" t="s">
        <v>6</v>
      </c>
    </row>
    <row r="5" spans="1:7" x14ac:dyDescent="0.35">
      <c r="A5" s="84"/>
      <c r="B5" s="85"/>
      <c r="C5" s="88"/>
      <c r="D5" s="88"/>
      <c r="E5" s="88"/>
      <c r="F5" s="88"/>
      <c r="G5" s="128"/>
    </row>
    <row r="6" spans="1:7" x14ac:dyDescent="0.35">
      <c r="A6" s="91">
        <v>1</v>
      </c>
      <c r="B6" s="151" t="s">
        <v>482</v>
      </c>
      <c r="C6" s="126" t="s">
        <v>18</v>
      </c>
      <c r="D6" s="126">
        <v>25</v>
      </c>
      <c r="E6" s="126">
        <v>3</v>
      </c>
      <c r="F6" s="91">
        <f>E6-D6</f>
        <v>-22</v>
      </c>
      <c r="G6" s="102">
        <f>E6/D6*100%</f>
        <v>0.12</v>
      </c>
    </row>
    <row r="7" spans="1:7" x14ac:dyDescent="0.35">
      <c r="A7" s="91">
        <v>2</v>
      </c>
      <c r="B7" s="151" t="s">
        <v>483</v>
      </c>
      <c r="C7" s="73" t="s">
        <v>18</v>
      </c>
      <c r="D7" s="126">
        <v>25</v>
      </c>
      <c r="E7" s="126">
        <v>5</v>
      </c>
      <c r="F7" s="91">
        <f t="shared" ref="F7:F9" si="0">E7-D7</f>
        <v>-20</v>
      </c>
      <c r="G7" s="102">
        <f t="shared" ref="G7:G9" si="1">E7/D7*100%</f>
        <v>0.2</v>
      </c>
    </row>
    <row r="8" spans="1:7" x14ac:dyDescent="0.35">
      <c r="A8" s="91">
        <v>3</v>
      </c>
      <c r="B8" s="130" t="s">
        <v>484</v>
      </c>
      <c r="C8" s="73" t="s">
        <v>18</v>
      </c>
      <c r="D8" s="73">
        <v>25</v>
      </c>
      <c r="E8" s="126">
        <v>2</v>
      </c>
      <c r="F8" s="91">
        <f t="shared" si="0"/>
        <v>-23</v>
      </c>
      <c r="G8" s="102">
        <f t="shared" si="1"/>
        <v>0.08</v>
      </c>
    </row>
    <row r="9" spans="1:7" x14ac:dyDescent="0.35">
      <c r="A9" s="91"/>
      <c r="B9" s="91" t="s">
        <v>47</v>
      </c>
      <c r="C9" s="91"/>
      <c r="D9" s="91">
        <v>75</v>
      </c>
      <c r="E9" s="91">
        <f>SUM(E6:E8)</f>
        <v>10</v>
      </c>
      <c r="F9" s="91">
        <f t="shared" si="0"/>
        <v>-65</v>
      </c>
      <c r="G9" s="102">
        <f t="shared" si="1"/>
        <v>0.13333333333333333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3FA9-523E-4D98-94AA-56076B2F33D0}">
  <dimension ref="A1:G9"/>
  <sheetViews>
    <sheetView workbookViewId="0">
      <selection activeCell="C3" sqref="C3:G3"/>
    </sheetView>
  </sheetViews>
  <sheetFormatPr defaultRowHeight="14.5" x14ac:dyDescent="0.35"/>
  <cols>
    <col min="1" max="1" width="3.81640625" customWidth="1"/>
    <col min="2" max="2" width="32.90625" customWidth="1"/>
    <col min="7" max="7" width="8.7265625" style="16"/>
  </cols>
  <sheetData>
    <row r="1" spans="1:7" x14ac:dyDescent="0.35">
      <c r="A1" s="152"/>
      <c r="B1" s="5" t="s">
        <v>7</v>
      </c>
      <c r="C1" s="152"/>
      <c r="D1" s="152"/>
      <c r="E1" s="152"/>
      <c r="F1" s="152"/>
    </row>
    <row r="2" spans="1:7" x14ac:dyDescent="0.35">
      <c r="A2" s="152"/>
      <c r="B2" s="5" t="s">
        <v>183</v>
      </c>
      <c r="C2" s="152"/>
      <c r="D2" s="152"/>
      <c r="E2" s="152"/>
      <c r="F2" s="152"/>
    </row>
    <row r="3" spans="1:7" x14ac:dyDescent="0.35">
      <c r="A3" s="78" t="s">
        <v>9</v>
      </c>
      <c r="B3" s="79" t="s">
        <v>10</v>
      </c>
      <c r="C3" s="86" t="s">
        <v>930</v>
      </c>
      <c r="D3" s="87"/>
      <c r="E3" s="87"/>
      <c r="F3" s="87"/>
      <c r="G3" s="87"/>
    </row>
    <row r="4" spans="1:7" x14ac:dyDescent="0.35">
      <c r="A4" s="78"/>
      <c r="B4" s="79"/>
      <c r="C4" s="80" t="s">
        <v>11</v>
      </c>
      <c r="D4" s="80" t="s">
        <v>12</v>
      </c>
      <c r="E4" s="80" t="s">
        <v>13</v>
      </c>
      <c r="F4" s="80" t="s">
        <v>14</v>
      </c>
      <c r="G4" s="100" t="s">
        <v>6</v>
      </c>
    </row>
    <row r="5" spans="1:7" x14ac:dyDescent="0.35">
      <c r="A5" s="84"/>
      <c r="B5" s="85"/>
      <c r="C5" s="88"/>
      <c r="D5" s="88"/>
      <c r="E5" s="88"/>
      <c r="F5" s="88"/>
      <c r="G5" s="128"/>
    </row>
    <row r="6" spans="1:7" x14ac:dyDescent="0.35">
      <c r="A6" s="91">
        <v>1</v>
      </c>
      <c r="B6" s="162" t="s">
        <v>501</v>
      </c>
      <c r="C6" s="150" t="s">
        <v>16</v>
      </c>
      <c r="D6" s="150">
        <v>35</v>
      </c>
      <c r="E6" s="150">
        <v>1</v>
      </c>
      <c r="F6" s="91">
        <f>E6-D6</f>
        <v>-34</v>
      </c>
      <c r="G6" s="102">
        <f>E6/D6*100%</f>
        <v>2.8571428571428571E-2</v>
      </c>
    </row>
    <row r="7" spans="1:7" x14ac:dyDescent="0.35">
      <c r="A7" s="91">
        <v>2</v>
      </c>
      <c r="B7" s="162" t="s">
        <v>502</v>
      </c>
      <c r="C7" s="65" t="s">
        <v>18</v>
      </c>
      <c r="D7" s="150">
        <v>25</v>
      </c>
      <c r="E7" s="150">
        <v>1</v>
      </c>
      <c r="F7" s="91">
        <f t="shared" ref="F7:F9" si="0">E7-D7</f>
        <v>-24</v>
      </c>
      <c r="G7" s="102">
        <f t="shared" ref="G7:G9" si="1">E7/D7*100%</f>
        <v>0.04</v>
      </c>
    </row>
    <row r="8" spans="1:7" x14ac:dyDescent="0.35">
      <c r="A8" s="91">
        <v>3</v>
      </c>
      <c r="B8" s="162" t="s">
        <v>503</v>
      </c>
      <c r="C8" s="65" t="s">
        <v>18</v>
      </c>
      <c r="D8" s="150">
        <v>25</v>
      </c>
      <c r="E8" s="150">
        <v>4</v>
      </c>
      <c r="F8" s="91">
        <f t="shared" si="0"/>
        <v>-21</v>
      </c>
      <c r="G8" s="102">
        <f t="shared" si="1"/>
        <v>0.16</v>
      </c>
    </row>
    <row r="9" spans="1:7" x14ac:dyDescent="0.35">
      <c r="A9" s="91"/>
      <c r="B9" s="91" t="s">
        <v>47</v>
      </c>
      <c r="C9" s="91"/>
      <c r="D9" s="91">
        <v>150</v>
      </c>
      <c r="E9" s="91">
        <f>SUM(E6:E8)</f>
        <v>6</v>
      </c>
      <c r="F9" s="91">
        <f t="shared" si="0"/>
        <v>-144</v>
      </c>
      <c r="G9" s="102">
        <f t="shared" si="1"/>
        <v>0.04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BED6-F7F9-4A69-94CB-288F76541717}">
  <dimension ref="A1:M22"/>
  <sheetViews>
    <sheetView topLeftCell="A4" workbookViewId="0">
      <selection activeCell="C4" sqref="C4:G4"/>
    </sheetView>
  </sheetViews>
  <sheetFormatPr defaultRowHeight="14.5" x14ac:dyDescent="0.35"/>
  <cols>
    <col min="1" max="1" width="4.36328125" style="4" customWidth="1"/>
    <col min="2" max="2" width="26.36328125" customWidth="1"/>
    <col min="7" max="7" width="8.7265625" style="16"/>
    <col min="9" max="9" width="7" customWidth="1"/>
    <col min="10" max="10" width="18.26953125" customWidth="1"/>
  </cols>
  <sheetData>
    <row r="1" spans="1:13" x14ac:dyDescent="0.35">
      <c r="B1" s="5" t="s">
        <v>7</v>
      </c>
    </row>
    <row r="2" spans="1:13" x14ac:dyDescent="0.35">
      <c r="B2" s="5" t="s">
        <v>183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18">
        <v>1</v>
      </c>
      <c r="J5" s="18" t="s">
        <v>184</v>
      </c>
      <c r="K5" s="18">
        <v>190</v>
      </c>
      <c r="L5" s="18">
        <v>60</v>
      </c>
      <c r="M5" s="29">
        <f>L5/K5*100%</f>
        <v>0.31578947368421051</v>
      </c>
    </row>
    <row r="6" spans="1:13" x14ac:dyDescent="0.35">
      <c r="A6" s="84"/>
      <c r="B6" s="85"/>
      <c r="C6" s="88"/>
      <c r="D6" s="88"/>
      <c r="E6" s="88"/>
      <c r="F6" s="88"/>
      <c r="G6" s="89"/>
      <c r="I6" s="18">
        <v>2</v>
      </c>
      <c r="J6" s="18" t="s">
        <v>185</v>
      </c>
      <c r="K6" s="18">
        <v>190</v>
      </c>
      <c r="L6" s="18">
        <v>75</v>
      </c>
      <c r="M6" s="29">
        <f>L6/K6*100%</f>
        <v>0.39473684210526316</v>
      </c>
    </row>
    <row r="7" spans="1:13" x14ac:dyDescent="0.35">
      <c r="A7" s="63">
        <v>1</v>
      </c>
      <c r="B7" s="9" t="s">
        <v>186</v>
      </c>
      <c r="C7" s="10" t="s">
        <v>16</v>
      </c>
      <c r="D7" s="10">
        <v>35</v>
      </c>
      <c r="E7" s="10">
        <v>3</v>
      </c>
      <c r="F7" s="13">
        <f>E7-D7</f>
        <v>-32</v>
      </c>
      <c r="G7" s="15">
        <f>E7/D7*100%</f>
        <v>8.5714285714285715E-2</v>
      </c>
    </row>
    <row r="8" spans="1:13" x14ac:dyDescent="0.35">
      <c r="A8" s="63">
        <v>2</v>
      </c>
      <c r="B8" s="8" t="s">
        <v>187</v>
      </c>
      <c r="C8" s="10" t="s">
        <v>18</v>
      </c>
      <c r="D8" s="10">
        <v>25</v>
      </c>
      <c r="E8" s="10">
        <v>11</v>
      </c>
      <c r="F8" s="13">
        <f t="shared" ref="F8:F22" si="0">E8-D8</f>
        <v>-14</v>
      </c>
      <c r="G8" s="15">
        <f t="shared" ref="G8:G22" si="1">E8/D8*100%</f>
        <v>0.44</v>
      </c>
    </row>
    <row r="9" spans="1:13" x14ac:dyDescent="0.35">
      <c r="A9" s="63">
        <v>3</v>
      </c>
      <c r="B9" s="8" t="s">
        <v>188</v>
      </c>
      <c r="C9" s="10" t="s">
        <v>18</v>
      </c>
      <c r="D9" s="10">
        <v>25</v>
      </c>
      <c r="E9" s="10">
        <v>12</v>
      </c>
      <c r="F9" s="13">
        <f t="shared" si="0"/>
        <v>-13</v>
      </c>
      <c r="G9" s="15">
        <f t="shared" si="1"/>
        <v>0.48</v>
      </c>
    </row>
    <row r="10" spans="1:13" x14ac:dyDescent="0.35">
      <c r="A10" s="63">
        <v>4</v>
      </c>
      <c r="B10" s="8" t="s">
        <v>189</v>
      </c>
      <c r="C10" s="11" t="s">
        <v>18</v>
      </c>
      <c r="D10" s="11">
        <v>25</v>
      </c>
      <c r="E10" s="10">
        <v>15</v>
      </c>
      <c r="F10" s="13">
        <f t="shared" si="0"/>
        <v>-10</v>
      </c>
      <c r="G10" s="15">
        <f t="shared" si="1"/>
        <v>0.6</v>
      </c>
    </row>
    <row r="11" spans="1:13" x14ac:dyDescent="0.35">
      <c r="A11" s="63">
        <v>5</v>
      </c>
      <c r="B11" s="9" t="s">
        <v>190</v>
      </c>
      <c r="C11" s="10" t="s">
        <v>18</v>
      </c>
      <c r="D11" s="10">
        <v>25</v>
      </c>
      <c r="E11" s="10">
        <v>5</v>
      </c>
      <c r="F11" s="13">
        <f t="shared" si="0"/>
        <v>-20</v>
      </c>
      <c r="G11" s="15">
        <f t="shared" si="1"/>
        <v>0.2</v>
      </c>
    </row>
    <row r="12" spans="1:13" x14ac:dyDescent="0.35">
      <c r="A12" s="63">
        <v>6</v>
      </c>
      <c r="B12" s="8" t="s">
        <v>191</v>
      </c>
      <c r="C12" s="10" t="s">
        <v>18</v>
      </c>
      <c r="D12" s="10">
        <v>25</v>
      </c>
      <c r="E12" s="10">
        <v>12</v>
      </c>
      <c r="F12" s="13">
        <f t="shared" si="0"/>
        <v>-13</v>
      </c>
      <c r="G12" s="15">
        <f t="shared" si="1"/>
        <v>0.48</v>
      </c>
    </row>
    <row r="13" spans="1:13" x14ac:dyDescent="0.35">
      <c r="A13" s="63">
        <v>7</v>
      </c>
      <c r="B13" s="8" t="s">
        <v>192</v>
      </c>
      <c r="C13" s="10" t="s">
        <v>18</v>
      </c>
      <c r="D13" s="10">
        <v>25</v>
      </c>
      <c r="E13" s="10">
        <v>2</v>
      </c>
      <c r="F13" s="13">
        <f t="shared" si="0"/>
        <v>-23</v>
      </c>
      <c r="G13" s="15">
        <f t="shared" si="1"/>
        <v>0.08</v>
      </c>
    </row>
    <row r="14" spans="1:13" x14ac:dyDescent="0.35">
      <c r="A14" s="63">
        <v>8</v>
      </c>
      <c r="B14" s="9" t="s">
        <v>193</v>
      </c>
      <c r="C14" s="10" t="s">
        <v>16</v>
      </c>
      <c r="D14" s="10">
        <v>35</v>
      </c>
      <c r="E14" s="10">
        <v>0</v>
      </c>
      <c r="F14" s="13">
        <f t="shared" si="0"/>
        <v>-35</v>
      </c>
      <c r="G14" s="15">
        <f t="shared" si="1"/>
        <v>0</v>
      </c>
    </row>
    <row r="15" spans="1:13" x14ac:dyDescent="0.35">
      <c r="A15" s="63">
        <v>9</v>
      </c>
      <c r="B15" s="8" t="s">
        <v>194</v>
      </c>
      <c r="C15" s="10" t="s">
        <v>18</v>
      </c>
      <c r="D15" s="10">
        <v>25</v>
      </c>
      <c r="E15" s="10">
        <v>11</v>
      </c>
      <c r="F15" s="13">
        <f t="shared" si="0"/>
        <v>-14</v>
      </c>
      <c r="G15" s="15">
        <f t="shared" si="1"/>
        <v>0.44</v>
      </c>
    </row>
    <row r="16" spans="1:13" x14ac:dyDescent="0.35">
      <c r="A16" s="63">
        <v>10</v>
      </c>
      <c r="B16" s="8" t="s">
        <v>195</v>
      </c>
      <c r="C16" s="10" t="s">
        <v>18</v>
      </c>
      <c r="D16" s="10">
        <v>25</v>
      </c>
      <c r="E16" s="10">
        <v>8</v>
      </c>
      <c r="F16" s="13">
        <f t="shared" si="0"/>
        <v>-17</v>
      </c>
      <c r="G16" s="15">
        <f t="shared" si="1"/>
        <v>0.32</v>
      </c>
    </row>
    <row r="17" spans="1:7" x14ac:dyDescent="0.35">
      <c r="A17" s="63">
        <v>11</v>
      </c>
      <c r="B17" s="9" t="s">
        <v>196</v>
      </c>
      <c r="C17" s="10" t="s">
        <v>18</v>
      </c>
      <c r="D17" s="10">
        <v>25</v>
      </c>
      <c r="E17" s="10">
        <v>4</v>
      </c>
      <c r="F17" s="13">
        <f t="shared" si="0"/>
        <v>-21</v>
      </c>
      <c r="G17" s="15">
        <f t="shared" si="1"/>
        <v>0.16</v>
      </c>
    </row>
    <row r="18" spans="1:7" x14ac:dyDescent="0.35">
      <c r="A18" s="63">
        <v>12</v>
      </c>
      <c r="B18" s="8" t="s">
        <v>197</v>
      </c>
      <c r="C18" s="10" t="s">
        <v>18</v>
      </c>
      <c r="D18" s="10">
        <v>25</v>
      </c>
      <c r="E18" s="10">
        <v>8</v>
      </c>
      <c r="F18" s="13">
        <f t="shared" si="0"/>
        <v>-17</v>
      </c>
      <c r="G18" s="15">
        <f t="shared" si="1"/>
        <v>0.32</v>
      </c>
    </row>
    <row r="19" spans="1:7" x14ac:dyDescent="0.35">
      <c r="A19" s="63">
        <v>13</v>
      </c>
      <c r="B19" s="8" t="s">
        <v>198</v>
      </c>
      <c r="C19" s="10" t="s">
        <v>18</v>
      </c>
      <c r="D19" s="10">
        <v>25</v>
      </c>
      <c r="E19" s="10">
        <v>14</v>
      </c>
      <c r="F19" s="13">
        <f t="shared" si="0"/>
        <v>-11</v>
      </c>
      <c r="G19" s="15">
        <f t="shared" si="1"/>
        <v>0.56000000000000005</v>
      </c>
    </row>
    <row r="20" spans="1:7" x14ac:dyDescent="0.35">
      <c r="A20" s="63">
        <v>14</v>
      </c>
      <c r="B20" s="8" t="s">
        <v>199</v>
      </c>
      <c r="C20" s="10" t="s">
        <v>18</v>
      </c>
      <c r="D20" s="10">
        <v>25</v>
      </c>
      <c r="E20" s="10">
        <v>10</v>
      </c>
      <c r="F20" s="13">
        <f t="shared" si="0"/>
        <v>-15</v>
      </c>
      <c r="G20" s="15">
        <f t="shared" si="1"/>
        <v>0.4</v>
      </c>
    </row>
    <row r="21" spans="1:7" x14ac:dyDescent="0.35">
      <c r="A21" s="63">
        <v>15</v>
      </c>
      <c r="B21" s="8" t="s">
        <v>200</v>
      </c>
      <c r="C21" s="10" t="s">
        <v>18</v>
      </c>
      <c r="D21" s="10">
        <v>25</v>
      </c>
      <c r="E21" s="10">
        <v>20</v>
      </c>
      <c r="F21" s="13">
        <f t="shared" si="0"/>
        <v>-5</v>
      </c>
      <c r="G21" s="15">
        <f t="shared" si="1"/>
        <v>0.8</v>
      </c>
    </row>
    <row r="22" spans="1:7" x14ac:dyDescent="0.35">
      <c r="A22" s="63"/>
      <c r="B22" s="13" t="s">
        <v>47</v>
      </c>
      <c r="C22" s="13"/>
      <c r="D22" s="13">
        <v>380</v>
      </c>
      <c r="E22" s="13">
        <f>SUM(E7:E21)</f>
        <v>135</v>
      </c>
      <c r="F22" s="13">
        <f t="shared" si="0"/>
        <v>-245</v>
      </c>
      <c r="G22" s="15">
        <f t="shared" si="1"/>
        <v>0.35526315789473684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59BE-7A96-4455-8572-F02A8CF56840}">
  <dimension ref="A1:G8"/>
  <sheetViews>
    <sheetView workbookViewId="0">
      <selection activeCell="C3" sqref="C3:G3"/>
    </sheetView>
  </sheetViews>
  <sheetFormatPr defaultRowHeight="14.5" x14ac:dyDescent="0.35"/>
  <cols>
    <col min="1" max="1" width="5" customWidth="1"/>
    <col min="2" max="2" width="29.6328125" customWidth="1"/>
    <col min="7" max="7" width="8.7265625" style="16"/>
  </cols>
  <sheetData>
    <row r="1" spans="1:7" x14ac:dyDescent="0.35">
      <c r="A1" s="137"/>
      <c r="B1" s="5" t="s">
        <v>7</v>
      </c>
      <c r="C1" s="137"/>
      <c r="D1" s="137"/>
      <c r="E1" s="137"/>
      <c r="F1" s="137"/>
    </row>
    <row r="2" spans="1:7" x14ac:dyDescent="0.35">
      <c r="A2" s="137"/>
      <c r="B2" s="5" t="s">
        <v>183</v>
      </c>
      <c r="C2" s="137"/>
      <c r="D2" s="137"/>
      <c r="E2" s="137"/>
      <c r="F2" s="137"/>
    </row>
    <row r="3" spans="1:7" x14ac:dyDescent="0.35">
      <c r="A3" s="78" t="s">
        <v>9</v>
      </c>
      <c r="B3" s="79" t="s">
        <v>10</v>
      </c>
      <c r="C3" s="86" t="s">
        <v>930</v>
      </c>
      <c r="D3" s="87"/>
      <c r="E3" s="87"/>
      <c r="F3" s="87"/>
      <c r="G3" s="87"/>
    </row>
    <row r="4" spans="1:7" x14ac:dyDescent="0.35">
      <c r="A4" s="78"/>
      <c r="B4" s="79"/>
      <c r="C4" s="80" t="s">
        <v>11</v>
      </c>
      <c r="D4" s="80" t="s">
        <v>12</v>
      </c>
      <c r="E4" s="80" t="s">
        <v>13</v>
      </c>
      <c r="F4" s="80" t="s">
        <v>14</v>
      </c>
      <c r="G4" s="100" t="s">
        <v>6</v>
      </c>
    </row>
    <row r="5" spans="1:7" x14ac:dyDescent="0.35">
      <c r="A5" s="84"/>
      <c r="B5" s="85"/>
      <c r="C5" s="88"/>
      <c r="D5" s="88"/>
      <c r="E5" s="88"/>
      <c r="F5" s="88"/>
      <c r="G5" s="128"/>
    </row>
    <row r="6" spans="1:7" x14ac:dyDescent="0.35">
      <c r="A6" s="91">
        <v>1</v>
      </c>
      <c r="B6" s="149" t="s">
        <v>480</v>
      </c>
      <c r="C6" s="65" t="s">
        <v>18</v>
      </c>
      <c r="D6" s="150">
        <v>25</v>
      </c>
      <c r="E6" s="150">
        <v>7</v>
      </c>
      <c r="F6" s="91">
        <f>E6-D6</f>
        <v>-18</v>
      </c>
      <c r="G6" s="102">
        <f>E6/D6*100%</f>
        <v>0.28000000000000003</v>
      </c>
    </row>
    <row r="7" spans="1:7" x14ac:dyDescent="0.35">
      <c r="A7" s="91">
        <v>2</v>
      </c>
      <c r="B7" s="149" t="s">
        <v>481</v>
      </c>
      <c r="C7" s="65" t="s">
        <v>18</v>
      </c>
      <c r="D7" s="150">
        <v>25</v>
      </c>
      <c r="E7" s="150">
        <v>1</v>
      </c>
      <c r="F7" s="91">
        <f>E7-D7</f>
        <v>-24</v>
      </c>
      <c r="G7" s="102">
        <f>E7/D7*100%</f>
        <v>0.04</v>
      </c>
    </row>
    <row r="8" spans="1:7" x14ac:dyDescent="0.35">
      <c r="A8" s="91"/>
      <c r="B8" s="91" t="s">
        <v>47</v>
      </c>
      <c r="C8" s="91"/>
      <c r="D8" s="91">
        <v>50</v>
      </c>
      <c r="E8" s="91">
        <f>SUM(E6:E7)</f>
        <v>8</v>
      </c>
      <c r="F8" s="91"/>
      <c r="G8" s="102">
        <f>E8/D8*100%</f>
        <v>0.16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3074-7430-49C0-9BA9-3A3BDA36FDF2}">
  <dimension ref="A1:M26"/>
  <sheetViews>
    <sheetView topLeftCell="A4" workbookViewId="0">
      <selection activeCell="C4" sqref="C4:G4"/>
    </sheetView>
  </sheetViews>
  <sheetFormatPr defaultRowHeight="14.5" x14ac:dyDescent="0.35"/>
  <cols>
    <col min="1" max="1" width="3.7265625" customWidth="1"/>
    <col min="2" max="2" width="35.81640625" customWidth="1"/>
    <col min="7" max="7" width="8.7265625" style="16"/>
    <col min="9" max="9" width="6.6328125" customWidth="1"/>
    <col min="10" max="10" width="19.08984375" customWidth="1"/>
  </cols>
  <sheetData>
    <row r="1" spans="1:13" x14ac:dyDescent="0.35">
      <c r="A1" s="214"/>
      <c r="B1" s="5" t="s">
        <v>108</v>
      </c>
      <c r="C1" s="214"/>
      <c r="D1" s="214"/>
      <c r="E1" s="214"/>
      <c r="F1" s="214"/>
    </row>
    <row r="2" spans="1:13" x14ac:dyDescent="0.35">
      <c r="A2" s="214"/>
      <c r="B2" s="5" t="s">
        <v>864</v>
      </c>
      <c r="C2" s="214"/>
      <c r="D2" s="214"/>
      <c r="E2" s="214"/>
      <c r="F2" s="214"/>
    </row>
    <row r="3" spans="1:13" x14ac:dyDescent="0.35">
      <c r="A3" s="214"/>
      <c r="B3" s="214"/>
      <c r="C3" s="214"/>
      <c r="D3" s="214"/>
      <c r="E3" s="214"/>
      <c r="F3" s="214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884</v>
      </c>
      <c r="K5" s="18">
        <v>150</v>
      </c>
      <c r="L5" s="18">
        <v>38</v>
      </c>
      <c r="M5" s="29">
        <f>L5/K5*100%</f>
        <v>0.25333333333333335</v>
      </c>
    </row>
    <row r="6" spans="1:13" x14ac:dyDescent="0.35">
      <c r="A6" s="84"/>
      <c r="B6" s="85"/>
      <c r="C6" s="88"/>
      <c r="D6" s="88"/>
      <c r="E6" s="88"/>
      <c r="F6" s="88"/>
      <c r="G6" s="128"/>
      <c r="I6" s="18">
        <v>2</v>
      </c>
      <c r="J6" s="18" t="s">
        <v>883</v>
      </c>
      <c r="K6" s="18">
        <v>190</v>
      </c>
      <c r="L6" s="18">
        <v>104</v>
      </c>
      <c r="M6" s="29">
        <f t="shared" ref="M6:M7" si="0">L6/K6*100%</f>
        <v>0.54736842105263162</v>
      </c>
    </row>
    <row r="7" spans="1:13" x14ac:dyDescent="0.35">
      <c r="A7" s="91">
        <v>1</v>
      </c>
      <c r="B7" s="127" t="s">
        <v>865</v>
      </c>
      <c r="C7" s="126" t="s">
        <v>16</v>
      </c>
      <c r="D7" s="126">
        <v>25</v>
      </c>
      <c r="E7" s="126">
        <v>0</v>
      </c>
      <c r="F7" s="91">
        <f>E7-D7</f>
        <v>-25</v>
      </c>
      <c r="G7" s="102">
        <f>E7/D7*100%</f>
        <v>0</v>
      </c>
      <c r="I7" s="18">
        <v>3</v>
      </c>
      <c r="J7" s="18" t="s">
        <v>886</v>
      </c>
      <c r="K7" s="18">
        <v>150</v>
      </c>
      <c r="L7" s="18">
        <v>14</v>
      </c>
      <c r="M7" s="29">
        <f t="shared" si="0"/>
        <v>9.3333333333333338E-2</v>
      </c>
    </row>
    <row r="8" spans="1:13" x14ac:dyDescent="0.35">
      <c r="A8" s="91">
        <v>2</v>
      </c>
      <c r="B8" s="127" t="s">
        <v>866</v>
      </c>
      <c r="C8" s="126" t="s">
        <v>455</v>
      </c>
      <c r="D8" s="126">
        <v>25</v>
      </c>
      <c r="E8" s="126">
        <v>14</v>
      </c>
      <c r="F8" s="91">
        <f t="shared" ref="F8:F26" si="1">E8-D8</f>
        <v>-11</v>
      </c>
      <c r="G8" s="102">
        <f t="shared" ref="G8:G26" si="2">E8/D8*100%</f>
        <v>0.56000000000000005</v>
      </c>
    </row>
    <row r="9" spans="1:13" x14ac:dyDescent="0.35">
      <c r="A9" s="91">
        <v>3</v>
      </c>
      <c r="B9" s="72" t="s">
        <v>867</v>
      </c>
      <c r="C9" s="73" t="s">
        <v>455</v>
      </c>
      <c r="D9" s="126">
        <v>25</v>
      </c>
      <c r="E9" s="126">
        <v>7</v>
      </c>
      <c r="F9" s="91">
        <f t="shared" si="1"/>
        <v>-18</v>
      </c>
      <c r="G9" s="102">
        <f t="shared" si="2"/>
        <v>0.28000000000000003</v>
      </c>
    </row>
    <row r="10" spans="1:13" x14ac:dyDescent="0.35">
      <c r="A10" s="91">
        <v>4</v>
      </c>
      <c r="B10" s="72" t="s">
        <v>868</v>
      </c>
      <c r="C10" s="73" t="s">
        <v>455</v>
      </c>
      <c r="D10" s="126">
        <v>25</v>
      </c>
      <c r="E10" s="126">
        <v>12</v>
      </c>
      <c r="F10" s="91">
        <f t="shared" si="1"/>
        <v>-13</v>
      </c>
      <c r="G10" s="102">
        <f t="shared" si="2"/>
        <v>0.48</v>
      </c>
    </row>
    <row r="11" spans="1:13" x14ac:dyDescent="0.35">
      <c r="A11" s="91">
        <v>5</v>
      </c>
      <c r="B11" s="72" t="s">
        <v>869</v>
      </c>
      <c r="C11" s="73" t="s">
        <v>455</v>
      </c>
      <c r="D11" s="126">
        <v>25</v>
      </c>
      <c r="E11" s="126">
        <v>5</v>
      </c>
      <c r="F11" s="91">
        <f t="shared" si="1"/>
        <v>-20</v>
      </c>
      <c r="G11" s="102">
        <f t="shared" si="2"/>
        <v>0.2</v>
      </c>
    </row>
    <row r="12" spans="1:13" x14ac:dyDescent="0.35">
      <c r="A12" s="91">
        <v>6</v>
      </c>
      <c r="B12" s="130" t="s">
        <v>870</v>
      </c>
      <c r="C12" s="73" t="s">
        <v>455</v>
      </c>
      <c r="D12" s="126">
        <v>25</v>
      </c>
      <c r="E12" s="126">
        <v>0</v>
      </c>
      <c r="F12" s="91">
        <f t="shared" si="1"/>
        <v>-25</v>
      </c>
      <c r="G12" s="102">
        <f t="shared" si="2"/>
        <v>0</v>
      </c>
    </row>
    <row r="13" spans="1:13" x14ac:dyDescent="0.35">
      <c r="A13" s="91">
        <v>7</v>
      </c>
      <c r="B13" s="216" t="s">
        <v>871</v>
      </c>
      <c r="C13" s="217" t="s">
        <v>16</v>
      </c>
      <c r="D13" s="217">
        <v>25</v>
      </c>
      <c r="E13" s="217">
        <v>0</v>
      </c>
      <c r="F13" s="91">
        <f t="shared" si="1"/>
        <v>-25</v>
      </c>
      <c r="G13" s="102">
        <f t="shared" si="2"/>
        <v>0</v>
      </c>
    </row>
    <row r="14" spans="1:13" x14ac:dyDescent="0.35">
      <c r="A14" s="91">
        <v>8</v>
      </c>
      <c r="B14" s="218" t="s">
        <v>872</v>
      </c>
      <c r="C14" s="219" t="s">
        <v>18</v>
      </c>
      <c r="D14" s="217">
        <v>25</v>
      </c>
      <c r="E14" s="217">
        <v>26</v>
      </c>
      <c r="F14" s="91">
        <f t="shared" si="1"/>
        <v>1</v>
      </c>
      <c r="G14" s="102">
        <f t="shared" si="2"/>
        <v>1.04</v>
      </c>
    </row>
    <row r="15" spans="1:13" x14ac:dyDescent="0.35">
      <c r="A15" s="91">
        <v>9</v>
      </c>
      <c r="B15" s="218" t="s">
        <v>873</v>
      </c>
      <c r="C15" s="219" t="s">
        <v>18</v>
      </c>
      <c r="D15" s="217">
        <v>25</v>
      </c>
      <c r="E15" s="217">
        <v>36</v>
      </c>
      <c r="F15" s="91">
        <f t="shared" si="1"/>
        <v>11</v>
      </c>
      <c r="G15" s="102">
        <f t="shared" si="2"/>
        <v>1.44</v>
      </c>
    </row>
    <row r="16" spans="1:13" x14ac:dyDescent="0.35">
      <c r="A16" s="91">
        <v>10</v>
      </c>
      <c r="B16" s="218" t="s">
        <v>874</v>
      </c>
      <c r="C16" s="219" t="s">
        <v>18</v>
      </c>
      <c r="D16" s="217">
        <v>25</v>
      </c>
      <c r="E16" s="217">
        <v>11</v>
      </c>
      <c r="F16" s="91">
        <f t="shared" si="1"/>
        <v>-14</v>
      </c>
      <c r="G16" s="102">
        <f t="shared" si="2"/>
        <v>0.44</v>
      </c>
    </row>
    <row r="17" spans="1:7" x14ac:dyDescent="0.35">
      <c r="A17" s="91">
        <v>11</v>
      </c>
      <c r="B17" s="218" t="s">
        <v>875</v>
      </c>
      <c r="C17" s="219" t="s">
        <v>18</v>
      </c>
      <c r="D17" s="217">
        <v>25</v>
      </c>
      <c r="E17" s="126">
        <v>6</v>
      </c>
      <c r="F17" s="91">
        <f t="shared" si="1"/>
        <v>-19</v>
      </c>
      <c r="G17" s="102">
        <f t="shared" si="2"/>
        <v>0.24</v>
      </c>
    </row>
    <row r="18" spans="1:7" x14ac:dyDescent="0.35">
      <c r="A18" s="91">
        <v>12</v>
      </c>
      <c r="B18" s="218" t="s">
        <v>876</v>
      </c>
      <c r="C18" s="219" t="s">
        <v>18</v>
      </c>
      <c r="D18" s="217">
        <v>25</v>
      </c>
      <c r="E18" s="126">
        <v>8</v>
      </c>
      <c r="F18" s="91">
        <f t="shared" si="1"/>
        <v>-17</v>
      </c>
      <c r="G18" s="102">
        <f t="shared" si="2"/>
        <v>0.32</v>
      </c>
    </row>
    <row r="19" spans="1:7" x14ac:dyDescent="0.35">
      <c r="A19" s="91">
        <v>13</v>
      </c>
      <c r="B19" s="218" t="s">
        <v>877</v>
      </c>
      <c r="C19" s="219" t="s">
        <v>18</v>
      </c>
      <c r="D19" s="217">
        <v>25</v>
      </c>
      <c r="E19" s="126">
        <v>5</v>
      </c>
      <c r="F19" s="91">
        <f t="shared" si="1"/>
        <v>-20</v>
      </c>
      <c r="G19" s="102">
        <f t="shared" si="2"/>
        <v>0.2</v>
      </c>
    </row>
    <row r="20" spans="1:7" x14ac:dyDescent="0.35">
      <c r="A20" s="91">
        <v>14</v>
      </c>
      <c r="B20" s="218" t="s">
        <v>885</v>
      </c>
      <c r="C20" s="219" t="s">
        <v>18</v>
      </c>
      <c r="D20" s="217">
        <v>25</v>
      </c>
      <c r="E20" s="126">
        <v>12</v>
      </c>
      <c r="F20" s="91">
        <f t="shared" si="1"/>
        <v>-13</v>
      </c>
      <c r="G20" s="102">
        <f t="shared" si="2"/>
        <v>0.48</v>
      </c>
    </row>
    <row r="21" spans="1:7" x14ac:dyDescent="0.35">
      <c r="A21" s="91">
        <v>15</v>
      </c>
      <c r="B21" s="216" t="s">
        <v>878</v>
      </c>
      <c r="C21" s="217" t="s">
        <v>16</v>
      </c>
      <c r="D21" s="217">
        <v>25</v>
      </c>
      <c r="E21" s="217">
        <v>0</v>
      </c>
      <c r="F21" s="91">
        <f t="shared" si="1"/>
        <v>-25</v>
      </c>
      <c r="G21" s="102">
        <f t="shared" si="2"/>
        <v>0</v>
      </c>
    </row>
    <row r="22" spans="1:7" x14ac:dyDescent="0.35">
      <c r="A22" s="91">
        <v>16</v>
      </c>
      <c r="B22" s="218" t="s">
        <v>879</v>
      </c>
      <c r="C22" s="219" t="s">
        <v>18</v>
      </c>
      <c r="D22" s="217">
        <v>25</v>
      </c>
      <c r="E22" s="217">
        <v>4</v>
      </c>
      <c r="F22" s="91">
        <f t="shared" si="1"/>
        <v>-21</v>
      </c>
      <c r="G22" s="102">
        <f t="shared" si="2"/>
        <v>0.16</v>
      </c>
    </row>
    <row r="23" spans="1:7" x14ac:dyDescent="0.35">
      <c r="A23" s="91">
        <v>17</v>
      </c>
      <c r="B23" s="218" t="s">
        <v>880</v>
      </c>
      <c r="C23" s="219" t="s">
        <v>18</v>
      </c>
      <c r="D23" s="217">
        <v>25</v>
      </c>
      <c r="E23" s="217">
        <v>4</v>
      </c>
      <c r="F23" s="91">
        <f t="shared" si="1"/>
        <v>-21</v>
      </c>
      <c r="G23" s="102">
        <f t="shared" si="2"/>
        <v>0.16</v>
      </c>
    </row>
    <row r="24" spans="1:7" x14ac:dyDescent="0.35">
      <c r="A24" s="91">
        <v>18</v>
      </c>
      <c r="B24" s="218" t="s">
        <v>881</v>
      </c>
      <c r="C24" s="219" t="s">
        <v>18</v>
      </c>
      <c r="D24" s="217">
        <v>25</v>
      </c>
      <c r="E24" s="217">
        <v>5</v>
      </c>
      <c r="F24" s="91">
        <f t="shared" si="1"/>
        <v>-20</v>
      </c>
      <c r="G24" s="102">
        <f t="shared" si="2"/>
        <v>0.2</v>
      </c>
    </row>
    <row r="25" spans="1:7" x14ac:dyDescent="0.35">
      <c r="A25" s="91">
        <v>19</v>
      </c>
      <c r="B25" s="218" t="s">
        <v>882</v>
      </c>
      <c r="C25" s="219" t="s">
        <v>18</v>
      </c>
      <c r="D25" s="217">
        <v>25</v>
      </c>
      <c r="E25" s="126">
        <v>1</v>
      </c>
      <c r="F25" s="91">
        <f t="shared" si="1"/>
        <v>-24</v>
      </c>
      <c r="G25" s="102">
        <f t="shared" si="2"/>
        <v>0.04</v>
      </c>
    </row>
    <row r="26" spans="1:7" x14ac:dyDescent="0.35">
      <c r="A26" s="91"/>
      <c r="B26" s="91" t="s">
        <v>47</v>
      </c>
      <c r="C26" s="91"/>
      <c r="D26" s="91">
        <v>490</v>
      </c>
      <c r="E26" s="91">
        <f>SUM(E7:E25)</f>
        <v>156</v>
      </c>
      <c r="F26" s="91">
        <f t="shared" si="1"/>
        <v>-334</v>
      </c>
      <c r="G26" s="102">
        <f t="shared" si="2"/>
        <v>0.3183673469387755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D106-78F6-4142-A9DC-919EDC60E2F7}">
  <dimension ref="A1:M30"/>
  <sheetViews>
    <sheetView workbookViewId="0">
      <selection activeCell="C4" sqref="C4:G4"/>
    </sheetView>
  </sheetViews>
  <sheetFormatPr defaultRowHeight="14.5" x14ac:dyDescent="0.35"/>
  <cols>
    <col min="1" max="1" width="4.90625" customWidth="1"/>
    <col min="2" max="2" width="33.54296875" customWidth="1"/>
    <col min="7" max="7" width="8.7265625" style="16"/>
    <col min="9" max="9" width="4.7265625" customWidth="1"/>
    <col min="10" max="10" width="16.6328125" customWidth="1"/>
  </cols>
  <sheetData>
    <row r="1" spans="1:13" x14ac:dyDescent="0.35">
      <c r="A1" s="137"/>
      <c r="B1" s="5" t="s">
        <v>108</v>
      </c>
      <c r="C1" s="137"/>
      <c r="D1" s="137"/>
      <c r="E1" s="137"/>
      <c r="F1" s="137"/>
    </row>
    <row r="2" spans="1:13" x14ac:dyDescent="0.35">
      <c r="A2" s="137"/>
      <c r="B2" s="5" t="s">
        <v>452</v>
      </c>
      <c r="C2" s="137"/>
      <c r="D2" s="137"/>
      <c r="E2" s="137"/>
      <c r="F2" s="137"/>
    </row>
    <row r="3" spans="1:13" x14ac:dyDescent="0.35">
      <c r="A3" s="137"/>
      <c r="B3" s="137"/>
      <c r="C3" s="137"/>
      <c r="D3" s="137"/>
      <c r="E3" s="137"/>
      <c r="F3" s="137"/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477</v>
      </c>
      <c r="K5" s="18">
        <v>150</v>
      </c>
      <c r="L5" s="18">
        <v>130</v>
      </c>
      <c r="M5" s="29">
        <f>L5/K5*100%</f>
        <v>0.8666666666666667</v>
      </c>
    </row>
    <row r="6" spans="1:13" x14ac:dyDescent="0.35">
      <c r="A6" s="84"/>
      <c r="B6" s="85"/>
      <c r="C6" s="88"/>
      <c r="D6" s="88"/>
      <c r="E6" s="88"/>
      <c r="F6" s="88"/>
      <c r="G6" s="128"/>
      <c r="I6" s="18">
        <v>2</v>
      </c>
      <c r="J6" s="18" t="s">
        <v>478</v>
      </c>
      <c r="K6" s="18">
        <v>190</v>
      </c>
      <c r="L6" s="18">
        <v>151</v>
      </c>
      <c r="M6" s="29">
        <f t="shared" ref="M6:M8" si="0">L6/K6*100%</f>
        <v>0.79473684210526319</v>
      </c>
    </row>
    <row r="7" spans="1:13" x14ac:dyDescent="0.35">
      <c r="A7" s="91">
        <v>1</v>
      </c>
      <c r="B7" s="140" t="s">
        <v>453</v>
      </c>
      <c r="C7" s="141" t="s">
        <v>16</v>
      </c>
      <c r="D7" s="142">
        <v>35</v>
      </c>
      <c r="E7" s="142">
        <v>0</v>
      </c>
      <c r="F7" s="91">
        <f>E7-D7</f>
        <v>-35</v>
      </c>
      <c r="G7" s="102">
        <f>E7/D7*100%</f>
        <v>0</v>
      </c>
      <c r="I7" s="18">
        <v>3</v>
      </c>
      <c r="J7" s="18" t="s">
        <v>479</v>
      </c>
      <c r="K7" s="18">
        <v>150</v>
      </c>
      <c r="L7" s="18">
        <v>69</v>
      </c>
      <c r="M7" s="29">
        <f t="shared" si="0"/>
        <v>0.46</v>
      </c>
    </row>
    <row r="8" spans="1:13" x14ac:dyDescent="0.35">
      <c r="A8" s="91">
        <v>2</v>
      </c>
      <c r="B8" s="140" t="s">
        <v>454</v>
      </c>
      <c r="C8" s="141" t="s">
        <v>455</v>
      </c>
      <c r="D8" s="142">
        <v>25</v>
      </c>
      <c r="E8" s="142">
        <v>17</v>
      </c>
      <c r="F8" s="91">
        <f t="shared" ref="F8:F30" si="1">E8-D8</f>
        <v>-8</v>
      </c>
      <c r="G8" s="102">
        <f t="shared" ref="G8:G30" si="2">E8/D8*100%</f>
        <v>0.68</v>
      </c>
      <c r="I8" s="18">
        <v>4</v>
      </c>
      <c r="J8" s="18" t="s">
        <v>923</v>
      </c>
      <c r="K8" s="18">
        <v>150</v>
      </c>
      <c r="L8" s="18">
        <v>39</v>
      </c>
      <c r="M8" s="29">
        <f t="shared" si="0"/>
        <v>0.26</v>
      </c>
    </row>
    <row r="9" spans="1:13" x14ac:dyDescent="0.35">
      <c r="A9" s="91">
        <v>3</v>
      </c>
      <c r="B9" s="140" t="s">
        <v>456</v>
      </c>
      <c r="C9" s="141" t="s">
        <v>455</v>
      </c>
      <c r="D9" s="142">
        <v>25</v>
      </c>
      <c r="E9" s="142">
        <v>76</v>
      </c>
      <c r="F9" s="91">
        <f t="shared" si="1"/>
        <v>51</v>
      </c>
      <c r="G9" s="102">
        <f t="shared" si="2"/>
        <v>3.04</v>
      </c>
    </row>
    <row r="10" spans="1:13" x14ac:dyDescent="0.35">
      <c r="A10" s="91">
        <v>4</v>
      </c>
      <c r="B10" s="140" t="s">
        <v>457</v>
      </c>
      <c r="C10" s="141" t="s">
        <v>455</v>
      </c>
      <c r="D10" s="142">
        <v>25</v>
      </c>
      <c r="E10" s="142">
        <v>23</v>
      </c>
      <c r="F10" s="91">
        <f t="shared" si="1"/>
        <v>-2</v>
      </c>
      <c r="G10" s="102">
        <f t="shared" si="2"/>
        <v>0.92</v>
      </c>
    </row>
    <row r="11" spans="1:13" x14ac:dyDescent="0.35">
      <c r="A11" s="91">
        <v>5</v>
      </c>
      <c r="B11" s="140" t="s">
        <v>458</v>
      </c>
      <c r="C11" s="141" t="s">
        <v>455</v>
      </c>
      <c r="D11" s="142">
        <v>25</v>
      </c>
      <c r="E11" s="142">
        <v>3</v>
      </c>
      <c r="F11" s="91">
        <f t="shared" si="1"/>
        <v>-22</v>
      </c>
      <c r="G11" s="102">
        <f t="shared" si="2"/>
        <v>0.12</v>
      </c>
    </row>
    <row r="12" spans="1:13" x14ac:dyDescent="0.35">
      <c r="A12" s="91">
        <v>6</v>
      </c>
      <c r="B12" s="140" t="s">
        <v>459</v>
      </c>
      <c r="C12" s="141" t="s">
        <v>455</v>
      </c>
      <c r="D12" s="142">
        <v>25</v>
      </c>
      <c r="E12" s="142">
        <v>11</v>
      </c>
      <c r="F12" s="91">
        <f t="shared" si="1"/>
        <v>-14</v>
      </c>
      <c r="G12" s="102">
        <f t="shared" si="2"/>
        <v>0.44</v>
      </c>
    </row>
    <row r="13" spans="1:13" x14ac:dyDescent="0.35">
      <c r="A13" s="91">
        <v>7</v>
      </c>
      <c r="B13" s="104" t="s">
        <v>460</v>
      </c>
      <c r="C13" s="143" t="s">
        <v>16</v>
      </c>
      <c r="D13" s="144">
        <v>25</v>
      </c>
      <c r="E13" s="144">
        <v>0</v>
      </c>
      <c r="F13" s="91">
        <f t="shared" si="1"/>
        <v>-25</v>
      </c>
      <c r="G13" s="102">
        <f t="shared" si="2"/>
        <v>0</v>
      </c>
    </row>
    <row r="14" spans="1:13" x14ac:dyDescent="0.35">
      <c r="A14" s="91">
        <v>8</v>
      </c>
      <c r="B14" s="104" t="s">
        <v>461</v>
      </c>
      <c r="C14" s="143" t="s">
        <v>455</v>
      </c>
      <c r="D14" s="144">
        <v>25</v>
      </c>
      <c r="E14" s="144">
        <v>45</v>
      </c>
      <c r="F14" s="91">
        <f t="shared" si="1"/>
        <v>20</v>
      </c>
      <c r="G14" s="102">
        <f t="shared" si="2"/>
        <v>1.8</v>
      </c>
    </row>
    <row r="15" spans="1:13" x14ac:dyDescent="0.35">
      <c r="A15" s="91">
        <v>9</v>
      </c>
      <c r="B15" s="104" t="s">
        <v>462</v>
      </c>
      <c r="C15" s="143" t="s">
        <v>455</v>
      </c>
      <c r="D15" s="144">
        <v>25</v>
      </c>
      <c r="E15" s="144">
        <v>16</v>
      </c>
      <c r="F15" s="91">
        <f t="shared" si="1"/>
        <v>-9</v>
      </c>
      <c r="G15" s="102">
        <f t="shared" si="2"/>
        <v>0.64</v>
      </c>
    </row>
    <row r="16" spans="1:13" x14ac:dyDescent="0.35">
      <c r="A16" s="91">
        <v>10</v>
      </c>
      <c r="B16" s="104" t="s">
        <v>463</v>
      </c>
      <c r="C16" s="143" t="s">
        <v>455</v>
      </c>
      <c r="D16" s="144">
        <v>25</v>
      </c>
      <c r="E16" s="144">
        <v>21</v>
      </c>
      <c r="F16" s="91">
        <f t="shared" si="1"/>
        <v>-4</v>
      </c>
      <c r="G16" s="102">
        <f t="shared" si="2"/>
        <v>0.84</v>
      </c>
    </row>
    <row r="17" spans="1:7" x14ac:dyDescent="0.35">
      <c r="A17" s="91">
        <v>11</v>
      </c>
      <c r="B17" s="104" t="s">
        <v>464</v>
      </c>
      <c r="C17" s="143" t="s">
        <v>455</v>
      </c>
      <c r="D17" s="144">
        <v>25</v>
      </c>
      <c r="E17" s="144">
        <v>2</v>
      </c>
      <c r="F17" s="91">
        <f t="shared" si="1"/>
        <v>-23</v>
      </c>
      <c r="G17" s="102">
        <f t="shared" si="2"/>
        <v>0.08</v>
      </c>
    </row>
    <row r="18" spans="1:7" x14ac:dyDescent="0.35">
      <c r="A18" s="91">
        <v>12</v>
      </c>
      <c r="B18" s="104" t="s">
        <v>465</v>
      </c>
      <c r="C18" s="143" t="s">
        <v>455</v>
      </c>
      <c r="D18" s="144">
        <v>25</v>
      </c>
      <c r="E18" s="144">
        <v>25</v>
      </c>
      <c r="F18" s="91">
        <f t="shared" si="1"/>
        <v>0</v>
      </c>
      <c r="G18" s="102">
        <f t="shared" si="2"/>
        <v>1</v>
      </c>
    </row>
    <row r="19" spans="1:7" x14ac:dyDescent="0.35">
      <c r="A19" s="91">
        <v>13</v>
      </c>
      <c r="B19" s="104" t="s">
        <v>466</v>
      </c>
      <c r="C19" s="143" t="s">
        <v>455</v>
      </c>
      <c r="D19" s="144">
        <v>25</v>
      </c>
      <c r="E19" s="144">
        <v>21</v>
      </c>
      <c r="F19" s="91">
        <f t="shared" si="1"/>
        <v>-4</v>
      </c>
      <c r="G19" s="102">
        <f t="shared" si="2"/>
        <v>0.84</v>
      </c>
    </row>
    <row r="20" spans="1:7" x14ac:dyDescent="0.35">
      <c r="A20" s="91">
        <v>14</v>
      </c>
      <c r="B20" s="104" t="s">
        <v>467</v>
      </c>
      <c r="C20" s="143" t="s">
        <v>455</v>
      </c>
      <c r="D20" s="144">
        <v>25</v>
      </c>
      <c r="E20" s="144">
        <v>21</v>
      </c>
      <c r="F20" s="91">
        <f t="shared" si="1"/>
        <v>-4</v>
      </c>
      <c r="G20" s="102">
        <f t="shared" si="2"/>
        <v>0.84</v>
      </c>
    </row>
    <row r="21" spans="1:7" x14ac:dyDescent="0.35">
      <c r="A21" s="91">
        <v>15</v>
      </c>
      <c r="B21" s="140" t="s">
        <v>468</v>
      </c>
      <c r="C21" s="141" t="s">
        <v>16</v>
      </c>
      <c r="D21" s="142">
        <v>35</v>
      </c>
      <c r="E21" s="142">
        <v>0</v>
      </c>
      <c r="F21" s="91">
        <f t="shared" si="1"/>
        <v>-35</v>
      </c>
      <c r="G21" s="102">
        <f t="shared" si="2"/>
        <v>0</v>
      </c>
    </row>
    <row r="22" spans="1:7" x14ac:dyDescent="0.35">
      <c r="A22" s="91">
        <v>16</v>
      </c>
      <c r="B22" s="140" t="s">
        <v>469</v>
      </c>
      <c r="C22" s="141" t="s">
        <v>455</v>
      </c>
      <c r="D22" s="142">
        <v>25</v>
      </c>
      <c r="E22" s="142">
        <v>23</v>
      </c>
      <c r="F22" s="91">
        <f t="shared" si="1"/>
        <v>-2</v>
      </c>
      <c r="G22" s="102">
        <f t="shared" si="2"/>
        <v>0.92</v>
      </c>
    </row>
    <row r="23" spans="1:7" x14ac:dyDescent="0.35">
      <c r="A23" s="91">
        <v>17</v>
      </c>
      <c r="B23" s="140" t="s">
        <v>470</v>
      </c>
      <c r="C23" s="141" t="s">
        <v>455</v>
      </c>
      <c r="D23" s="142">
        <v>25</v>
      </c>
      <c r="E23" s="142">
        <v>24</v>
      </c>
      <c r="F23" s="91">
        <f t="shared" si="1"/>
        <v>-1</v>
      </c>
      <c r="G23" s="102">
        <f t="shared" si="2"/>
        <v>0.96</v>
      </c>
    </row>
    <row r="24" spans="1:7" x14ac:dyDescent="0.35">
      <c r="A24" s="91">
        <v>18</v>
      </c>
      <c r="B24" s="140" t="s">
        <v>471</v>
      </c>
      <c r="C24" s="141" t="s">
        <v>455</v>
      </c>
      <c r="D24" s="142">
        <v>25</v>
      </c>
      <c r="E24" s="142">
        <v>20</v>
      </c>
      <c r="F24" s="91">
        <f t="shared" si="1"/>
        <v>-5</v>
      </c>
      <c r="G24" s="102">
        <f t="shared" si="2"/>
        <v>0.8</v>
      </c>
    </row>
    <row r="25" spans="1:7" x14ac:dyDescent="0.35">
      <c r="A25" s="91">
        <v>19</v>
      </c>
      <c r="B25" s="145" t="s">
        <v>472</v>
      </c>
      <c r="C25" s="141" t="s">
        <v>18</v>
      </c>
      <c r="D25" s="142">
        <v>25</v>
      </c>
      <c r="E25" s="142">
        <v>1</v>
      </c>
      <c r="F25" s="91">
        <f t="shared" si="1"/>
        <v>-24</v>
      </c>
      <c r="G25" s="102">
        <f t="shared" si="2"/>
        <v>0.04</v>
      </c>
    </row>
    <row r="26" spans="1:7" x14ac:dyDescent="0.35">
      <c r="A26" s="91">
        <v>20</v>
      </c>
      <c r="B26" s="104" t="s">
        <v>473</v>
      </c>
      <c r="C26" s="141" t="s">
        <v>18</v>
      </c>
      <c r="D26" s="142">
        <v>25</v>
      </c>
      <c r="E26" s="142">
        <v>1</v>
      </c>
      <c r="F26" s="91">
        <f t="shared" si="1"/>
        <v>-24</v>
      </c>
      <c r="G26" s="102">
        <f t="shared" si="2"/>
        <v>0.04</v>
      </c>
    </row>
    <row r="27" spans="1:7" x14ac:dyDescent="0.35">
      <c r="A27" s="91">
        <v>21</v>
      </c>
      <c r="B27" s="104" t="s">
        <v>474</v>
      </c>
      <c r="C27" s="143" t="s">
        <v>16</v>
      </c>
      <c r="D27" s="144">
        <v>25</v>
      </c>
      <c r="E27" s="144">
        <v>2</v>
      </c>
      <c r="F27" s="91">
        <f t="shared" si="1"/>
        <v>-23</v>
      </c>
      <c r="G27" s="102">
        <f t="shared" si="2"/>
        <v>0.08</v>
      </c>
    </row>
    <row r="28" spans="1:7" x14ac:dyDescent="0.35">
      <c r="A28" s="91">
        <v>22</v>
      </c>
      <c r="B28" s="104" t="s">
        <v>475</v>
      </c>
      <c r="C28" s="143" t="s">
        <v>455</v>
      </c>
      <c r="D28" s="144">
        <v>25</v>
      </c>
      <c r="E28" s="144">
        <v>28</v>
      </c>
      <c r="F28" s="91">
        <f t="shared" si="1"/>
        <v>3</v>
      </c>
      <c r="G28" s="102">
        <f t="shared" si="2"/>
        <v>1.1200000000000001</v>
      </c>
    </row>
    <row r="29" spans="1:7" x14ac:dyDescent="0.35">
      <c r="A29" s="91">
        <v>23</v>
      </c>
      <c r="B29" s="104" t="s">
        <v>476</v>
      </c>
      <c r="C29" s="143" t="s">
        <v>455</v>
      </c>
      <c r="D29" s="144">
        <v>25</v>
      </c>
      <c r="E29" s="144">
        <v>9</v>
      </c>
      <c r="F29" s="91">
        <f t="shared" si="1"/>
        <v>-16</v>
      </c>
      <c r="G29" s="102">
        <f t="shared" si="2"/>
        <v>0.36</v>
      </c>
    </row>
    <row r="30" spans="1:7" x14ac:dyDescent="0.35">
      <c r="A30" s="91"/>
      <c r="B30" s="91" t="s">
        <v>47</v>
      </c>
      <c r="C30" s="91"/>
      <c r="D30" s="91">
        <v>640</v>
      </c>
      <c r="E30" s="91">
        <f>SUM(E7:E29)</f>
        <v>389</v>
      </c>
      <c r="F30" s="91">
        <f t="shared" si="1"/>
        <v>-251</v>
      </c>
      <c r="G30" s="102">
        <f t="shared" si="2"/>
        <v>0.60781249999999998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42AB-35C4-4407-B2CC-3C83E9E5A728}">
  <dimension ref="A1:G12"/>
  <sheetViews>
    <sheetView workbookViewId="0">
      <selection activeCell="C4" sqref="C4:G4"/>
    </sheetView>
  </sheetViews>
  <sheetFormatPr defaultRowHeight="14.5" x14ac:dyDescent="0.35"/>
  <cols>
    <col min="1" max="1" width="5.7265625" customWidth="1"/>
    <col min="2" max="2" width="25.1796875" customWidth="1"/>
    <col min="7" max="7" width="8.7265625" style="16"/>
  </cols>
  <sheetData>
    <row r="1" spans="1:7" x14ac:dyDescent="0.35">
      <c r="B1" s="5" t="s">
        <v>108</v>
      </c>
    </row>
    <row r="2" spans="1:7" x14ac:dyDescent="0.35">
      <c r="B2" s="5" t="s">
        <v>109</v>
      </c>
    </row>
    <row r="4" spans="1:7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</row>
    <row r="5" spans="1:7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</row>
    <row r="6" spans="1:7" x14ac:dyDescent="0.35">
      <c r="A6" s="84"/>
      <c r="B6" s="85"/>
      <c r="C6" s="88"/>
      <c r="D6" s="88"/>
      <c r="E6" s="88"/>
      <c r="F6" s="88"/>
      <c r="G6" s="89"/>
    </row>
    <row r="7" spans="1:7" x14ac:dyDescent="0.35">
      <c r="A7" s="3">
        <v>1</v>
      </c>
      <c r="B7" s="30" t="s">
        <v>110</v>
      </c>
      <c r="C7" s="33" t="s">
        <v>16</v>
      </c>
      <c r="D7" s="34">
        <v>35</v>
      </c>
      <c r="E7" s="31">
        <v>10</v>
      </c>
      <c r="F7" s="3">
        <f>E7-D7</f>
        <v>-25</v>
      </c>
      <c r="G7" s="17">
        <f>E7/D7*100%</f>
        <v>0.2857142857142857</v>
      </c>
    </row>
    <row r="8" spans="1:7" x14ac:dyDescent="0.35">
      <c r="A8" s="3">
        <v>2</v>
      </c>
      <c r="B8" s="30" t="s">
        <v>111</v>
      </c>
      <c r="C8" s="35" t="s">
        <v>18</v>
      </c>
      <c r="D8" s="36">
        <v>25</v>
      </c>
      <c r="E8" s="31">
        <v>29</v>
      </c>
      <c r="F8" s="3">
        <f t="shared" ref="F8:F12" si="0">E8-D8</f>
        <v>4</v>
      </c>
      <c r="G8" s="17">
        <f t="shared" ref="G8:G12" si="1">E8/D8*100%</f>
        <v>1.1599999999999999</v>
      </c>
    </row>
    <row r="9" spans="1:7" ht="29" x14ac:dyDescent="0.35">
      <c r="A9" s="3">
        <v>3</v>
      </c>
      <c r="B9" s="32" t="s">
        <v>112</v>
      </c>
      <c r="C9" s="35" t="s">
        <v>18</v>
      </c>
      <c r="D9" s="36">
        <v>25</v>
      </c>
      <c r="E9" s="31">
        <v>4</v>
      </c>
      <c r="F9" s="3">
        <f t="shared" si="0"/>
        <v>-21</v>
      </c>
      <c r="G9" s="17">
        <f t="shared" si="1"/>
        <v>0.16</v>
      </c>
    </row>
    <row r="10" spans="1:7" x14ac:dyDescent="0.35">
      <c r="A10" s="3">
        <v>4</v>
      </c>
      <c r="B10" s="32" t="s">
        <v>113</v>
      </c>
      <c r="C10" s="35" t="s">
        <v>18</v>
      </c>
      <c r="D10" s="36">
        <v>25</v>
      </c>
      <c r="E10" s="31">
        <v>7</v>
      </c>
      <c r="F10" s="3">
        <f t="shared" si="0"/>
        <v>-18</v>
      </c>
      <c r="G10" s="17">
        <f t="shared" si="1"/>
        <v>0.28000000000000003</v>
      </c>
    </row>
    <row r="11" spans="1:7" x14ac:dyDescent="0.35">
      <c r="A11" s="3">
        <v>5</v>
      </c>
      <c r="B11" s="30" t="s">
        <v>114</v>
      </c>
      <c r="C11" s="35" t="s">
        <v>18</v>
      </c>
      <c r="D11" s="36">
        <v>25</v>
      </c>
      <c r="E11" s="31">
        <v>10</v>
      </c>
      <c r="F11" s="3">
        <f t="shared" si="0"/>
        <v>-15</v>
      </c>
      <c r="G11" s="17">
        <f t="shared" si="1"/>
        <v>0.4</v>
      </c>
    </row>
    <row r="12" spans="1:7" x14ac:dyDescent="0.35">
      <c r="A12" s="3"/>
      <c r="B12" s="3"/>
      <c r="C12" s="3"/>
      <c r="D12" s="3">
        <v>150</v>
      </c>
      <c r="E12" s="3">
        <f>SUM(E7:E11)</f>
        <v>60</v>
      </c>
      <c r="F12" s="3">
        <f t="shared" si="0"/>
        <v>-90</v>
      </c>
      <c r="G12" s="17">
        <f t="shared" si="1"/>
        <v>0.4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0FA4-F32A-45BA-883E-177F071094BB}">
  <dimension ref="A1:M21"/>
  <sheetViews>
    <sheetView workbookViewId="0">
      <selection activeCell="C4" sqref="C4:G4"/>
    </sheetView>
  </sheetViews>
  <sheetFormatPr defaultRowHeight="14.5" x14ac:dyDescent="0.35"/>
  <cols>
    <col min="1" max="1" width="5.1796875" customWidth="1"/>
    <col min="2" max="2" width="33" customWidth="1"/>
    <col min="7" max="7" width="8.7265625" style="16"/>
    <col min="9" max="9" width="4.36328125" customWidth="1"/>
    <col min="10" max="10" width="18.54296875" customWidth="1"/>
  </cols>
  <sheetData>
    <row r="1" spans="1:13" x14ac:dyDescent="0.35">
      <c r="B1" s="5" t="s">
        <v>108</v>
      </c>
    </row>
    <row r="2" spans="1:13" x14ac:dyDescent="0.35">
      <c r="B2" s="5" t="s">
        <v>109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18">
        <v>1</v>
      </c>
      <c r="J5" s="18" t="s">
        <v>129</v>
      </c>
      <c r="K5" s="18">
        <v>190</v>
      </c>
      <c r="L5" s="18">
        <v>133</v>
      </c>
      <c r="M5" s="29">
        <f>L5/K5*100%</f>
        <v>0.7</v>
      </c>
    </row>
    <row r="6" spans="1:13" x14ac:dyDescent="0.35">
      <c r="A6" s="84"/>
      <c r="B6" s="85"/>
      <c r="C6" s="88"/>
      <c r="D6" s="88"/>
      <c r="E6" s="88"/>
      <c r="F6" s="88"/>
      <c r="G6" s="89"/>
      <c r="I6" s="18">
        <v>2</v>
      </c>
      <c r="J6" s="18" t="s">
        <v>130</v>
      </c>
      <c r="K6" s="18">
        <v>150</v>
      </c>
      <c r="L6" s="18">
        <v>103</v>
      </c>
      <c r="M6" s="29">
        <f>L6/K6*100%</f>
        <v>0.68666666666666665</v>
      </c>
    </row>
    <row r="7" spans="1:13" x14ac:dyDescent="0.35">
      <c r="A7" s="3">
        <v>1</v>
      </c>
      <c r="B7" s="32" t="s">
        <v>115</v>
      </c>
      <c r="C7" s="33" t="s">
        <v>16</v>
      </c>
      <c r="D7" s="34">
        <v>35</v>
      </c>
      <c r="E7" s="31">
        <v>0</v>
      </c>
      <c r="F7" s="3">
        <f>E7-D7</f>
        <v>-35</v>
      </c>
      <c r="G7" s="17">
        <f>E7/D7*100%</f>
        <v>0</v>
      </c>
    </row>
    <row r="8" spans="1:13" x14ac:dyDescent="0.35">
      <c r="A8" s="3">
        <v>2</v>
      </c>
      <c r="B8" s="32" t="s">
        <v>116</v>
      </c>
      <c r="C8" s="35" t="s">
        <v>18</v>
      </c>
      <c r="D8" s="14">
        <v>25</v>
      </c>
      <c r="E8" s="31">
        <v>47</v>
      </c>
      <c r="F8" s="3">
        <f t="shared" ref="F8:F21" si="0">E8-D8</f>
        <v>22</v>
      </c>
      <c r="G8" s="17">
        <f t="shared" ref="G8:G21" si="1">E8/D8*100%</f>
        <v>1.88</v>
      </c>
    </row>
    <row r="9" spans="1:13" x14ac:dyDescent="0.35">
      <c r="A9" s="3">
        <v>3</v>
      </c>
      <c r="B9" s="32" t="s">
        <v>117</v>
      </c>
      <c r="C9" s="35" t="s">
        <v>18</v>
      </c>
      <c r="D9" s="14">
        <v>25</v>
      </c>
      <c r="E9" s="31">
        <v>26</v>
      </c>
      <c r="F9" s="3">
        <f t="shared" si="0"/>
        <v>1</v>
      </c>
      <c r="G9" s="17">
        <f t="shared" si="1"/>
        <v>1.04</v>
      </c>
    </row>
    <row r="10" spans="1:13" x14ac:dyDescent="0.35">
      <c r="A10" s="3">
        <v>4</v>
      </c>
      <c r="B10" s="32" t="s">
        <v>118</v>
      </c>
      <c r="C10" s="35" t="s">
        <v>18</v>
      </c>
      <c r="D10" s="14">
        <v>25</v>
      </c>
      <c r="E10" s="31">
        <v>12</v>
      </c>
      <c r="F10" s="3">
        <f t="shared" si="0"/>
        <v>-13</v>
      </c>
      <c r="G10" s="17">
        <f t="shared" si="1"/>
        <v>0.48</v>
      </c>
    </row>
    <row r="11" spans="1:13" x14ac:dyDescent="0.35">
      <c r="A11" s="3">
        <v>5</v>
      </c>
      <c r="B11" s="32" t="s">
        <v>119</v>
      </c>
      <c r="C11" s="35" t="s">
        <v>18</v>
      </c>
      <c r="D11" s="14">
        <v>25</v>
      </c>
      <c r="E11" s="31">
        <v>17</v>
      </c>
      <c r="F11" s="3">
        <f t="shared" si="0"/>
        <v>-8</v>
      </c>
      <c r="G11" s="17">
        <f t="shared" si="1"/>
        <v>0.68</v>
      </c>
    </row>
    <row r="12" spans="1:13" ht="29" x14ac:dyDescent="0.35">
      <c r="A12" s="3">
        <v>6</v>
      </c>
      <c r="B12" s="32" t="s">
        <v>120</v>
      </c>
      <c r="C12" s="35" t="s">
        <v>18</v>
      </c>
      <c r="D12" s="14">
        <v>25</v>
      </c>
      <c r="E12" s="31">
        <v>15</v>
      </c>
      <c r="F12" s="3">
        <f t="shared" si="0"/>
        <v>-10</v>
      </c>
      <c r="G12" s="17">
        <f t="shared" si="1"/>
        <v>0.6</v>
      </c>
    </row>
    <row r="13" spans="1:13" x14ac:dyDescent="0.35">
      <c r="A13" s="3">
        <v>7</v>
      </c>
      <c r="B13" s="32" t="s">
        <v>121</v>
      </c>
      <c r="C13" s="35" t="s">
        <v>18</v>
      </c>
      <c r="D13" s="14">
        <v>25</v>
      </c>
      <c r="E13" s="31">
        <v>7</v>
      </c>
      <c r="F13" s="3">
        <f t="shared" si="0"/>
        <v>-18</v>
      </c>
      <c r="G13" s="17">
        <f t="shared" si="1"/>
        <v>0.28000000000000003</v>
      </c>
    </row>
    <row r="14" spans="1:13" x14ac:dyDescent="0.35">
      <c r="A14" s="3">
        <v>8</v>
      </c>
      <c r="B14" s="32" t="s">
        <v>122</v>
      </c>
      <c r="C14" s="35" t="s">
        <v>18</v>
      </c>
      <c r="D14" s="14">
        <v>25</v>
      </c>
      <c r="E14" s="31">
        <v>9</v>
      </c>
      <c r="F14" s="3">
        <f t="shared" si="0"/>
        <v>-16</v>
      </c>
      <c r="G14" s="17">
        <f t="shared" si="1"/>
        <v>0.36</v>
      </c>
    </row>
    <row r="15" spans="1:13" ht="29" x14ac:dyDescent="0.35">
      <c r="A15" s="3">
        <v>9</v>
      </c>
      <c r="B15" s="32" t="s">
        <v>123</v>
      </c>
      <c r="C15" s="33" t="s">
        <v>16</v>
      </c>
      <c r="D15" s="34">
        <v>35</v>
      </c>
      <c r="E15" s="31">
        <v>0</v>
      </c>
      <c r="F15" s="3">
        <f t="shared" si="0"/>
        <v>-35</v>
      </c>
      <c r="G15" s="17">
        <f t="shared" si="1"/>
        <v>0</v>
      </c>
    </row>
    <row r="16" spans="1:13" x14ac:dyDescent="0.35">
      <c r="A16" s="3">
        <v>10</v>
      </c>
      <c r="B16" s="32" t="s">
        <v>124</v>
      </c>
      <c r="C16" s="35" t="s">
        <v>18</v>
      </c>
      <c r="D16" s="14">
        <v>25</v>
      </c>
      <c r="E16" s="31">
        <v>17</v>
      </c>
      <c r="F16" s="3">
        <f t="shared" si="0"/>
        <v>-8</v>
      </c>
      <c r="G16" s="17">
        <f t="shared" si="1"/>
        <v>0.68</v>
      </c>
    </row>
    <row r="17" spans="1:7" x14ac:dyDescent="0.35">
      <c r="A17" s="3">
        <v>11</v>
      </c>
      <c r="B17" s="32" t="s">
        <v>125</v>
      </c>
      <c r="C17" s="35" t="s">
        <v>18</v>
      </c>
      <c r="D17" s="14">
        <v>25</v>
      </c>
      <c r="E17" s="31">
        <v>13</v>
      </c>
      <c r="F17" s="3">
        <f t="shared" si="0"/>
        <v>-12</v>
      </c>
      <c r="G17" s="17">
        <f t="shared" si="1"/>
        <v>0.52</v>
      </c>
    </row>
    <row r="18" spans="1:7" x14ac:dyDescent="0.35">
      <c r="A18" s="3">
        <v>12</v>
      </c>
      <c r="B18" s="32" t="s">
        <v>126</v>
      </c>
      <c r="C18" s="35" t="s">
        <v>18</v>
      </c>
      <c r="D18" s="14">
        <v>25</v>
      </c>
      <c r="E18" s="31">
        <v>26</v>
      </c>
      <c r="F18" s="3">
        <f t="shared" si="0"/>
        <v>1</v>
      </c>
      <c r="G18" s="17">
        <f t="shared" si="1"/>
        <v>1.04</v>
      </c>
    </row>
    <row r="19" spans="1:7" x14ac:dyDescent="0.35">
      <c r="A19" s="3">
        <v>13</v>
      </c>
      <c r="B19" s="32" t="s">
        <v>127</v>
      </c>
      <c r="C19" s="35" t="s">
        <v>18</v>
      </c>
      <c r="D19" s="14">
        <v>25</v>
      </c>
      <c r="E19" s="31">
        <v>17</v>
      </c>
      <c r="F19" s="3">
        <f t="shared" si="0"/>
        <v>-8</v>
      </c>
      <c r="G19" s="17">
        <f t="shared" si="1"/>
        <v>0.68</v>
      </c>
    </row>
    <row r="20" spans="1:7" x14ac:dyDescent="0.35">
      <c r="A20" s="3">
        <v>14</v>
      </c>
      <c r="B20" s="32" t="s">
        <v>128</v>
      </c>
      <c r="C20" s="35" t="s">
        <v>18</v>
      </c>
      <c r="D20" s="14">
        <v>25</v>
      </c>
      <c r="E20" s="31">
        <v>30</v>
      </c>
      <c r="F20" s="3">
        <f t="shared" si="0"/>
        <v>5</v>
      </c>
      <c r="G20" s="17">
        <f t="shared" si="1"/>
        <v>1.2</v>
      </c>
    </row>
    <row r="21" spans="1:7" x14ac:dyDescent="0.35">
      <c r="A21" s="3"/>
      <c r="B21" s="3" t="s">
        <v>47</v>
      </c>
      <c r="C21" s="3"/>
      <c r="D21" s="3">
        <v>340</v>
      </c>
      <c r="E21" s="3">
        <f>SUM(E7:E20)</f>
        <v>236</v>
      </c>
      <c r="F21" s="3">
        <f t="shared" si="0"/>
        <v>-104</v>
      </c>
      <c r="G21" s="17">
        <f t="shared" si="1"/>
        <v>0.69411764705882351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FB5C-D39C-45EE-B87E-F6DDE08DB159}">
  <dimension ref="A1:M31"/>
  <sheetViews>
    <sheetView workbookViewId="0">
      <selection activeCell="C4" sqref="C4:G4"/>
    </sheetView>
  </sheetViews>
  <sheetFormatPr defaultRowHeight="14.5" x14ac:dyDescent="0.35"/>
  <cols>
    <col min="1" max="1" width="6.36328125" customWidth="1"/>
    <col min="2" max="2" width="25.7265625" customWidth="1"/>
    <col min="7" max="7" width="8.7265625" style="16"/>
    <col min="9" max="9" width="3.08984375" customWidth="1"/>
    <col min="10" max="10" width="25.08984375" customWidth="1"/>
  </cols>
  <sheetData>
    <row r="1" spans="1:13" x14ac:dyDescent="0.35">
      <c r="B1" s="5" t="s">
        <v>201</v>
      </c>
    </row>
    <row r="2" spans="1:13" x14ac:dyDescent="0.35">
      <c r="B2" s="5" t="s">
        <v>202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82" t="s">
        <v>6</v>
      </c>
      <c r="I5" s="18">
        <v>1</v>
      </c>
      <c r="J5" s="18" t="s">
        <v>203</v>
      </c>
      <c r="K5" s="18">
        <v>150</v>
      </c>
      <c r="L5" s="18">
        <v>101</v>
      </c>
      <c r="M5" s="29">
        <f>L5/K5*100%</f>
        <v>0.67333333333333334</v>
      </c>
    </row>
    <row r="6" spans="1:13" x14ac:dyDescent="0.35">
      <c r="A6" s="84"/>
      <c r="B6" s="85"/>
      <c r="C6" s="88"/>
      <c r="D6" s="88"/>
      <c r="E6" s="88"/>
      <c r="F6" s="88"/>
      <c r="G6" s="89"/>
      <c r="I6" s="18">
        <v>2</v>
      </c>
      <c r="J6" s="18" t="s">
        <v>204</v>
      </c>
      <c r="K6" s="18">
        <v>150</v>
      </c>
      <c r="L6" s="18">
        <v>121</v>
      </c>
      <c r="M6" s="29">
        <f t="shared" ref="M6:M8" si="0">L6/K6*100%</f>
        <v>0.80666666666666664</v>
      </c>
    </row>
    <row r="7" spans="1:13" x14ac:dyDescent="0.35">
      <c r="A7" s="13">
        <v>1</v>
      </c>
      <c r="B7" s="66" t="s">
        <v>207</v>
      </c>
      <c r="C7" s="64" t="s">
        <v>16</v>
      </c>
      <c r="D7" s="64">
        <v>25</v>
      </c>
      <c r="E7" s="67">
        <v>1</v>
      </c>
      <c r="F7" s="13">
        <f>E7-D7</f>
        <v>-24</v>
      </c>
      <c r="G7" s="15">
        <f>E7/D7*100%</f>
        <v>0.04</v>
      </c>
      <c r="I7" s="18">
        <v>3</v>
      </c>
      <c r="J7" s="18" t="s">
        <v>205</v>
      </c>
      <c r="K7" s="18">
        <v>150</v>
      </c>
      <c r="L7" s="18">
        <v>117</v>
      </c>
      <c r="M7" s="29">
        <f t="shared" si="0"/>
        <v>0.78</v>
      </c>
    </row>
    <row r="8" spans="1:13" x14ac:dyDescent="0.35">
      <c r="A8" s="13">
        <v>2</v>
      </c>
      <c r="B8" s="68" t="s">
        <v>208</v>
      </c>
      <c r="C8" s="64" t="s">
        <v>18</v>
      </c>
      <c r="D8" s="64">
        <v>25</v>
      </c>
      <c r="E8" s="67">
        <v>34</v>
      </c>
      <c r="F8" s="13">
        <f t="shared" ref="F8:F31" si="1">E8-D8</f>
        <v>9</v>
      </c>
      <c r="G8" s="15">
        <f t="shared" ref="G8:G31" si="2">E8/D8*100%</f>
        <v>1.36</v>
      </c>
      <c r="I8" s="18">
        <v>4</v>
      </c>
      <c r="J8" s="18" t="s">
        <v>206</v>
      </c>
      <c r="K8" s="18">
        <v>150</v>
      </c>
      <c r="L8" s="18">
        <v>152</v>
      </c>
      <c r="M8" s="29">
        <f t="shared" si="0"/>
        <v>1.0133333333333334</v>
      </c>
    </row>
    <row r="9" spans="1:13" x14ac:dyDescent="0.35">
      <c r="A9" s="13">
        <v>3</v>
      </c>
      <c r="B9" s="68" t="s">
        <v>209</v>
      </c>
      <c r="C9" s="64" t="s">
        <v>18</v>
      </c>
      <c r="D9" s="64">
        <v>25</v>
      </c>
      <c r="E9" s="67">
        <v>31</v>
      </c>
      <c r="F9" s="13">
        <f t="shared" si="1"/>
        <v>6</v>
      </c>
      <c r="G9" s="15">
        <f t="shared" si="2"/>
        <v>1.24</v>
      </c>
    </row>
    <row r="10" spans="1:13" x14ac:dyDescent="0.35">
      <c r="A10" s="13">
        <v>4</v>
      </c>
      <c r="B10" s="68" t="s">
        <v>212</v>
      </c>
      <c r="C10" s="64" t="s">
        <v>18</v>
      </c>
      <c r="D10" s="64">
        <v>25</v>
      </c>
      <c r="E10" s="67">
        <v>30</v>
      </c>
      <c r="F10" s="13">
        <f t="shared" si="1"/>
        <v>5</v>
      </c>
      <c r="G10" s="15">
        <f t="shared" si="2"/>
        <v>1.2</v>
      </c>
    </row>
    <row r="11" spans="1:13" x14ac:dyDescent="0.35">
      <c r="A11" s="13">
        <v>5</v>
      </c>
      <c r="B11" s="68" t="s">
        <v>210</v>
      </c>
      <c r="C11" s="64" t="s">
        <v>18</v>
      </c>
      <c r="D11" s="64">
        <v>25</v>
      </c>
      <c r="E11" s="67">
        <v>31</v>
      </c>
      <c r="F11" s="13">
        <f t="shared" si="1"/>
        <v>6</v>
      </c>
      <c r="G11" s="15">
        <f t="shared" si="2"/>
        <v>1.24</v>
      </c>
    </row>
    <row r="12" spans="1:13" x14ac:dyDescent="0.35">
      <c r="A12" s="13">
        <v>6</v>
      </c>
      <c r="B12" s="68" t="s">
        <v>211</v>
      </c>
      <c r="C12" s="64" t="s">
        <v>18</v>
      </c>
      <c r="D12" s="64">
        <v>25</v>
      </c>
      <c r="E12" s="67">
        <v>25</v>
      </c>
      <c r="F12" s="13">
        <f t="shared" si="1"/>
        <v>0</v>
      </c>
      <c r="G12" s="15">
        <f t="shared" si="2"/>
        <v>1</v>
      </c>
    </row>
    <row r="13" spans="1:13" x14ac:dyDescent="0.35">
      <c r="A13" s="13">
        <v>7</v>
      </c>
      <c r="B13" s="69" t="s">
        <v>213</v>
      </c>
      <c r="C13" s="65" t="s">
        <v>16</v>
      </c>
      <c r="D13" s="65">
        <v>25</v>
      </c>
      <c r="E13" s="70">
        <v>0</v>
      </c>
      <c r="F13" s="13">
        <f t="shared" si="1"/>
        <v>-25</v>
      </c>
      <c r="G13" s="15">
        <f t="shared" si="2"/>
        <v>0</v>
      </c>
    </row>
    <row r="14" spans="1:13" x14ac:dyDescent="0.35">
      <c r="A14" s="13">
        <v>8</v>
      </c>
      <c r="B14" s="13" t="s">
        <v>214</v>
      </c>
      <c r="C14" s="65" t="s">
        <v>18</v>
      </c>
      <c r="D14" s="65">
        <v>25</v>
      </c>
      <c r="E14" s="70">
        <v>27</v>
      </c>
      <c r="F14" s="13">
        <f t="shared" si="1"/>
        <v>2</v>
      </c>
      <c r="G14" s="15">
        <f t="shared" si="2"/>
        <v>1.08</v>
      </c>
    </row>
    <row r="15" spans="1:13" x14ac:dyDescent="0.35">
      <c r="A15" s="13">
        <v>9</v>
      </c>
      <c r="B15" s="13" t="s">
        <v>215</v>
      </c>
      <c r="C15" s="65" t="s">
        <v>18</v>
      </c>
      <c r="D15" s="65">
        <v>25</v>
      </c>
      <c r="E15" s="70">
        <v>29</v>
      </c>
      <c r="F15" s="13">
        <f t="shared" si="1"/>
        <v>4</v>
      </c>
      <c r="G15" s="15">
        <f t="shared" si="2"/>
        <v>1.1599999999999999</v>
      </c>
    </row>
    <row r="16" spans="1:13" x14ac:dyDescent="0.35">
      <c r="A16" s="13">
        <v>10</v>
      </c>
      <c r="B16" s="13" t="s">
        <v>216</v>
      </c>
      <c r="C16" s="65" t="s">
        <v>18</v>
      </c>
      <c r="D16" s="65">
        <v>25</v>
      </c>
      <c r="E16" s="70">
        <v>24</v>
      </c>
      <c r="F16" s="13">
        <f t="shared" si="1"/>
        <v>-1</v>
      </c>
      <c r="G16" s="15">
        <f t="shared" si="2"/>
        <v>0.96</v>
      </c>
    </row>
    <row r="17" spans="1:7" x14ac:dyDescent="0.35">
      <c r="A17" s="13">
        <v>11</v>
      </c>
      <c r="B17" s="13" t="s">
        <v>217</v>
      </c>
      <c r="C17" s="65" t="s">
        <v>18</v>
      </c>
      <c r="D17" s="65">
        <v>25</v>
      </c>
      <c r="E17" s="70">
        <v>20</v>
      </c>
      <c r="F17" s="13">
        <f t="shared" si="1"/>
        <v>-5</v>
      </c>
      <c r="G17" s="15">
        <f t="shared" si="2"/>
        <v>0.8</v>
      </c>
    </row>
    <row r="18" spans="1:7" x14ac:dyDescent="0.35">
      <c r="A18" s="13">
        <v>12</v>
      </c>
      <c r="B18" s="13" t="s">
        <v>218</v>
      </c>
      <c r="C18" s="65" t="s">
        <v>18</v>
      </c>
      <c r="D18" s="65">
        <v>25</v>
      </c>
      <c r="E18" s="70">
        <v>21</v>
      </c>
      <c r="F18" s="13">
        <f t="shared" si="1"/>
        <v>-4</v>
      </c>
      <c r="G18" s="15">
        <f t="shared" si="2"/>
        <v>0.84</v>
      </c>
    </row>
    <row r="19" spans="1:7" x14ac:dyDescent="0.35">
      <c r="A19" s="13">
        <v>13</v>
      </c>
      <c r="B19" s="69" t="s">
        <v>219</v>
      </c>
      <c r="C19" s="65" t="s">
        <v>16</v>
      </c>
      <c r="D19" s="65">
        <v>25</v>
      </c>
      <c r="E19" s="70">
        <v>0</v>
      </c>
      <c r="F19" s="13">
        <f t="shared" si="1"/>
        <v>-25</v>
      </c>
      <c r="G19" s="15">
        <f t="shared" si="2"/>
        <v>0</v>
      </c>
    </row>
    <row r="20" spans="1:7" x14ac:dyDescent="0.35">
      <c r="A20" s="13">
        <v>14</v>
      </c>
      <c r="B20" s="13" t="s">
        <v>220</v>
      </c>
      <c r="C20" s="65" t="s">
        <v>18</v>
      </c>
      <c r="D20" s="65">
        <v>25</v>
      </c>
      <c r="E20" s="70">
        <v>28</v>
      </c>
      <c r="F20" s="13">
        <f t="shared" si="1"/>
        <v>3</v>
      </c>
      <c r="G20" s="15">
        <f t="shared" si="2"/>
        <v>1.1200000000000001</v>
      </c>
    </row>
    <row r="21" spans="1:7" x14ac:dyDescent="0.35">
      <c r="A21" s="13">
        <v>15</v>
      </c>
      <c r="B21" s="71" t="s">
        <v>221</v>
      </c>
      <c r="C21" s="65" t="s">
        <v>18</v>
      </c>
      <c r="D21" s="65">
        <v>25</v>
      </c>
      <c r="E21" s="70">
        <v>18</v>
      </c>
      <c r="F21" s="13">
        <f t="shared" si="1"/>
        <v>-7</v>
      </c>
      <c r="G21" s="15">
        <f t="shared" si="2"/>
        <v>0.72</v>
      </c>
    </row>
    <row r="22" spans="1:7" x14ac:dyDescent="0.35">
      <c r="A22" s="13">
        <v>16</v>
      </c>
      <c r="B22" s="13" t="s">
        <v>222</v>
      </c>
      <c r="C22" s="65" t="s">
        <v>18</v>
      </c>
      <c r="D22" s="65">
        <v>25</v>
      </c>
      <c r="E22" s="70">
        <v>30</v>
      </c>
      <c r="F22" s="13">
        <f t="shared" si="1"/>
        <v>5</v>
      </c>
      <c r="G22" s="15">
        <f t="shared" si="2"/>
        <v>1.2</v>
      </c>
    </row>
    <row r="23" spans="1:7" x14ac:dyDescent="0.35">
      <c r="A23" s="13">
        <v>17</v>
      </c>
      <c r="B23" s="13" t="s">
        <v>223</v>
      </c>
      <c r="C23" s="65" t="s">
        <v>18</v>
      </c>
      <c r="D23" s="65">
        <v>25</v>
      </c>
      <c r="E23" s="70">
        <v>13</v>
      </c>
      <c r="F23" s="13">
        <f t="shared" si="1"/>
        <v>-12</v>
      </c>
      <c r="G23" s="15">
        <f t="shared" si="2"/>
        <v>0.52</v>
      </c>
    </row>
    <row r="24" spans="1:7" x14ac:dyDescent="0.35">
      <c r="A24" s="13">
        <v>18</v>
      </c>
      <c r="B24" s="71" t="s">
        <v>224</v>
      </c>
      <c r="C24" s="65" t="s">
        <v>18</v>
      </c>
      <c r="D24" s="65">
        <v>25</v>
      </c>
      <c r="E24" s="70">
        <v>12</v>
      </c>
      <c r="F24" s="13">
        <f t="shared" si="1"/>
        <v>-13</v>
      </c>
      <c r="G24" s="15">
        <f t="shared" si="2"/>
        <v>0.48</v>
      </c>
    </row>
    <row r="25" spans="1:7" x14ac:dyDescent="0.35">
      <c r="A25" s="13">
        <v>19</v>
      </c>
      <c r="B25" s="69" t="s">
        <v>225</v>
      </c>
      <c r="C25" s="65" t="s">
        <v>16</v>
      </c>
      <c r="D25" s="65">
        <v>25</v>
      </c>
      <c r="E25" s="70">
        <v>0</v>
      </c>
      <c r="F25" s="13">
        <f t="shared" si="1"/>
        <v>-25</v>
      </c>
      <c r="G25" s="15">
        <f t="shared" si="2"/>
        <v>0</v>
      </c>
    </row>
    <row r="26" spans="1:7" x14ac:dyDescent="0.35">
      <c r="A26" s="13">
        <v>20</v>
      </c>
      <c r="B26" s="13" t="s">
        <v>226</v>
      </c>
      <c r="C26" s="65" t="s">
        <v>18</v>
      </c>
      <c r="D26" s="65">
        <v>25</v>
      </c>
      <c r="E26" s="70">
        <v>30</v>
      </c>
      <c r="F26" s="13">
        <f t="shared" si="1"/>
        <v>5</v>
      </c>
      <c r="G26" s="15">
        <f t="shared" si="2"/>
        <v>1.2</v>
      </c>
    </row>
    <row r="27" spans="1:7" x14ac:dyDescent="0.35">
      <c r="A27" s="13">
        <v>21</v>
      </c>
      <c r="B27" s="13" t="s">
        <v>227</v>
      </c>
      <c r="C27" s="65" t="s">
        <v>18</v>
      </c>
      <c r="D27" s="65">
        <v>25</v>
      </c>
      <c r="E27" s="70">
        <v>32</v>
      </c>
      <c r="F27" s="13">
        <f t="shared" si="1"/>
        <v>7</v>
      </c>
      <c r="G27" s="15">
        <f t="shared" si="2"/>
        <v>1.28</v>
      </c>
    </row>
    <row r="28" spans="1:7" x14ac:dyDescent="0.35">
      <c r="A28" s="13">
        <v>22</v>
      </c>
      <c r="B28" s="13" t="s">
        <v>228</v>
      </c>
      <c r="C28" s="65" t="s">
        <v>18</v>
      </c>
      <c r="D28" s="65">
        <v>25</v>
      </c>
      <c r="E28" s="70">
        <v>2</v>
      </c>
      <c r="F28" s="13">
        <f t="shared" si="1"/>
        <v>-23</v>
      </c>
      <c r="G28" s="15">
        <f t="shared" si="2"/>
        <v>0.08</v>
      </c>
    </row>
    <row r="29" spans="1:7" x14ac:dyDescent="0.35">
      <c r="A29" s="13">
        <v>23</v>
      </c>
      <c r="B29" s="13" t="s">
        <v>229</v>
      </c>
      <c r="C29" s="65" t="s">
        <v>18</v>
      </c>
      <c r="D29" s="65">
        <v>25</v>
      </c>
      <c r="E29" s="70">
        <v>37</v>
      </c>
      <c r="F29" s="13">
        <f t="shared" si="1"/>
        <v>12</v>
      </c>
      <c r="G29" s="15">
        <f t="shared" si="2"/>
        <v>1.48</v>
      </c>
    </row>
    <row r="30" spans="1:7" x14ac:dyDescent="0.35">
      <c r="A30" s="13">
        <v>24</v>
      </c>
      <c r="B30" s="13" t="s">
        <v>230</v>
      </c>
      <c r="C30" s="65" t="s">
        <v>18</v>
      </c>
      <c r="D30" s="65">
        <v>25</v>
      </c>
      <c r="E30" s="70">
        <v>16</v>
      </c>
      <c r="F30" s="13">
        <f t="shared" si="1"/>
        <v>-9</v>
      </c>
      <c r="G30" s="15">
        <f t="shared" si="2"/>
        <v>0.64</v>
      </c>
    </row>
    <row r="31" spans="1:7" x14ac:dyDescent="0.35">
      <c r="A31" s="13"/>
      <c r="B31" s="13" t="s">
        <v>47</v>
      </c>
      <c r="C31" s="13"/>
      <c r="D31" s="13">
        <v>600</v>
      </c>
      <c r="E31" s="13">
        <f>SUM(E7:E30)</f>
        <v>491</v>
      </c>
      <c r="F31" s="13">
        <f t="shared" si="1"/>
        <v>-109</v>
      </c>
      <c r="G31" s="15">
        <f t="shared" si="2"/>
        <v>0.81833333333333336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7D58-DAD1-4640-ABDD-8C4B44985855}">
  <dimension ref="A1:M22"/>
  <sheetViews>
    <sheetView tabSelected="1" workbookViewId="0">
      <selection activeCell="O4" sqref="O4"/>
    </sheetView>
  </sheetViews>
  <sheetFormatPr defaultRowHeight="14.5" x14ac:dyDescent="0.35"/>
  <cols>
    <col min="1" max="1" width="4.453125" customWidth="1"/>
    <col min="2" max="2" width="28.1796875" customWidth="1"/>
    <col min="7" max="7" width="8.7265625" style="16"/>
    <col min="9" max="9" width="4.7265625" customWidth="1"/>
    <col min="10" max="10" width="22" customWidth="1"/>
  </cols>
  <sheetData>
    <row r="1" spans="1:13" x14ac:dyDescent="0.35">
      <c r="B1" s="5" t="s">
        <v>201</v>
      </c>
    </row>
    <row r="2" spans="1:13" x14ac:dyDescent="0.35">
      <c r="B2" s="5" t="s">
        <v>396</v>
      </c>
    </row>
    <row r="4" spans="1:13" x14ac:dyDescent="0.35">
      <c r="A4" s="78" t="s">
        <v>9</v>
      </c>
      <c r="B4" s="79" t="s">
        <v>10</v>
      </c>
      <c r="C4" s="86" t="s">
        <v>930</v>
      </c>
      <c r="D4" s="87"/>
      <c r="E4" s="87"/>
      <c r="F4" s="87"/>
      <c r="G4" s="87"/>
      <c r="I4" s="27" t="s">
        <v>0</v>
      </c>
      <c r="J4" s="1" t="s">
        <v>2</v>
      </c>
      <c r="K4" s="1" t="s">
        <v>4</v>
      </c>
      <c r="L4" s="1" t="s">
        <v>5</v>
      </c>
      <c r="M4" s="2" t="s">
        <v>6</v>
      </c>
    </row>
    <row r="5" spans="1:13" x14ac:dyDescent="0.35">
      <c r="A5" s="78"/>
      <c r="B5" s="79"/>
      <c r="C5" s="80" t="s">
        <v>11</v>
      </c>
      <c r="D5" s="80" t="s">
        <v>12</v>
      </c>
      <c r="E5" s="80" t="s">
        <v>13</v>
      </c>
      <c r="F5" s="80" t="s">
        <v>14</v>
      </c>
      <c r="G5" s="100" t="s">
        <v>6</v>
      </c>
      <c r="I5" s="18">
        <v>1</v>
      </c>
      <c r="J5" s="18" t="s">
        <v>397</v>
      </c>
      <c r="K5" s="18">
        <v>150</v>
      </c>
      <c r="L5" s="18">
        <v>125</v>
      </c>
      <c r="M5" s="29">
        <f>L5/K5*100%</f>
        <v>0.83333333333333337</v>
      </c>
    </row>
    <row r="6" spans="1:13" x14ac:dyDescent="0.35">
      <c r="A6" s="84"/>
      <c r="B6" s="85"/>
      <c r="C6" s="88"/>
      <c r="D6" s="88"/>
      <c r="E6" s="88"/>
      <c r="F6" s="88"/>
      <c r="G6" s="128"/>
      <c r="I6" s="18">
        <v>2</v>
      </c>
      <c r="J6" s="18" t="s">
        <v>398</v>
      </c>
      <c r="K6" s="18">
        <v>150</v>
      </c>
      <c r="L6" s="18">
        <v>72</v>
      </c>
      <c r="M6" s="29">
        <f t="shared" ref="M6:M7" si="0">L6/K6*100%</f>
        <v>0.48</v>
      </c>
    </row>
    <row r="7" spans="1:13" x14ac:dyDescent="0.35">
      <c r="A7" s="13">
        <v>1</v>
      </c>
      <c r="B7" s="9" t="s">
        <v>400</v>
      </c>
      <c r="C7" s="10" t="s">
        <v>16</v>
      </c>
      <c r="D7" s="10">
        <v>35</v>
      </c>
      <c r="E7" s="10">
        <v>4</v>
      </c>
      <c r="F7" s="13">
        <f>E7-D7</f>
        <v>-31</v>
      </c>
      <c r="G7" s="15">
        <f>E7/D7*100%</f>
        <v>0.11428571428571428</v>
      </c>
      <c r="I7" s="18">
        <v>3</v>
      </c>
      <c r="J7" s="18" t="s">
        <v>399</v>
      </c>
      <c r="K7" s="18">
        <v>150</v>
      </c>
      <c r="L7" s="18">
        <v>73</v>
      </c>
      <c r="M7" s="29">
        <f t="shared" si="0"/>
        <v>0.48666666666666669</v>
      </c>
    </row>
    <row r="8" spans="1:13" x14ac:dyDescent="0.35">
      <c r="A8" s="13">
        <v>2</v>
      </c>
      <c r="B8" s="8" t="s">
        <v>401</v>
      </c>
      <c r="C8" s="10" t="s">
        <v>18</v>
      </c>
      <c r="D8" s="10">
        <v>25</v>
      </c>
      <c r="E8" s="10">
        <v>41</v>
      </c>
      <c r="F8" s="13">
        <f t="shared" ref="F8:F22" si="1">E8-D8</f>
        <v>16</v>
      </c>
      <c r="G8" s="15">
        <f t="shared" ref="G8:G22" si="2">E8/D8*100%</f>
        <v>1.64</v>
      </c>
    </row>
    <row r="9" spans="1:13" x14ac:dyDescent="0.35">
      <c r="A9" s="13">
        <v>3</v>
      </c>
      <c r="B9" s="9" t="s">
        <v>402</v>
      </c>
      <c r="C9" s="10" t="s">
        <v>18</v>
      </c>
      <c r="D9" s="10">
        <v>25</v>
      </c>
      <c r="E9" s="10">
        <v>25</v>
      </c>
      <c r="F9" s="13">
        <f t="shared" si="1"/>
        <v>0</v>
      </c>
      <c r="G9" s="15">
        <f t="shared" si="2"/>
        <v>1</v>
      </c>
    </row>
    <row r="10" spans="1:13" x14ac:dyDescent="0.35">
      <c r="A10" s="13">
        <v>4</v>
      </c>
      <c r="B10" s="9" t="s">
        <v>403</v>
      </c>
      <c r="C10" s="10" t="s">
        <v>18</v>
      </c>
      <c r="D10" s="10">
        <v>25</v>
      </c>
      <c r="E10" s="10">
        <v>32</v>
      </c>
      <c r="F10" s="13">
        <f t="shared" si="1"/>
        <v>7</v>
      </c>
      <c r="G10" s="15">
        <f t="shared" si="2"/>
        <v>1.28</v>
      </c>
    </row>
    <row r="11" spans="1:13" x14ac:dyDescent="0.35">
      <c r="A11" s="13">
        <v>5</v>
      </c>
      <c r="B11" s="9" t="s">
        <v>404</v>
      </c>
      <c r="C11" s="10" t="s">
        <v>18</v>
      </c>
      <c r="D11" s="10">
        <v>25</v>
      </c>
      <c r="E11" s="10">
        <v>23</v>
      </c>
      <c r="F11" s="13">
        <f t="shared" si="1"/>
        <v>-2</v>
      </c>
      <c r="G11" s="15">
        <f t="shared" si="2"/>
        <v>0.92</v>
      </c>
    </row>
    <row r="12" spans="1:13" x14ac:dyDescent="0.35">
      <c r="A12" s="13">
        <v>6</v>
      </c>
      <c r="B12" s="9" t="s">
        <v>405</v>
      </c>
      <c r="C12" s="10" t="s">
        <v>16</v>
      </c>
      <c r="D12" s="10">
        <v>35</v>
      </c>
      <c r="E12" s="10">
        <v>2</v>
      </c>
      <c r="F12" s="13">
        <f t="shared" si="1"/>
        <v>-33</v>
      </c>
      <c r="G12" s="15">
        <f t="shared" si="2"/>
        <v>5.7142857142857141E-2</v>
      </c>
    </row>
    <row r="13" spans="1:13" x14ac:dyDescent="0.35">
      <c r="A13" s="13">
        <v>7</v>
      </c>
      <c r="B13" s="8" t="s">
        <v>406</v>
      </c>
      <c r="C13" s="10" t="s">
        <v>18</v>
      </c>
      <c r="D13" s="10">
        <v>25</v>
      </c>
      <c r="E13" s="10">
        <v>24</v>
      </c>
      <c r="F13" s="13">
        <f t="shared" si="1"/>
        <v>-1</v>
      </c>
      <c r="G13" s="15">
        <f t="shared" si="2"/>
        <v>0.96</v>
      </c>
    </row>
    <row r="14" spans="1:13" x14ac:dyDescent="0.35">
      <c r="A14" s="13">
        <v>8</v>
      </c>
      <c r="B14" s="8" t="s">
        <v>407</v>
      </c>
      <c r="C14" s="10" t="s">
        <v>18</v>
      </c>
      <c r="D14" s="10">
        <v>25</v>
      </c>
      <c r="E14" s="10">
        <v>29</v>
      </c>
      <c r="F14" s="13">
        <f t="shared" si="1"/>
        <v>4</v>
      </c>
      <c r="G14" s="15">
        <f t="shared" si="2"/>
        <v>1.1599999999999999</v>
      </c>
    </row>
    <row r="15" spans="1:13" x14ac:dyDescent="0.35">
      <c r="A15" s="13">
        <v>9</v>
      </c>
      <c r="B15" s="8" t="s">
        <v>408</v>
      </c>
      <c r="C15" s="10" t="s">
        <v>18</v>
      </c>
      <c r="D15" s="10">
        <v>25</v>
      </c>
      <c r="E15" s="10">
        <v>17</v>
      </c>
      <c r="F15" s="13">
        <f t="shared" si="1"/>
        <v>-8</v>
      </c>
      <c r="G15" s="15">
        <f t="shared" si="2"/>
        <v>0.68</v>
      </c>
    </row>
    <row r="16" spans="1:13" x14ac:dyDescent="0.35">
      <c r="A16" s="13">
        <v>10</v>
      </c>
      <c r="B16" s="8" t="s">
        <v>409</v>
      </c>
      <c r="C16" s="10" t="s">
        <v>18</v>
      </c>
      <c r="D16" s="10">
        <v>25</v>
      </c>
      <c r="E16" s="10">
        <v>0</v>
      </c>
      <c r="F16" s="13">
        <f t="shared" si="1"/>
        <v>-25</v>
      </c>
      <c r="G16" s="15">
        <f t="shared" si="2"/>
        <v>0</v>
      </c>
    </row>
    <row r="17" spans="1:7" x14ac:dyDescent="0.35">
      <c r="A17" s="13">
        <v>11</v>
      </c>
      <c r="B17" s="8" t="s">
        <v>410</v>
      </c>
      <c r="C17" s="10" t="s">
        <v>16</v>
      </c>
      <c r="D17" s="10">
        <v>35</v>
      </c>
      <c r="E17" s="10">
        <v>2</v>
      </c>
      <c r="F17" s="13">
        <f t="shared" si="1"/>
        <v>-33</v>
      </c>
      <c r="G17" s="15">
        <f t="shared" si="2"/>
        <v>5.7142857142857141E-2</v>
      </c>
    </row>
    <row r="18" spans="1:7" x14ac:dyDescent="0.35">
      <c r="A18" s="13">
        <v>12</v>
      </c>
      <c r="B18" s="8" t="s">
        <v>411</v>
      </c>
      <c r="C18" s="10" t="s">
        <v>18</v>
      </c>
      <c r="D18" s="10">
        <v>25</v>
      </c>
      <c r="E18" s="10">
        <v>21</v>
      </c>
      <c r="F18" s="13">
        <f t="shared" si="1"/>
        <v>-4</v>
      </c>
      <c r="G18" s="15">
        <f t="shared" si="2"/>
        <v>0.84</v>
      </c>
    </row>
    <row r="19" spans="1:7" x14ac:dyDescent="0.35">
      <c r="A19" s="13">
        <v>13</v>
      </c>
      <c r="B19" s="9" t="s">
        <v>412</v>
      </c>
      <c r="C19" s="10" t="s">
        <v>18</v>
      </c>
      <c r="D19" s="10">
        <v>25</v>
      </c>
      <c r="E19" s="10">
        <v>24</v>
      </c>
      <c r="F19" s="13">
        <f t="shared" si="1"/>
        <v>-1</v>
      </c>
      <c r="G19" s="15">
        <f t="shared" si="2"/>
        <v>0.96</v>
      </c>
    </row>
    <row r="20" spans="1:7" x14ac:dyDescent="0.35">
      <c r="A20" s="13">
        <v>14</v>
      </c>
      <c r="B20" s="8" t="s">
        <v>413</v>
      </c>
      <c r="C20" s="10" t="s">
        <v>18</v>
      </c>
      <c r="D20" s="10">
        <v>25</v>
      </c>
      <c r="E20" s="10">
        <v>23</v>
      </c>
      <c r="F20" s="13">
        <f t="shared" si="1"/>
        <v>-2</v>
      </c>
      <c r="G20" s="15">
        <f t="shared" si="2"/>
        <v>0.92</v>
      </c>
    </row>
    <row r="21" spans="1:7" x14ac:dyDescent="0.35">
      <c r="A21" s="13">
        <v>15</v>
      </c>
      <c r="B21" s="8" t="s">
        <v>414</v>
      </c>
      <c r="C21" s="10" t="s">
        <v>18</v>
      </c>
      <c r="D21" s="10">
        <v>25</v>
      </c>
      <c r="E21" s="10">
        <v>3</v>
      </c>
      <c r="F21" s="13">
        <f t="shared" si="1"/>
        <v>-22</v>
      </c>
      <c r="G21" s="15">
        <f t="shared" si="2"/>
        <v>0.12</v>
      </c>
    </row>
    <row r="22" spans="1:7" x14ac:dyDescent="0.35">
      <c r="A22" s="13"/>
      <c r="B22" s="13" t="s">
        <v>47</v>
      </c>
      <c r="C22" s="13"/>
      <c r="D22" s="13">
        <v>450</v>
      </c>
      <c r="E22" s="13">
        <f>SUM(E7:E21)</f>
        <v>270</v>
      </c>
      <c r="F22" s="13">
        <f t="shared" si="1"/>
        <v>-180</v>
      </c>
      <c r="G22" s="15">
        <f t="shared" si="2"/>
        <v>0.6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PENCAPAIAN KOTA</vt:lpstr>
      <vt:lpstr>PERSENTASE TIM</vt:lpstr>
      <vt:lpstr>BEST DS DAN SPV</vt:lpstr>
      <vt:lpstr>SERANG</vt:lpstr>
      <vt:lpstr>CILEGON</vt:lpstr>
      <vt:lpstr>KAB.PANDEGLANG</vt:lpstr>
      <vt:lpstr>KOTA TANGGERANG</vt:lpstr>
      <vt:lpstr>TANGSEL(CIPUTAT)</vt:lpstr>
      <vt:lpstr>KAB TANGGERANG</vt:lpstr>
      <vt:lpstr>JAKARTA</vt:lpstr>
      <vt:lpstr>DEPOK</vt:lpstr>
      <vt:lpstr>CENGKARENG</vt:lpstr>
      <vt:lpstr>KLAPANUNGGAL</vt:lpstr>
      <vt:lpstr>CILEUNGSI</vt:lpstr>
      <vt:lpstr>PARUNG</vt:lpstr>
      <vt:lpstr>TAMBUN </vt:lpstr>
      <vt:lpstr>BANDUNG</vt:lpstr>
      <vt:lpstr>CISOLOK</vt:lpstr>
      <vt:lpstr>CIREBON</vt:lpstr>
      <vt:lpstr>SUBANG</vt:lpstr>
      <vt:lpstr>KARAWANG</vt:lpstr>
      <vt:lpstr>PURWAKARTA</vt:lpstr>
      <vt:lpstr>BANJARSARI</vt:lpstr>
      <vt:lpstr>BANJAR</vt:lpstr>
      <vt:lpstr>CIAMIS</vt:lpstr>
      <vt:lpstr>CIAWI</vt:lpstr>
      <vt:lpstr>CIANJUR</vt:lpstr>
      <vt:lpstr>TASIKMALAYA</vt:lpstr>
      <vt:lpstr>KAB TASIK</vt:lpstr>
      <vt:lpstr>GARUT</vt:lpstr>
      <vt:lpstr>SEMARANG</vt:lpstr>
      <vt:lpstr>CILACAP</vt:lpstr>
      <vt:lpstr>KEBUMEN</vt:lpstr>
      <vt:lpstr>PURWOKERTO</vt:lpstr>
      <vt:lpstr>TEGAL</vt:lpstr>
      <vt:lpstr>KENDAL</vt:lpstr>
      <vt:lpstr>DEMAK</vt:lpstr>
      <vt:lpstr>KUDUS</vt:lpstr>
      <vt:lpstr>JOGJA</vt:lpstr>
      <vt:lpstr>KLATEN</vt:lpstr>
      <vt:lpstr>SOLO</vt:lpstr>
      <vt:lpstr>SALATIGA</vt:lpstr>
      <vt:lpstr>SURABAYA</vt:lpstr>
      <vt:lpstr>PONOROGO</vt:lpstr>
      <vt:lpstr>SIDOARJO</vt:lpstr>
      <vt:lpstr>KEDIRI</vt:lpstr>
      <vt:lpstr>MALANG</vt:lpstr>
      <vt:lpstr>DENPASAR</vt:lpstr>
      <vt:lpstr>BADUNG</vt:lpstr>
      <vt:lpstr>TABANAN</vt:lpstr>
      <vt:lpstr>NEGARA</vt:lpstr>
      <vt:lpstr>MEDAN</vt:lpstr>
      <vt:lpstr>BANGKA BELITUNG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2024-11-20T08:59:56Z</dcterms:created>
  <dcterms:modified xsi:type="dcterms:W3CDTF">2024-11-22T11:26:46Z</dcterms:modified>
</cp:coreProperties>
</file>