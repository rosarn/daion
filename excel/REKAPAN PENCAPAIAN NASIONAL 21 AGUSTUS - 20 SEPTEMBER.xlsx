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D1A233F-CE68-423C-BEC6-E3EBED1D82C9}" xr6:coauthVersionLast="47" xr6:coauthVersionMax="47" xr10:uidLastSave="{00000000-0000-0000-0000-000000000000}"/>
  <bookViews>
    <workbookView xWindow="-110" yWindow="-110" windowWidth="19420" windowHeight="10300" firstSheet="36" activeTab="41" xr2:uid="{CCFC6E74-C7C1-48CC-87C0-1C9E92E50074}"/>
  </bookViews>
  <sheets>
    <sheet name="PENCAPAIAN KOTA" sheetId="1" r:id="rId1"/>
    <sheet name="BEST DS" sheetId="39" r:id="rId2"/>
    <sheet name="BANTEN" sheetId="2" r:id="rId3"/>
    <sheet name="TANGGERANG" sheetId="3" r:id="rId4"/>
    <sheet name="JAKARTA" sheetId="4" r:id="rId5"/>
    <sheet name="DEPOK" sheetId="5" r:id="rId6"/>
    <sheet name="BOGOR" sheetId="6" r:id="rId7"/>
    <sheet name="CIREBON" sheetId="7" r:id="rId8"/>
    <sheet name="SUBANG" sheetId="8" r:id="rId9"/>
    <sheet name="KARAWANG" sheetId="9" r:id="rId10"/>
    <sheet name="PURWAKARTA" sheetId="10" r:id="rId11"/>
    <sheet name="CISOLOK" sheetId="11" r:id="rId12"/>
    <sheet name="TASIKMALAYA" sheetId="12" r:id="rId13"/>
    <sheet name="KAB TASIK" sheetId="13" r:id="rId14"/>
    <sheet name="GARUT" sheetId="14" r:id="rId15"/>
    <sheet name="BANJAR" sheetId="15" r:id="rId16"/>
    <sheet name="CIAMIS" sheetId="16" r:id="rId17"/>
    <sheet name="CIAWI" sheetId="17" r:id="rId18"/>
    <sheet name="BANDUNG RAYA" sheetId="18" r:id="rId19"/>
    <sheet name="CIANJUR" sheetId="19" r:id="rId20"/>
    <sheet name="SEMARANG" sheetId="20" r:id="rId21"/>
    <sheet name="DEMAK" sheetId="21" r:id="rId22"/>
    <sheet name="KENDAL" sheetId="22" r:id="rId23"/>
    <sheet name="KUDUS" sheetId="23" r:id="rId24"/>
    <sheet name="CILACAP" sheetId="24" r:id="rId25"/>
    <sheet name="TEGAL" sheetId="40" r:id="rId26"/>
    <sheet name="KEBUMEN" sheetId="25" r:id="rId27"/>
    <sheet name="PURWOKERTO" sheetId="26" r:id="rId28"/>
    <sheet name="PONOROGO" sheetId="43" r:id="rId29"/>
    <sheet name="JOGJA" sheetId="27" r:id="rId30"/>
    <sheet name="KLATEN" sheetId="28" r:id="rId31"/>
    <sheet name="SOLO" sheetId="29" r:id="rId32"/>
    <sheet name="SURABAYA" sheetId="30" r:id="rId33"/>
    <sheet name="SIDOARJO" sheetId="42" r:id="rId34"/>
    <sheet name="KEDIRI" sheetId="31" r:id="rId35"/>
    <sheet name="MALANG" sheetId="32" r:id="rId36"/>
    <sheet name="BANGKA BELITUNG" sheetId="33" r:id="rId37"/>
    <sheet name="MEDAN" sheetId="34" r:id="rId38"/>
    <sheet name="DENPASAR" sheetId="35" r:id="rId39"/>
    <sheet name="BADUNG" sheetId="36" r:id="rId40"/>
    <sheet name="TABANAN" sheetId="37" r:id="rId41"/>
    <sheet name="NEGARA" sheetId="38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3" l="1"/>
  <c r="G5" i="43"/>
  <c r="G6" i="43"/>
  <c r="G7" i="43"/>
  <c r="G4" i="43"/>
  <c r="F5" i="43"/>
  <c r="F6" i="43"/>
  <c r="F7" i="43"/>
  <c r="F4" i="43"/>
  <c r="G52" i="1"/>
  <c r="F5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" i="1"/>
  <c r="E27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4" i="5"/>
  <c r="E29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4" i="4"/>
  <c r="E5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4" i="20"/>
  <c r="E10" i="11"/>
  <c r="G5" i="11"/>
  <c r="G6" i="11"/>
  <c r="G7" i="11"/>
  <c r="G8" i="11"/>
  <c r="G9" i="11"/>
  <c r="G10" i="11"/>
  <c r="G4" i="11"/>
  <c r="F5" i="11"/>
  <c r="F6" i="11"/>
  <c r="F7" i="11"/>
  <c r="F8" i="11"/>
  <c r="F9" i="11"/>
  <c r="F10" i="11"/>
  <c r="F4" i="11"/>
  <c r="E9" i="10"/>
  <c r="G5" i="10"/>
  <c r="G6" i="10"/>
  <c r="G7" i="10"/>
  <c r="G8" i="10"/>
  <c r="G9" i="10"/>
  <c r="G4" i="10"/>
  <c r="F5" i="10"/>
  <c r="F6" i="10"/>
  <c r="F7" i="10"/>
  <c r="F8" i="10"/>
  <c r="F9" i="10"/>
  <c r="F4" i="10"/>
  <c r="E10" i="9"/>
  <c r="G5" i="9"/>
  <c r="G6" i="9"/>
  <c r="G7" i="9"/>
  <c r="G8" i="9"/>
  <c r="G9" i="9"/>
  <c r="G10" i="9"/>
  <c r="G4" i="9"/>
  <c r="F5" i="9"/>
  <c r="F6" i="9"/>
  <c r="F7" i="9"/>
  <c r="F8" i="9"/>
  <c r="F9" i="9"/>
  <c r="F10" i="9"/>
  <c r="F4" i="9"/>
  <c r="E20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4" i="8"/>
  <c r="E28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4" i="7"/>
  <c r="E20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4" i="31"/>
  <c r="E9" i="42"/>
  <c r="G5" i="42"/>
  <c r="G6" i="42"/>
  <c r="G7" i="42"/>
  <c r="G8" i="42"/>
  <c r="G9" i="42"/>
  <c r="G4" i="42"/>
  <c r="F5" i="42"/>
  <c r="F6" i="42"/>
  <c r="F7" i="42"/>
  <c r="F8" i="42"/>
  <c r="F4" i="42"/>
  <c r="E11" i="30"/>
  <c r="G5" i="30"/>
  <c r="G6" i="30"/>
  <c r="G7" i="30"/>
  <c r="G8" i="30"/>
  <c r="G9" i="30"/>
  <c r="G10" i="30"/>
  <c r="G11" i="30"/>
  <c r="G4" i="30"/>
  <c r="F5" i="30"/>
  <c r="F6" i="30"/>
  <c r="F7" i="30"/>
  <c r="F8" i="30"/>
  <c r="F9" i="30"/>
  <c r="F10" i="30"/>
  <c r="F4" i="30"/>
  <c r="E8" i="32"/>
  <c r="G5" i="32"/>
  <c r="G6" i="32"/>
  <c r="G7" i="32"/>
  <c r="G8" i="32"/>
  <c r="G4" i="32"/>
  <c r="F5" i="32"/>
  <c r="F6" i="32"/>
  <c r="F7" i="32"/>
  <c r="F4" i="32"/>
  <c r="E12" i="28"/>
  <c r="G5" i="28"/>
  <c r="G6" i="28"/>
  <c r="G7" i="28"/>
  <c r="G8" i="28"/>
  <c r="G9" i="28"/>
  <c r="G10" i="28"/>
  <c r="G11" i="28"/>
  <c r="G12" i="28"/>
  <c r="G4" i="28"/>
  <c r="F5" i="28"/>
  <c r="F6" i="28"/>
  <c r="F7" i="28"/>
  <c r="F8" i="28"/>
  <c r="F9" i="28"/>
  <c r="F10" i="28"/>
  <c r="F11" i="28"/>
  <c r="F12" i="28"/>
  <c r="F4" i="28"/>
  <c r="E26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4" i="27"/>
  <c r="E9" i="19"/>
  <c r="G5" i="19"/>
  <c r="G6" i="19"/>
  <c r="G7" i="19"/>
  <c r="G8" i="19"/>
  <c r="G9" i="19"/>
  <c r="G4" i="19"/>
  <c r="F5" i="19"/>
  <c r="F6" i="19"/>
  <c r="F7" i="19"/>
  <c r="F8" i="19"/>
  <c r="F9" i="19"/>
  <c r="F4" i="19"/>
  <c r="E28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4" i="18"/>
  <c r="E14" i="17"/>
  <c r="G5" i="17"/>
  <c r="G6" i="17"/>
  <c r="G7" i="17"/>
  <c r="G8" i="17"/>
  <c r="G9" i="17"/>
  <c r="G10" i="17"/>
  <c r="G11" i="17"/>
  <c r="G12" i="17"/>
  <c r="G13" i="17"/>
  <c r="G14" i="17"/>
  <c r="G4" i="17"/>
  <c r="F5" i="17"/>
  <c r="F6" i="17"/>
  <c r="F7" i="17"/>
  <c r="F8" i="17"/>
  <c r="F9" i="17"/>
  <c r="F10" i="17"/>
  <c r="F11" i="17"/>
  <c r="F12" i="17"/>
  <c r="F13" i="17"/>
  <c r="F14" i="17"/>
  <c r="F4" i="17"/>
  <c r="E18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4" i="16"/>
  <c r="E2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4" i="15"/>
  <c r="E2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4" i="14"/>
  <c r="E12" i="13"/>
  <c r="G5" i="13"/>
  <c r="G6" i="13"/>
  <c r="G7" i="13"/>
  <c r="G8" i="13"/>
  <c r="G9" i="13"/>
  <c r="G10" i="13"/>
  <c r="G11" i="13"/>
  <c r="G12" i="13"/>
  <c r="G4" i="13"/>
  <c r="F5" i="13"/>
  <c r="F6" i="13"/>
  <c r="F7" i="13"/>
  <c r="F8" i="13"/>
  <c r="F9" i="13"/>
  <c r="F10" i="13"/>
  <c r="F11" i="13"/>
  <c r="F12" i="13"/>
  <c r="F4" i="13"/>
  <c r="E26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4" i="12"/>
  <c r="E15" i="40"/>
  <c r="G5" i="40"/>
  <c r="G6" i="40"/>
  <c r="G7" i="40"/>
  <c r="G8" i="40"/>
  <c r="G9" i="40"/>
  <c r="G10" i="40"/>
  <c r="G11" i="40"/>
  <c r="G12" i="40"/>
  <c r="G13" i="40"/>
  <c r="G14" i="40"/>
  <c r="G15" i="40"/>
  <c r="G4" i="40"/>
  <c r="F5" i="40"/>
  <c r="F6" i="40"/>
  <c r="F7" i="40"/>
  <c r="F8" i="40"/>
  <c r="F9" i="40"/>
  <c r="F10" i="40"/>
  <c r="F11" i="40"/>
  <c r="F12" i="40"/>
  <c r="F13" i="40"/>
  <c r="F14" i="40"/>
  <c r="F15" i="40"/>
  <c r="F4" i="40"/>
  <c r="E14" i="26"/>
  <c r="G8" i="26"/>
  <c r="G9" i="26"/>
  <c r="G10" i="26"/>
  <c r="G11" i="26"/>
  <c r="G12" i="26"/>
  <c r="G13" i="26"/>
  <c r="G14" i="26"/>
  <c r="F8" i="26"/>
  <c r="F9" i="26"/>
  <c r="F10" i="26"/>
  <c r="F11" i="26"/>
  <c r="F12" i="26"/>
  <c r="F13" i="26"/>
  <c r="G5" i="26"/>
  <c r="G6" i="26"/>
  <c r="G7" i="26"/>
  <c r="G4" i="26"/>
  <c r="F5" i="26"/>
  <c r="F6" i="26"/>
  <c r="F7" i="26"/>
  <c r="F4" i="26"/>
  <c r="E14" i="25"/>
  <c r="G5" i="25"/>
  <c r="G6" i="25"/>
  <c r="G7" i="25"/>
  <c r="G8" i="25"/>
  <c r="G9" i="25"/>
  <c r="G10" i="25"/>
  <c r="G11" i="25"/>
  <c r="G12" i="25"/>
  <c r="G13" i="25"/>
  <c r="G14" i="25"/>
  <c r="G4" i="25"/>
  <c r="F5" i="25"/>
  <c r="F6" i="25"/>
  <c r="F7" i="25"/>
  <c r="F8" i="25"/>
  <c r="F9" i="25"/>
  <c r="F10" i="25"/>
  <c r="F11" i="25"/>
  <c r="F12" i="25"/>
  <c r="F13" i="25"/>
  <c r="F14" i="25"/>
  <c r="F4" i="25"/>
  <c r="E16" i="24"/>
  <c r="G5" i="24"/>
  <c r="G6" i="24"/>
  <c r="G7" i="24"/>
  <c r="G8" i="24"/>
  <c r="G9" i="24"/>
  <c r="G10" i="24"/>
  <c r="G11" i="24"/>
  <c r="G12" i="24"/>
  <c r="G13" i="24"/>
  <c r="G14" i="24"/>
  <c r="G15" i="24"/>
  <c r="G16" i="24"/>
  <c r="G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4" i="24"/>
  <c r="E27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4" i="34"/>
  <c r="E6" i="23"/>
  <c r="G5" i="23"/>
  <c r="G6" i="23"/>
  <c r="G4" i="23"/>
  <c r="F5" i="23"/>
  <c r="F6" i="23"/>
  <c r="F4" i="23"/>
  <c r="E21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4" i="21"/>
  <c r="E18" i="22"/>
  <c r="G18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4" i="22"/>
  <c r="E58" i="6"/>
  <c r="G50" i="6"/>
  <c r="G51" i="6"/>
  <c r="G52" i="6"/>
  <c r="G53" i="6"/>
  <c r="G54" i="6"/>
  <c r="G55" i="6"/>
  <c r="G56" i="6"/>
  <c r="G57" i="6"/>
  <c r="G58" i="6"/>
  <c r="G49" i="6"/>
  <c r="F50" i="6"/>
  <c r="F51" i="6"/>
  <c r="F52" i="6"/>
  <c r="F53" i="6"/>
  <c r="F54" i="6"/>
  <c r="F55" i="6"/>
  <c r="F56" i="6"/>
  <c r="F57" i="6"/>
  <c r="F58" i="6"/>
  <c r="F49" i="6"/>
  <c r="E41" i="6"/>
  <c r="G38" i="6"/>
  <c r="G39" i="6"/>
  <c r="G40" i="6"/>
  <c r="G41" i="6"/>
  <c r="G37" i="6"/>
  <c r="F38" i="6"/>
  <c r="F39" i="6"/>
  <c r="F40" i="6"/>
  <c r="F41" i="6"/>
  <c r="F37" i="6"/>
  <c r="E28" i="6"/>
  <c r="G21" i="6"/>
  <c r="G22" i="6"/>
  <c r="G23" i="6"/>
  <c r="G24" i="6"/>
  <c r="G25" i="6"/>
  <c r="G26" i="6"/>
  <c r="G27" i="6"/>
  <c r="G28" i="6"/>
  <c r="G20" i="6"/>
  <c r="F21" i="6"/>
  <c r="F22" i="6"/>
  <c r="F23" i="6"/>
  <c r="F24" i="6"/>
  <c r="F25" i="6"/>
  <c r="F26" i="6"/>
  <c r="F27" i="6"/>
  <c r="F28" i="6"/>
  <c r="F20" i="6"/>
  <c r="E13" i="6"/>
  <c r="G6" i="6"/>
  <c r="G7" i="6"/>
  <c r="G8" i="6"/>
  <c r="G9" i="6"/>
  <c r="G10" i="6"/>
  <c r="G11" i="6"/>
  <c r="G12" i="6"/>
  <c r="G13" i="6"/>
  <c r="G5" i="6"/>
  <c r="F6" i="6"/>
  <c r="F7" i="6"/>
  <c r="F8" i="6"/>
  <c r="F9" i="6"/>
  <c r="F10" i="6"/>
  <c r="F11" i="6"/>
  <c r="F12" i="6"/>
  <c r="F13" i="6"/>
  <c r="F5" i="6"/>
  <c r="E25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4" i="36"/>
  <c r="E20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4" i="33"/>
  <c r="E16" i="38"/>
  <c r="G5" i="38"/>
  <c r="G6" i="38"/>
  <c r="G7" i="38"/>
  <c r="G8" i="38"/>
  <c r="G9" i="38"/>
  <c r="G10" i="38"/>
  <c r="G11" i="38"/>
  <c r="G12" i="38"/>
  <c r="G13" i="38"/>
  <c r="G14" i="38"/>
  <c r="G15" i="38"/>
  <c r="G16" i="38"/>
  <c r="G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4" i="38"/>
  <c r="E9" i="37"/>
  <c r="G5" i="37"/>
  <c r="G6" i="37"/>
  <c r="G7" i="37"/>
  <c r="G8" i="37"/>
  <c r="G9" i="37"/>
  <c r="G4" i="37"/>
  <c r="F5" i="37"/>
  <c r="F6" i="37"/>
  <c r="F7" i="37"/>
  <c r="F8" i="37"/>
  <c r="F9" i="37"/>
  <c r="F4" i="37"/>
  <c r="E2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4" i="35"/>
  <c r="E51" i="3"/>
  <c r="G44" i="3"/>
  <c r="G45" i="3"/>
  <c r="G46" i="3"/>
  <c r="G47" i="3"/>
  <c r="G48" i="3"/>
  <c r="G49" i="3"/>
  <c r="G50" i="3"/>
  <c r="G51" i="3"/>
  <c r="G43" i="3"/>
  <c r="F44" i="3"/>
  <c r="F45" i="3"/>
  <c r="F46" i="3"/>
  <c r="F47" i="3"/>
  <c r="F48" i="3"/>
  <c r="F49" i="3"/>
  <c r="F50" i="3"/>
  <c r="F51" i="3"/>
  <c r="F43" i="3"/>
  <c r="E35" i="3"/>
  <c r="G29" i="3"/>
  <c r="G30" i="3"/>
  <c r="G31" i="3"/>
  <c r="G32" i="3"/>
  <c r="G33" i="3"/>
  <c r="G34" i="3"/>
  <c r="G35" i="3"/>
  <c r="G28" i="3"/>
  <c r="F29" i="3"/>
  <c r="F30" i="3"/>
  <c r="F31" i="3"/>
  <c r="F32" i="3"/>
  <c r="F33" i="3"/>
  <c r="F34" i="3"/>
  <c r="F35" i="3"/>
  <c r="F28" i="3"/>
  <c r="E21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5" i="3"/>
  <c r="E28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4" i="29"/>
  <c r="E48" i="2"/>
  <c r="G43" i="2"/>
  <c r="G44" i="2"/>
  <c r="G45" i="2"/>
  <c r="G46" i="2"/>
  <c r="G47" i="2"/>
  <c r="G48" i="2"/>
  <c r="G42" i="2"/>
  <c r="F43" i="2"/>
  <c r="F44" i="2"/>
  <c r="F45" i="2"/>
  <c r="F46" i="2"/>
  <c r="F47" i="2"/>
  <c r="F48" i="2"/>
  <c r="F42" i="2"/>
  <c r="E35" i="2"/>
  <c r="G29" i="2"/>
  <c r="G30" i="2"/>
  <c r="G31" i="2"/>
  <c r="G32" i="2"/>
  <c r="G33" i="2"/>
  <c r="G34" i="2"/>
  <c r="G35" i="2"/>
  <c r="G28" i="2"/>
  <c r="F29" i="2"/>
  <c r="F30" i="2"/>
  <c r="F31" i="2"/>
  <c r="F32" i="2"/>
  <c r="F33" i="2"/>
  <c r="F34" i="2"/>
  <c r="F35" i="2"/>
  <c r="F28" i="2"/>
  <c r="E21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5" i="2"/>
</calcChain>
</file>

<file path=xl/sharedStrings.xml><?xml version="1.0" encoding="utf-8"?>
<sst xmlns="http://schemas.openxmlformats.org/spreadsheetml/2006/main" count="1803" uniqueCount="707">
  <si>
    <t>No</t>
  </si>
  <si>
    <t>Area Sales</t>
  </si>
  <si>
    <t xml:space="preserve">Status </t>
  </si>
  <si>
    <t>JAKARTA</t>
  </si>
  <si>
    <t>Active</t>
  </si>
  <si>
    <t xml:space="preserve">DEPOK </t>
  </si>
  <si>
    <t>TANGGERANG SELATAN(CIPUTAT)</t>
  </si>
  <si>
    <t>KOTA TANGGERANG (PORIS)</t>
  </si>
  <si>
    <t>KAB TANGGERANG(LEGOK CIKASUNGKA)</t>
  </si>
  <si>
    <t>KLAPANUNGGAL</t>
  </si>
  <si>
    <t>CILEUNGSI</t>
  </si>
  <si>
    <t>CIANJUR</t>
  </si>
  <si>
    <t>PARUNG BOGOR</t>
  </si>
  <si>
    <t xml:space="preserve">TAMBUN </t>
  </si>
  <si>
    <t>SERANG</t>
  </si>
  <si>
    <t>KAB PANDEGLANG</t>
  </si>
  <si>
    <t>CILEGON</t>
  </si>
  <si>
    <t>CIREBON</t>
  </si>
  <si>
    <t>SUBANG</t>
  </si>
  <si>
    <t>KARAWANG</t>
  </si>
  <si>
    <t>PURWAKARTA</t>
  </si>
  <si>
    <t>CISOLOK</t>
  </si>
  <si>
    <t>TASIKMALAYA</t>
  </si>
  <si>
    <t>KAB. TASIK</t>
  </si>
  <si>
    <t>CIAMIS</t>
  </si>
  <si>
    <t>CIAWI</t>
  </si>
  <si>
    <t>BANDUNG</t>
  </si>
  <si>
    <t>GARUT</t>
  </si>
  <si>
    <t>BANJAR</t>
  </si>
  <si>
    <t>SEMARANG</t>
  </si>
  <si>
    <t>KUDUS</t>
  </si>
  <si>
    <t>KENDAL</t>
  </si>
  <si>
    <t>DEMAK</t>
  </si>
  <si>
    <t>SOLO</t>
  </si>
  <si>
    <t>PURWOKERTO</t>
  </si>
  <si>
    <t>JOGJA</t>
  </si>
  <si>
    <t>KLATEN</t>
  </si>
  <si>
    <t>KEBUMEN</t>
  </si>
  <si>
    <t>CILACAP</t>
  </si>
  <si>
    <t>TEGAL</t>
  </si>
  <si>
    <t>KEDIRI</t>
  </si>
  <si>
    <t>MALANG</t>
  </si>
  <si>
    <t>PONOROGO</t>
  </si>
  <si>
    <t>BADUNG</t>
  </si>
  <si>
    <t>TABANAN</t>
  </si>
  <si>
    <t>DENPASAR</t>
  </si>
  <si>
    <t>NEGARA</t>
  </si>
  <si>
    <t>BANGKA BELITUNG</t>
  </si>
  <si>
    <t>MEDAN</t>
  </si>
  <si>
    <t>SURABAYA</t>
  </si>
  <si>
    <t>TOTAL</t>
  </si>
  <si>
    <t>TARGET</t>
  </si>
  <si>
    <t>CA</t>
  </si>
  <si>
    <t>MINUS/PLUS</t>
  </si>
  <si>
    <t>%</t>
  </si>
  <si>
    <t>NO.</t>
  </si>
  <si>
    <t>NAMA DS</t>
  </si>
  <si>
    <t>Grade</t>
  </si>
  <si>
    <t>Target</t>
  </si>
  <si>
    <t>Sales</t>
  </si>
  <si>
    <t>Minus/plus</t>
  </si>
  <si>
    <t>CIPUTAT</t>
  </si>
  <si>
    <t>PENCAPAIAN 21 AGU- 20 SEP</t>
  </si>
  <si>
    <t>NO</t>
  </si>
  <si>
    <t>NAMA SALES</t>
  </si>
  <si>
    <t>PENCAPAIAN</t>
  </si>
  <si>
    <t>KOTA</t>
  </si>
  <si>
    <t>Abdul Rachim</t>
  </si>
  <si>
    <t xml:space="preserve">Sri Lestari Butar Butar </t>
  </si>
  <si>
    <t>Purwanto</t>
  </si>
  <si>
    <t>Sutrisno</t>
  </si>
  <si>
    <t>Nyoto</t>
  </si>
  <si>
    <t>Rohman</t>
  </si>
  <si>
    <t>Shodik Bagus Setiawan</t>
  </si>
  <si>
    <t>Daffalda Krismonica Septia</t>
  </si>
  <si>
    <t>SPV</t>
  </si>
  <si>
    <t>DS</t>
  </si>
  <si>
    <t>Osra Adrizal</t>
  </si>
  <si>
    <t>Denita Hulu</t>
  </si>
  <si>
    <t>Ahmad Yani</t>
  </si>
  <si>
    <t>Jalaludin</t>
  </si>
  <si>
    <t>Arif Permana</t>
  </si>
  <si>
    <t>Mislak</t>
  </si>
  <si>
    <t>Arya Mandzalika</t>
  </si>
  <si>
    <t>Jafar Sidik</t>
  </si>
  <si>
    <t>Alviar Yoka Pratama</t>
  </si>
  <si>
    <t xml:space="preserve">Dwi Ega Pamungkas </t>
  </si>
  <si>
    <t>M Fazril Darussalam</t>
  </si>
  <si>
    <t>Nurmalasari</t>
  </si>
  <si>
    <t>Dimas Adianto</t>
  </si>
  <si>
    <t>Dhitya Andhini Nadillah</t>
  </si>
  <si>
    <t>Abu Sidik</t>
  </si>
  <si>
    <t>Dede Irwan Setiawiguna</t>
  </si>
  <si>
    <t>Nurdin</t>
  </si>
  <si>
    <t>Ulfah Meilani</t>
  </si>
  <si>
    <t>Burhanudin</t>
  </si>
  <si>
    <t>Iip Sutisna</t>
  </si>
  <si>
    <t>Rosman</t>
  </si>
  <si>
    <t>ANSI PUTRI LORENZA</t>
  </si>
  <si>
    <t>RYAN PRAMASDA PUTRA</t>
  </si>
  <si>
    <t>BUDI KRISTIAWAN</t>
  </si>
  <si>
    <t>GUGUT JULI PRAYITNO</t>
  </si>
  <si>
    <t>SISWANTI</t>
  </si>
  <si>
    <t>RAHMA PRASETYAWATI</t>
  </si>
  <si>
    <t>MARIA AVIANTI</t>
  </si>
  <si>
    <t>JOKO BINTORO</t>
  </si>
  <si>
    <t>AWAN AFANOVA</t>
  </si>
  <si>
    <t>ANTIK SULISTYOWATI</t>
  </si>
  <si>
    <t>SUGIYONO</t>
  </si>
  <si>
    <t>SUSILO</t>
  </si>
  <si>
    <t>IMAM MULADI</t>
  </si>
  <si>
    <t>YULIANTO</t>
  </si>
  <si>
    <t>MIFTA HASBI HARIRI</t>
  </si>
  <si>
    <t>HERPRATAMA INDRO SETYAJATI</t>
  </si>
  <si>
    <t>M SULTAN FAHMI FIRMANSYAH</t>
  </si>
  <si>
    <t>DANANG SETYAWAN</t>
  </si>
  <si>
    <t>DENY AJI WIBOWO</t>
  </si>
  <si>
    <t>RIZKI BETA KURNIAWAN</t>
  </si>
  <si>
    <t>EDWIN CHRISTIAN ISHUANTO</t>
  </si>
  <si>
    <t>DODY WAHYU PRANOTO, SE</t>
  </si>
  <si>
    <t>SAPTOTO WAHYU NUGROHO</t>
  </si>
  <si>
    <t>NANDA RIZKY ALWACHID</t>
  </si>
  <si>
    <t>BUDI SAMBODO</t>
  </si>
  <si>
    <t>MUHAMMAD SETIAWAN</t>
  </si>
  <si>
    <t>MUHAMMAD NOVAL RAMADHAN</t>
  </si>
  <si>
    <t>UKASAH</t>
  </si>
  <si>
    <t>WIDI WIDAYAT</t>
  </si>
  <si>
    <t xml:space="preserve">ERLAND ERLANGGA </t>
  </si>
  <si>
    <t>MUHAMAD RISKI</t>
  </si>
  <si>
    <t>MELINA</t>
  </si>
  <si>
    <t>MONALISA SIPAHUTAR</t>
  </si>
  <si>
    <t>SUDARMANTO</t>
  </si>
  <si>
    <t>SELLA RIZKIA</t>
  </si>
  <si>
    <t>APRINA SIAGIAN</t>
  </si>
  <si>
    <t>DIAN SRI ANDRYANI</t>
  </si>
  <si>
    <t>SELSA BELLA HUTABARAT</t>
  </si>
  <si>
    <t xml:space="preserve"> NEINAH DAMAISARI</t>
  </si>
  <si>
    <t>MIKA WANTI NAINGG0LAN</t>
  </si>
  <si>
    <t>KAB TANGGERANG(LEGOK CIKASUNGKA</t>
  </si>
  <si>
    <t>SUHARDIANSYAH</t>
  </si>
  <si>
    <t>DEA MAULIDAH</t>
  </si>
  <si>
    <t>M AZRIEL HAZNAM S</t>
  </si>
  <si>
    <t xml:space="preserve">AYULIA KHAERUNNISA </t>
  </si>
  <si>
    <t>RAHMAWATI</t>
  </si>
  <si>
    <t>RIZAL FAUZI</t>
  </si>
  <si>
    <t xml:space="preserve">Fiqh Tri Oktavianto </t>
  </si>
  <si>
    <t>PORIS</t>
  </si>
  <si>
    <t>DANIEL MATIUS KOLONDAM</t>
  </si>
  <si>
    <t>ARYA DILLA</t>
  </si>
  <si>
    <t>GALIH KURNIAWAN</t>
  </si>
  <si>
    <t>ZULHAM REINALLDO</t>
  </si>
  <si>
    <t>DITA CAHYANI</t>
  </si>
  <si>
    <t>INDAH NOVIYANTI</t>
  </si>
  <si>
    <t>BUKHORI</t>
  </si>
  <si>
    <t>M SOLEH</t>
  </si>
  <si>
    <t>SITI NURHAYATI</t>
  </si>
  <si>
    <t>I MADE JULIANTARA</t>
  </si>
  <si>
    <t>Ds</t>
  </si>
  <si>
    <t>NI MADE KARMI</t>
  </si>
  <si>
    <t>PUTU AGUS PRAMANA PUTRA</t>
  </si>
  <si>
    <t>SUGIYANTO</t>
  </si>
  <si>
    <t>DENY PANGDIG JAYA</t>
  </si>
  <si>
    <t>NI WAYAN MELLAS RISOMAGI</t>
  </si>
  <si>
    <t>I WAYAN PUTRA PRATAMA</t>
  </si>
  <si>
    <t>KADEK DEDI RIMAWAN</t>
  </si>
  <si>
    <t>I WAYAN PUTU SARJANA</t>
  </si>
  <si>
    <t>I NENGAH SEMARA PUTA</t>
  </si>
  <si>
    <t>I KOMANG JANUADI</t>
  </si>
  <si>
    <t>I PUTU AGUS RESKA.K.V</t>
  </si>
  <si>
    <t>BAYU SAPUTRA</t>
  </si>
  <si>
    <t>I GUSTI NGURAH AGUNG RAI RAMANATHA</t>
  </si>
  <si>
    <t xml:space="preserve">TRIANA JIHAN </t>
  </si>
  <si>
    <t>NAWAL FAIQOTUL HIKMAH</t>
  </si>
  <si>
    <t>FEMELIA MAKO</t>
  </si>
  <si>
    <t>MOH AMINULLOH</t>
  </si>
  <si>
    <t xml:space="preserve">DANIEL LOBAIN </t>
  </si>
  <si>
    <t>Moh Sadam Putra</t>
  </si>
  <si>
    <t>Mohammad Fa'is</t>
  </si>
  <si>
    <t>Romi Andri Yudha</t>
  </si>
  <si>
    <t>I Gusti Ngurah Sedana Yukti,SH</t>
  </si>
  <si>
    <t>Ni Made Emi Dwita Yustraeni</t>
  </si>
  <si>
    <t>Jimmi Kurniawan</t>
  </si>
  <si>
    <t>Heri Susanto</t>
  </si>
  <si>
    <t>Erwin Hadi</t>
  </si>
  <si>
    <t>I Putu Nova Eka Swastika</t>
  </si>
  <si>
    <t>Mochammad fauzi</t>
  </si>
  <si>
    <t>Wiji Astuti</t>
  </si>
  <si>
    <t>I Gede Candra Permana Putra Wibawa</t>
  </si>
  <si>
    <t>Zainus Salim</t>
  </si>
  <si>
    <t>Kristin Prihatini</t>
  </si>
  <si>
    <t>Linda Yas'a</t>
  </si>
  <si>
    <t>Ni Kadek Dwi Sucitrawati</t>
  </si>
  <si>
    <t>Mido David Ananda Firdaus</t>
  </si>
  <si>
    <t>RISKI ADE WIJAYA</t>
  </si>
  <si>
    <t>EGI PRASETYO</t>
  </si>
  <si>
    <t>AKHMAD FERDIAWAN RIANSAH</t>
  </si>
  <si>
    <t>RISKOMAR</t>
  </si>
  <si>
    <t>DJUNAS AGUNG PRIHARDA</t>
  </si>
  <si>
    <t>DEVI OKTAFIANTO</t>
  </si>
  <si>
    <t>DAHLIA</t>
  </si>
  <si>
    <t>SELVIANI UTAMI</t>
  </si>
  <si>
    <t>AMANDA DESIKA</t>
  </si>
  <si>
    <t>DWI EGI RAMDANI</t>
  </si>
  <si>
    <t>YUDI DAMANHURI</t>
  </si>
  <si>
    <t>NURYANI</t>
  </si>
  <si>
    <t>MARYADI</t>
  </si>
  <si>
    <t>HERLINA MAULITA</t>
  </si>
  <si>
    <t>JOPITER</t>
  </si>
  <si>
    <t>SINTIA</t>
  </si>
  <si>
    <t>GEDE OKA CAHYADI PRATAMA</t>
  </si>
  <si>
    <t>NI LUH PUTU ADINDA SUCI LESTARI</t>
  </si>
  <si>
    <t>NI LUH PUTU ASTITI DEWI</t>
  </si>
  <si>
    <t>MALIANA</t>
  </si>
  <si>
    <t>I MADE CANDRA PRANATA</t>
  </si>
  <si>
    <t>I KADEK ALDI ARTANA</t>
  </si>
  <si>
    <t>IRVAN RYNALDI</t>
  </si>
  <si>
    <t>YUDA PRATAMA</t>
  </si>
  <si>
    <t>AGUS JUNIANTO</t>
  </si>
  <si>
    <t>MUHAMMAD CAHYO SAPUTRO</t>
  </si>
  <si>
    <t>HIKMA HAQIQI</t>
  </si>
  <si>
    <t>AHMAD REHAN DIKI PRAYOGA</t>
  </si>
  <si>
    <t>SAFRIZAL HUTAGALUNG</t>
  </si>
  <si>
    <t>EBEN HAZAER ZAI</t>
  </si>
  <si>
    <t>CERELINA TIO FANI</t>
  </si>
  <si>
    <t>JORDI UMBU LELE</t>
  </si>
  <si>
    <t>ADE RIANA</t>
  </si>
  <si>
    <t>M.DWIKI DHARMAWAN</t>
  </si>
  <si>
    <t>PUTU AGUS DARMAWAN</t>
  </si>
  <si>
    <t>BINTANG SURIADI SIBARANI</t>
  </si>
  <si>
    <t>KAMALUDIN</t>
  </si>
  <si>
    <t>SUSANTO HIDAYAT</t>
  </si>
  <si>
    <t>DEAREN HEAZEL REVIALY</t>
  </si>
  <si>
    <t>S2</t>
  </si>
  <si>
    <t>ATMA HAYYU FTIRIANTI</t>
  </si>
  <si>
    <t>WIDYA RAHMA</t>
  </si>
  <si>
    <t xml:space="preserve">DHEA APRILIA </t>
  </si>
  <si>
    <t>VELY FRIYANTI  DJOHAN</t>
  </si>
  <si>
    <t>LUBIS SUGARA</t>
  </si>
  <si>
    <t>MUHAMAD ALPARIZI</t>
  </si>
  <si>
    <t xml:space="preserve">WILSON MANALU </t>
  </si>
  <si>
    <t>IMEY MELIAWATI</t>
  </si>
  <si>
    <t>SUMIATI</t>
  </si>
  <si>
    <t>IRA ISMAYA</t>
  </si>
  <si>
    <t>RISKA TASYA MONTANIA GIRSANG</t>
  </si>
  <si>
    <t>YOGI AGUS RANDA</t>
  </si>
  <si>
    <t>HAPITZA ALBAR</t>
  </si>
  <si>
    <t>SUKMA ANJALI</t>
  </si>
  <si>
    <t>ANDIKA</t>
  </si>
  <si>
    <t>NASA NAURAH SAFWAH</t>
  </si>
  <si>
    <t xml:space="preserve">VIVI YANTI SIRAIT </t>
  </si>
  <si>
    <t>MUHAMMAD HAFI RAMZI</t>
  </si>
  <si>
    <t>PARUNG</t>
  </si>
  <si>
    <t>TAMBUN BEKASI</t>
  </si>
  <si>
    <t xml:space="preserve">Binsar Sudarmono Situmorang </t>
  </si>
  <si>
    <t>Mayang Putri Emaliana</t>
  </si>
  <si>
    <t xml:space="preserve">Exaudi Parulian Situmorang </t>
  </si>
  <si>
    <t xml:space="preserve">Marliana </t>
  </si>
  <si>
    <t>Boyke Suhendra</t>
  </si>
  <si>
    <t xml:space="preserve">Nahum Winardi putra Situmorang </t>
  </si>
  <si>
    <t>Nunung septiani</t>
  </si>
  <si>
    <t>Ratna Tusyadiyah</t>
  </si>
  <si>
    <t>Friska Olivia Sihaloho</t>
  </si>
  <si>
    <t>MASHUDI</t>
  </si>
  <si>
    <t>Hendrik Prasetyo</t>
  </si>
  <si>
    <t>Rizky Akbarudin</t>
  </si>
  <si>
    <t>Sigit Fendian Oktavianto</t>
  </si>
  <si>
    <t>Firdaus Koban</t>
  </si>
  <si>
    <t>Fatahuya alim</t>
  </si>
  <si>
    <t>Catur setyawati</t>
  </si>
  <si>
    <t>Ainus safin</t>
  </si>
  <si>
    <t>ANUGRAH CAHYO WARDIYANTANTO</t>
  </si>
  <si>
    <t>Mega Kristiawan</t>
  </si>
  <si>
    <t>Ahmad Mustofa Habib</t>
  </si>
  <si>
    <t>Yonatan Nurwidiastoni</t>
  </si>
  <si>
    <t>Diah perdana yulianingrum</t>
  </si>
  <si>
    <t>Multazam Bariklana</t>
  </si>
  <si>
    <t>AGUNG SUGIARTO</t>
  </si>
  <si>
    <t>Dika Catur Susilo</t>
  </si>
  <si>
    <t>Ahsanul Khuluk</t>
  </si>
  <si>
    <t>Anita Noviani</t>
  </si>
  <si>
    <t xml:space="preserve">Muhammad Afifuddin </t>
  </si>
  <si>
    <t xml:space="preserve">Septi prima Aretha </t>
  </si>
  <si>
    <t>Afifah Nilam Sari</t>
  </si>
  <si>
    <t>Choirus Sakdiyah</t>
  </si>
  <si>
    <t>Fahmi Fathoni</t>
  </si>
  <si>
    <t>Yuli Setyoningtyas</t>
  </si>
  <si>
    <t>TRIAS PUSPITASARI</t>
  </si>
  <si>
    <t>Hendra</t>
  </si>
  <si>
    <t>Angga Erwanto</t>
  </si>
  <si>
    <t>Mohamad samsuri</t>
  </si>
  <si>
    <t>Ekvan Ari Sandy</t>
  </si>
  <si>
    <t>Rio priambodo</t>
  </si>
  <si>
    <t>Fitria Jayanti</t>
  </si>
  <si>
    <t>Rizky Rimayandi Oktiawan</t>
  </si>
  <si>
    <t>Achmad Sahlan Chafid</t>
  </si>
  <si>
    <t>DIAN ADI PUTRA HASIBUAN</t>
  </si>
  <si>
    <t>FERI PRATAMA</t>
  </si>
  <si>
    <t>GIDEON MANGARATUA SITANGGANG</t>
  </si>
  <si>
    <t>MHD.DANDI PRATAMA</t>
  </si>
  <si>
    <t>PRADHANA GANI</t>
  </si>
  <si>
    <t>RAYMOND HENDRIKUS SITANGGANG</t>
  </si>
  <si>
    <t>TASYA FADILLAH</t>
  </si>
  <si>
    <t>MUHAMMAD FASHA</t>
  </si>
  <si>
    <t xml:space="preserve">YON SIDEK SAGALA </t>
  </si>
  <si>
    <t>DELVI PUTRI IRAWANDA</t>
  </si>
  <si>
    <t>FAHMI NUR IKHLAS</t>
  </si>
  <si>
    <t>IMAM ALI ABBER HARAHAP</t>
  </si>
  <si>
    <t>IVAL YOGA SARA</t>
  </si>
  <si>
    <t>MUHAMMAD FADHIL</t>
  </si>
  <si>
    <t>MUHAMMAD HEPRI HANDIKA</t>
  </si>
  <si>
    <t>HOTMAULI SIMAREMARE</t>
  </si>
  <si>
    <t>AHMAD IQBAL NUGROHO</t>
  </si>
  <si>
    <t>BAHTRA MANALU</t>
  </si>
  <si>
    <t>DIAN LESTARI</t>
  </si>
  <si>
    <t>HARI PRASETIO</t>
  </si>
  <si>
    <t>ILHAM BAHRI</t>
  </si>
  <si>
    <t>IQBAL RAMADHAN</t>
  </si>
  <si>
    <t>JAMOT PARNINGOTAN MANALU</t>
  </si>
  <si>
    <t>ANGGIA IKMA DEWI</t>
  </si>
  <si>
    <t>HENDRI LISTIONO</t>
  </si>
  <si>
    <t>SARWOTO</t>
  </si>
  <si>
    <t>SHERENITA TRIAS YULIANA</t>
  </si>
  <si>
    <t>DWI JAYANTI LESTARI</t>
  </si>
  <si>
    <t>LINDA PANGESTIKA</t>
  </si>
  <si>
    <t>AJI PRAYOGA</t>
  </si>
  <si>
    <t>RIZKI WINDU SANCOYO</t>
  </si>
  <si>
    <t>LUKIS RUCIRA ARUNDATI</t>
  </si>
  <si>
    <t>PUPUT FARIDA</t>
  </si>
  <si>
    <t>AGUS WIDODO</t>
  </si>
  <si>
    <t>BAYU PAMBUDI</t>
  </si>
  <si>
    <t>DONNY DHARMAWAN</t>
  </si>
  <si>
    <t>SLAMET ARIFIN</t>
  </si>
  <si>
    <t>SAEFUL AZIZ</t>
  </si>
  <si>
    <t>SOLIHAT SOBARI</t>
  </si>
  <si>
    <t>ROISUL ANAM</t>
  </si>
  <si>
    <t>AGUS FITRIYANTO</t>
  </si>
  <si>
    <t>ACHMAD BUDIMAN</t>
  </si>
  <si>
    <t>AHMAD RUBIANTO</t>
  </si>
  <si>
    <t>AMAD SAEFUDIN</t>
  </si>
  <si>
    <t>ARIF PRIYANTORO</t>
  </si>
  <si>
    <t>PANDU DWI KUSUMA PURWOKERTO</t>
  </si>
  <si>
    <t>SIGIT PUJI ASTUTI</t>
  </si>
  <si>
    <t>DIKA RIZKI ABADI</t>
  </si>
  <si>
    <t xml:space="preserve">YULIANTO </t>
  </si>
  <si>
    <t>SUHENDI</t>
  </si>
  <si>
    <t>AGUSTIN ALANSAH</t>
  </si>
  <si>
    <t>BUDI SETIAWAN</t>
  </si>
  <si>
    <t>HARI PURNOMO</t>
  </si>
  <si>
    <t>ANGELA CITRA LARASATI</t>
  </si>
  <si>
    <t>DWI WAHYUDI</t>
  </si>
  <si>
    <t>PRASTIKA WIGATINING PANGESTUTI</t>
  </si>
  <si>
    <t>HAMZAH FAHMI</t>
  </si>
  <si>
    <t>LATHIF MUTTAQIN</t>
  </si>
  <si>
    <t>HIJRAH SABILA</t>
  </si>
  <si>
    <t>KHADZIQUL HUMAM MUNFI</t>
  </si>
  <si>
    <t>FAUZAN MAULANA ADI</t>
  </si>
  <si>
    <t>MITA LESTARI</t>
  </si>
  <si>
    <t>Eko Krismanto</t>
  </si>
  <si>
    <t>Triyadi</t>
  </si>
  <si>
    <t>MOHAMAD IMRON, AMDS</t>
  </si>
  <si>
    <t>BUDI UTOMO</t>
  </si>
  <si>
    <t>Bangbang Himun H, S.Kom</t>
  </si>
  <si>
    <t>Hengki Permana</t>
  </si>
  <si>
    <t>Ahmad Syahriar Irawan</t>
  </si>
  <si>
    <t>Falhan Basya</t>
  </si>
  <si>
    <t>Acep Rizal</t>
  </si>
  <si>
    <t>Piki Badarudin</t>
  </si>
  <si>
    <t>Raisa Siti Ainiyah</t>
  </si>
  <si>
    <t>Hendar Suhendar</t>
  </si>
  <si>
    <t>Davin Alim</t>
  </si>
  <si>
    <t>Agung Dwi Laksono</t>
  </si>
  <si>
    <t>Ari Hidayat</t>
  </si>
  <si>
    <t>Cucu Komarudin</t>
  </si>
  <si>
    <t>Berent Fariz</t>
  </si>
  <si>
    <t>Muhammad Fajar Siddiq</t>
  </si>
  <si>
    <t>Entis</t>
  </si>
  <si>
    <t>Dadang Dimyati</t>
  </si>
  <si>
    <t>Dicky Fauzi Nurhidayat</t>
  </si>
  <si>
    <t>Veri Septiana</t>
  </si>
  <si>
    <t>Hendra Irawan</t>
  </si>
  <si>
    <t>Feri Ramadhani</t>
  </si>
  <si>
    <t>Devina Ruslan Se</t>
  </si>
  <si>
    <t>Dudi Gandana</t>
  </si>
  <si>
    <t>Iman Firman</t>
  </si>
  <si>
    <t>Dian Hernanda</t>
  </si>
  <si>
    <t>Trisna Juliansyah</t>
  </si>
  <si>
    <t>Abdul Koharudin</t>
  </si>
  <si>
    <t>Dasep Abdul Gopur</t>
  </si>
  <si>
    <t>Rudiansyah Moch Azhar</t>
  </si>
  <si>
    <t>Vicky Azhar</t>
  </si>
  <si>
    <t>Jajang Miftah Farid</t>
  </si>
  <si>
    <t>Gungun Gunawan</t>
  </si>
  <si>
    <t>Enur Husni Mubarok</t>
  </si>
  <si>
    <t>Teten Solehudin</t>
  </si>
  <si>
    <t>Musadad Alfaris</t>
  </si>
  <si>
    <t>Nuri Nuryanti</t>
  </si>
  <si>
    <t>Rifqi Sofwandi</t>
  </si>
  <si>
    <t>Fahmi</t>
  </si>
  <si>
    <t>Aditia Paturohman</t>
  </si>
  <si>
    <t>Trisna Dwinanda</t>
  </si>
  <si>
    <t>Yadi Budiman</t>
  </si>
  <si>
    <t>Rohmat Yusup</t>
  </si>
  <si>
    <t>Wandi Rizki Mauludin</t>
  </si>
  <si>
    <t>Aditya Yuda Pratama</t>
  </si>
  <si>
    <t>Yeyen Yudaningsih</t>
  </si>
  <si>
    <t>Mia Kurniawan</t>
  </si>
  <si>
    <t>Muhammad Al - Barra</t>
  </si>
  <si>
    <t>Nurul Nurbaeti</t>
  </si>
  <si>
    <t>Diki Somantri</t>
  </si>
  <si>
    <t>Boma Jaya Priatna</t>
  </si>
  <si>
    <t>Riki Suganda</t>
  </si>
  <si>
    <t>Rendra Dudia Sugara, S.T</t>
  </si>
  <si>
    <t>Lusy Krisbiyanti</t>
  </si>
  <si>
    <t>Yayan Sugiana</t>
  </si>
  <si>
    <t>Ujang Yanto Priyanto</t>
  </si>
  <si>
    <t>Yuyun Nugraha</t>
  </si>
  <si>
    <t>Kris Ardianto</t>
  </si>
  <si>
    <t>Dindin Solehudin</t>
  </si>
  <si>
    <t>Sachir Adam Nurba</t>
  </si>
  <si>
    <t>Ipan Sopyan</t>
  </si>
  <si>
    <t>Yulius Hilman</t>
  </si>
  <si>
    <t>Deny Irawan</t>
  </si>
  <si>
    <t>Adi Suryadi</t>
  </si>
  <si>
    <t>Herdin Budiawan</t>
  </si>
  <si>
    <t>Aditya Abdul Muhyi</t>
  </si>
  <si>
    <t>Nanang Supriatna</t>
  </si>
  <si>
    <t>Angga Merdiana</t>
  </si>
  <si>
    <t>Mahmud</t>
  </si>
  <si>
    <t>Ahmad Arif Satriono</t>
  </si>
  <si>
    <t>Deri Kusdiana</t>
  </si>
  <si>
    <t>Yeni Hardiyani</t>
  </si>
  <si>
    <t>Agnes Jatnika</t>
  </si>
  <si>
    <t>Ega Imam Syuhada</t>
  </si>
  <si>
    <t>Fuji Firmansyah Saputra</t>
  </si>
  <si>
    <t>Pizki Astrid Desianti</t>
  </si>
  <si>
    <t>Denny Tri Sutendi</t>
  </si>
  <si>
    <t>Iwan Setiawan</t>
  </si>
  <si>
    <t>Eky Al Faruky Mukti</t>
  </si>
  <si>
    <t>Agus sutedi</t>
  </si>
  <si>
    <t>Osa Usman Rusmana</t>
  </si>
  <si>
    <t>Sandi Rustandi</t>
  </si>
  <si>
    <t>Santi Mulyanti</t>
  </si>
  <si>
    <t>Insan Saeful Anwar</t>
  </si>
  <si>
    <t>Eka Kartika</t>
  </si>
  <si>
    <t>Mulyamin Aziz</t>
  </si>
  <si>
    <t>Heri Nurdin J</t>
  </si>
  <si>
    <t>Didi Junaedi</t>
  </si>
  <si>
    <t>Dede Duhan</t>
  </si>
  <si>
    <t>Deni Wilantara</t>
  </si>
  <si>
    <t>Yendi Herdian</t>
  </si>
  <si>
    <t>Jopi Safari</t>
  </si>
  <si>
    <t>Dimas Kurnia Asprilla</t>
  </si>
  <si>
    <t>Yulistia Cahya Kurnia</t>
  </si>
  <si>
    <t>Akbar Pranoto Wibowo</t>
  </si>
  <si>
    <t>Dadang Mulyana</t>
  </si>
  <si>
    <t>Robyana</t>
  </si>
  <si>
    <t>Samsudin</t>
  </si>
  <si>
    <t>Agus Adi Nurhidayat</t>
  </si>
  <si>
    <t>Irsyad Abidin</t>
  </si>
  <si>
    <t>Aep Yudi</t>
  </si>
  <si>
    <t>A Djoko Riyanto</t>
  </si>
  <si>
    <t>Septiandi Rohanda</t>
  </si>
  <si>
    <t>Dena Sukandar</t>
  </si>
  <si>
    <t>Soni Lesmana</t>
  </si>
  <si>
    <t>Riki Ardiyus</t>
  </si>
  <si>
    <t>Muhammad Rafi</t>
  </si>
  <si>
    <t>Dema Ahmad Yanuar</t>
  </si>
  <si>
    <t>Roni Herlani</t>
  </si>
  <si>
    <t>Asep Junjun Abdilah</t>
  </si>
  <si>
    <t>Deni Raharja</t>
  </si>
  <si>
    <t>Toni Herlani</t>
  </si>
  <si>
    <t>Dimas Eka Pratama</t>
  </si>
  <si>
    <t>Desta Agung Gumelar</t>
  </si>
  <si>
    <t>Angga Saputra</t>
  </si>
  <si>
    <t>Rustiana Putra</t>
  </si>
  <si>
    <t>Indra Agung Permana</t>
  </si>
  <si>
    <t>Riyadi Wijaya</t>
  </si>
  <si>
    <t>Rifki Andi Adam</t>
  </si>
  <si>
    <t>Hanny Mufridha Sari</t>
  </si>
  <si>
    <t>Joni M. Fajar</t>
  </si>
  <si>
    <t>Hendra Darmawan</t>
  </si>
  <si>
    <t>Deni Kurniawan</t>
  </si>
  <si>
    <t>Yeni Sri Ismiati</t>
  </si>
  <si>
    <t>Iki Muhammad Rizky</t>
  </si>
  <si>
    <t>THERESIA OKTAVIA</t>
  </si>
  <si>
    <t>SAFII</t>
  </si>
  <si>
    <t>MUHAMAD IKSAN</t>
  </si>
  <si>
    <t>DINA LISTIANA</t>
  </si>
  <si>
    <t>ANDEG LALA</t>
  </si>
  <si>
    <t>MIRA SUKMA DEWI ISKANDAR PUTRI</t>
  </si>
  <si>
    <t>DEMISA ZAI</t>
  </si>
  <si>
    <t>NUR HIDAYAT SULISTYA</t>
  </si>
  <si>
    <t>CHARISMA PRIYA PURNOMO</t>
  </si>
  <si>
    <t>ESTHI NUGROHO DEWI</t>
  </si>
  <si>
    <t>DANIEL TUMANAN</t>
  </si>
  <si>
    <t>RIO MARTIN RUDIANTO</t>
  </si>
  <si>
    <t>MUHAMMAD BIMA ARYAN SAPUTRA</t>
  </si>
  <si>
    <t xml:space="preserve">SUMARYADI </t>
  </si>
  <si>
    <t>AHLISH HIDAYATULLOH</t>
  </si>
  <si>
    <t>YOGI PUTRO WASKITO</t>
  </si>
  <si>
    <t>ARIS KURNIANTORO</t>
  </si>
  <si>
    <t>RORI PUJI ASTUTI</t>
  </si>
  <si>
    <t>NOVI EFENDI</t>
  </si>
  <si>
    <t>MATIAS NOPRYANTO RAUNGKU</t>
  </si>
  <si>
    <t>R. SUHARJONO</t>
  </si>
  <si>
    <t>Muammal Iqbal</t>
  </si>
  <si>
    <t>Fendi Yuliyanto</t>
  </si>
  <si>
    <t>Hariyanto</t>
  </si>
  <si>
    <t>Beastrice Arum Sekarwangi</t>
  </si>
  <si>
    <t>Salsa Nur Fitria</t>
  </si>
  <si>
    <t>Imam Bagus Faisal</t>
  </si>
  <si>
    <t>Arcela</t>
  </si>
  <si>
    <t>Totok Yunus Wediyanto</t>
  </si>
  <si>
    <t>Swardana Arie Ardiansyah</t>
  </si>
  <si>
    <t>Redy Deny Triharyanto</t>
  </si>
  <si>
    <t>Sri Mawarni</t>
  </si>
  <si>
    <t>Retno Dinafsyaratri</t>
  </si>
  <si>
    <t>Gatot Tri Widodo</t>
  </si>
  <si>
    <t>ACHMAD BAHAK UDIN</t>
  </si>
  <si>
    <t>AYOK SETIYAWAN</t>
  </si>
  <si>
    <t>Titik Winarsih</t>
  </si>
  <si>
    <t>EMIER WIRA DUHITA</t>
  </si>
  <si>
    <t>Viky Ferdian</t>
  </si>
  <si>
    <t>Dedy Purnomo</t>
  </si>
  <si>
    <t>Moh Dendron Sekundratmo</t>
  </si>
  <si>
    <t>Andhika Fahmi Wibawa</t>
  </si>
  <si>
    <t>aufar ahmad fadillah al islami</t>
  </si>
  <si>
    <t>Bima Sakti</t>
  </si>
  <si>
    <t>Erni Indah Nurfitri</t>
  </si>
  <si>
    <t>TEGUH JUNNARTO</t>
  </si>
  <si>
    <t>NUR BUDI FEBRIANTO</t>
  </si>
  <si>
    <t>DEWI YUNANIK</t>
  </si>
  <si>
    <t>IMA PUSPITASARI</t>
  </si>
  <si>
    <t>DIMAS RAMADHANA</t>
  </si>
  <si>
    <t>KHOIRUL SULTONI</t>
  </si>
  <si>
    <t>VIRDIAS FATKA PRATAMA</t>
  </si>
  <si>
    <t>DWI OKTAVIANUS LANGGENG SAPUTRO</t>
  </si>
  <si>
    <t>ARIEF SETYAJI</t>
  </si>
  <si>
    <t>IVON DENSI YOUS MARLINA</t>
  </si>
  <si>
    <t>RAMADHAN VICKO RAFSANJANI</t>
  </si>
  <si>
    <t>IMAM FATONI</t>
  </si>
  <si>
    <t>LUTFI HIDAYAT</t>
  </si>
  <si>
    <t>TRI LESTARI</t>
  </si>
  <si>
    <t>CAHYO WICAKSONO</t>
  </si>
  <si>
    <t>DAFIT PRASETIO</t>
  </si>
  <si>
    <t>ACHMADUN</t>
  </si>
  <si>
    <t>MAILAN</t>
  </si>
  <si>
    <t>TRI WAHYONO</t>
  </si>
  <si>
    <t>HARYONO</t>
  </si>
  <si>
    <t>DESI KUSRIYANTI</t>
  </si>
  <si>
    <t>ABDUL RAJAB</t>
  </si>
  <si>
    <t>AJIS SAPTORI</t>
  </si>
  <si>
    <t>ASTRI RAHMAWATI</t>
  </si>
  <si>
    <t>TEGUH PRABOWO</t>
  </si>
  <si>
    <t>SUTAN ALI SOBANA</t>
  </si>
  <si>
    <t>HAFID SANGIDUN</t>
  </si>
  <si>
    <t>SUJA SUDIRJA</t>
  </si>
  <si>
    <t>RD UJANG OTAN HARTANTO</t>
  </si>
  <si>
    <t>UYAT ULI HIDAYAT</t>
  </si>
  <si>
    <t>NEELAM AMALIA</t>
  </si>
  <si>
    <t>ANDI WASNADI</t>
  </si>
  <si>
    <t>UNTUNG WIBOWO</t>
  </si>
  <si>
    <t>CUT SALSABILAH SUCIANI</t>
  </si>
  <si>
    <t>MUHAMAD ALFANI</t>
  </si>
  <si>
    <t>DHANI RAMADON</t>
  </si>
  <si>
    <t>ZULMI RAMADHAN</t>
  </si>
  <si>
    <t>HERU SAPUTRA</t>
  </si>
  <si>
    <t>RAHMAT GUMILANG</t>
  </si>
  <si>
    <t>RIFFAN MUBAROK</t>
  </si>
  <si>
    <t>BAGAS PERMANA</t>
  </si>
  <si>
    <t>RAHMAT HIDAYAT</t>
  </si>
  <si>
    <t>JENAR NURJANI</t>
  </si>
  <si>
    <t>ASEP RAHMAT</t>
  </si>
  <si>
    <t>LILI WARNALI</t>
  </si>
  <si>
    <t>AHMAD BUCHORI</t>
  </si>
  <si>
    <t>YOGI HERMAWAN</t>
  </si>
  <si>
    <t>GILANG BAHTIAR</t>
  </si>
  <si>
    <t>NAZAR YAHYA</t>
  </si>
  <si>
    <t>ARDEN ZUHDI</t>
  </si>
  <si>
    <t>MUHAMMAD JAKA NUGRAHA</t>
  </si>
  <si>
    <t>UCI SANUSI</t>
  </si>
  <si>
    <t>DENI WAHYUDIN</t>
  </si>
  <si>
    <t>MOCHAMAD ALEK LESMANA</t>
  </si>
  <si>
    <t>SOLEH SUHADA</t>
  </si>
  <si>
    <t>GANI MAULANA</t>
  </si>
  <si>
    <t>PANDI</t>
  </si>
  <si>
    <t>FERRY MAHALIO SUDADI</t>
  </si>
  <si>
    <t>RIDWAN MAULANA</t>
  </si>
  <si>
    <t>DADI</t>
  </si>
  <si>
    <t>JAMALUDIN</t>
  </si>
  <si>
    <t>PENDI APANDI</t>
  </si>
  <si>
    <t>HERDIANSYAH FAUZAN</t>
  </si>
  <si>
    <t>RONI CAHYANI</t>
  </si>
  <si>
    <t>FERDINAND EKO DEWA</t>
  </si>
  <si>
    <t>AGUNG SURYANINGRAT</t>
  </si>
  <si>
    <t>JONATHAN RIRIHENA</t>
  </si>
  <si>
    <t>DEFFAN KAHFI ADHIGUNA</t>
  </si>
  <si>
    <t>GITUS GISMANA</t>
  </si>
  <si>
    <t>MOHAMAD RAMLI</t>
  </si>
  <si>
    <t>YULI YULIANA</t>
  </si>
  <si>
    <t>YOGI</t>
  </si>
  <si>
    <t>AGAM MULIA</t>
  </si>
  <si>
    <t>IDA BAGUS KAMAJAYA</t>
  </si>
  <si>
    <t>Aris Supriyadi</t>
  </si>
  <si>
    <t>Muhammad Abidin Ardiyanto</t>
  </si>
  <si>
    <t>Putri puspitasari</t>
  </si>
  <si>
    <t>Nendra dewa kurniawan</t>
  </si>
  <si>
    <t>Andri afrizal</t>
  </si>
  <si>
    <t>PRANA BRAHMANTYA</t>
  </si>
  <si>
    <t>Antonia Widya</t>
  </si>
  <si>
    <t>Khofsah Noor</t>
  </si>
  <si>
    <t>Francois Febriyanto</t>
  </si>
  <si>
    <t xml:space="preserve">Ardianto Arif Pramono </t>
  </si>
  <si>
    <t>Nur Salim</t>
  </si>
  <si>
    <t xml:space="preserve">Ahmad Syaikhu </t>
  </si>
  <si>
    <t xml:space="preserve">Taufik Jorgi Kurniawan </t>
  </si>
  <si>
    <t xml:space="preserve">Pramunita Kristianti </t>
  </si>
  <si>
    <t xml:space="preserve">Rindi Adi Pratama </t>
  </si>
  <si>
    <t>Michael Kevin Agusta Putra</t>
  </si>
  <si>
    <t>HELMY AS'ARY</t>
  </si>
  <si>
    <t>Aries sulistiyanto</t>
  </si>
  <si>
    <t>Habib Akbar</t>
  </si>
  <si>
    <t>Rezki Irwandy</t>
  </si>
  <si>
    <t>Rifqi Mubarak</t>
  </si>
  <si>
    <t>Bayu Satria Putra</t>
  </si>
  <si>
    <t>NUR HADI</t>
  </si>
  <si>
    <t>Yusuf Rani</t>
  </si>
  <si>
    <t>Siti Nurjanah</t>
  </si>
  <si>
    <t>Lilik setiawan</t>
  </si>
  <si>
    <t>Frengky Gilang Adi Pradana</t>
  </si>
  <si>
    <t>Firman Erdianto</t>
  </si>
  <si>
    <t>RUDI KUNCORO</t>
  </si>
  <si>
    <t>Achmad hasan arfie</t>
  </si>
  <si>
    <t>Aditia rahman</t>
  </si>
  <si>
    <t>Lina indriyani</t>
  </si>
  <si>
    <t>Rima kuti</t>
  </si>
  <si>
    <t>Teguh subekti</t>
  </si>
  <si>
    <t xml:space="preserve">AKHMAD HARUN </t>
  </si>
  <si>
    <t>Eri setiawan</t>
  </si>
  <si>
    <t>Dodo kristono</t>
  </si>
  <si>
    <t>Avian wijayanto</t>
  </si>
  <si>
    <t>Widarwanto</t>
  </si>
  <si>
    <t>Nur kholidin</t>
  </si>
  <si>
    <t>Wiwin Apit Yulianto</t>
  </si>
  <si>
    <t>INDRA SETIAWAN</t>
  </si>
  <si>
    <t>Daima</t>
  </si>
  <si>
    <t>Moch syafrany</t>
  </si>
  <si>
    <t>Arief prabowo</t>
  </si>
  <si>
    <t>Anisa salsa nabila meita</t>
  </si>
  <si>
    <t>Anityo kukuh wirastantyo</t>
  </si>
  <si>
    <t>Sudibyo pujo wiyono</t>
  </si>
  <si>
    <t>Dedimy dwi saputra</t>
  </si>
  <si>
    <t>Santoso Nainggolan</t>
  </si>
  <si>
    <t>Daniel Parlindungan</t>
  </si>
  <si>
    <t>Santo Yahya Purba</t>
  </si>
  <si>
    <t>Ibbe Arfiah Ambarita</t>
  </si>
  <si>
    <t xml:space="preserve">Ninton Silitonga </t>
  </si>
  <si>
    <t>Irwan Panjaitan</t>
  </si>
  <si>
    <t>Ignatius Romy Setyawan</t>
  </si>
  <si>
    <t>Rokhayati BT Wain</t>
  </si>
  <si>
    <t>Hendrik Pandapotan</t>
  </si>
  <si>
    <t>Juwisri Mariati Simanjuntak</t>
  </si>
  <si>
    <t>Lely Meyana</t>
  </si>
  <si>
    <t>Daniel Toni Sagala</t>
  </si>
  <si>
    <t>Bastian Ronaldo Butar Butar</t>
  </si>
  <si>
    <t>Maryanti Manalu</t>
  </si>
  <si>
    <t>Rika Oktaria Manalu</t>
  </si>
  <si>
    <t>Dimposma Hutagalung</t>
  </si>
  <si>
    <t>Hinando Praya Saragih</t>
  </si>
  <si>
    <t>Julietta Winar Pasha</t>
  </si>
  <si>
    <t>Leo Hermansyah</t>
  </si>
  <si>
    <t>Suriati T.Situmeang</t>
  </si>
  <si>
    <t>Rani Martina Samosir</t>
  </si>
  <si>
    <t>Alvin Jon Raya S</t>
  </si>
  <si>
    <t>Bruno Mario</t>
  </si>
  <si>
    <t>Indrah Septian</t>
  </si>
  <si>
    <t>Irwanto</t>
  </si>
  <si>
    <t>Fanda Waty Sry Ayu  manalu</t>
  </si>
  <si>
    <t>Gresintia Samosir</t>
  </si>
  <si>
    <t>Sari Nopita Sipahutar</t>
  </si>
  <si>
    <t>Douglas sinaga</t>
  </si>
  <si>
    <t>Delima Sihotang</t>
  </si>
  <si>
    <t xml:space="preserve">Muhammad Hilmy </t>
  </si>
  <si>
    <t>Kautsar</t>
  </si>
  <si>
    <t>Raga Purnomo</t>
  </si>
  <si>
    <t>Melyana Samosir</t>
  </si>
  <si>
    <t>Nova Indriani</t>
  </si>
  <si>
    <t>Nanda Amalia Febriani</t>
  </si>
  <si>
    <t>Lewi Indriyani Panggabean</t>
  </si>
  <si>
    <t>Haryanti</t>
  </si>
  <si>
    <t>Lia Rahmawati</t>
  </si>
  <si>
    <t>Yandira Cahaya Putri</t>
  </si>
  <si>
    <t>Kholifatur Ridho Al-Haq</t>
  </si>
  <si>
    <t>Abdul zaki</t>
  </si>
  <si>
    <t>Indah Fitria</t>
  </si>
  <si>
    <t>Asya Amalia</t>
  </si>
  <si>
    <t>Rafika Khoirul</t>
  </si>
  <si>
    <t>Muhammad Rifal</t>
  </si>
  <si>
    <t>Nurul Fitri</t>
  </si>
  <si>
    <t>Dentya Herdyyanti Gantini</t>
  </si>
  <si>
    <t>S3</t>
  </si>
  <si>
    <t>Tabanan</t>
  </si>
  <si>
    <t>Semarang</t>
  </si>
  <si>
    <t>SIDOARJO</t>
  </si>
  <si>
    <t>BIMA PERKASA</t>
  </si>
  <si>
    <t>MAMAN FIRMANSYAH</t>
  </si>
  <si>
    <t>ARYO ADHITYAS SETYO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</si>
</sst>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3F3F3F"/>
      <name val="Calibri"/>
      <family val="2"/>
      <charset val="1"/>
      <scheme val="minor"/>
    </font>
    <font>
      <sz val="10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  <font>
      <sz val="10"/>
      <name val="Arial"/>
    </font>
    <font>
      <sz val="11"/>
      <color rgb="FF000000"/>
      <name val="Calibri"/>
      <family val="2"/>
    </font>
    <font>
      <sz val="11"/>
      <color rgb="FF212529"/>
      <name val="Calibri"/>
      <family val="2"/>
      <scheme val="minor"/>
    </font>
    <font>
      <sz val="11"/>
      <color rgb="FF36363D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F699"/>
      </patternFill>
    </fill>
    <fill>
      <patternFill patternType="solid">
        <fgColor theme="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EFEFE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1">
    <xf numFmtId="0" fontId="0" fillId="0" borderId="0"/>
    <xf numFmtId="9" fontId="1" fillId="0" borderId="0" applyFont="0" applyFill="0" applyBorder="0" applyAlignment="0" applyProtection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15" fillId="0" borderId="0"/>
    <xf numFmtId="0" fontId="13" fillId="0" borderId="0"/>
    <xf numFmtId="0" fontId="17" fillId="4" borderId="8" applyNumberFormat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9" fontId="18" fillId="0" borderId="0" applyFont="0" applyFill="0" applyBorder="0" applyAlignment="0" applyProtection="0"/>
    <xf numFmtId="0" fontId="13" fillId="0" borderId="0"/>
    <xf numFmtId="0" fontId="12" fillId="0" borderId="0">
      <alignment vertical="center"/>
    </xf>
    <xf numFmtId="0" fontId="13" fillId="0" borderId="0"/>
    <xf numFmtId="0" fontId="19" fillId="0" borderId="0"/>
    <xf numFmtId="0" fontId="11" fillId="0" borderId="0"/>
    <xf numFmtId="0" fontId="1" fillId="0" borderId="0"/>
    <xf numFmtId="0" fontId="15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20" fillId="0" borderId="0">
      <alignment vertical="center"/>
    </xf>
    <xf numFmtId="0" fontId="16" fillId="0" borderId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11" fillId="0" borderId="0"/>
    <xf numFmtId="9" fontId="21" fillId="0" borderId="0">
      <protection locked="0"/>
    </xf>
  </cellStyleXfs>
  <cellXfs count="188">
    <xf numFmtId="0" fontId="0" fillId="0" borderId="0" xfId="0"/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/>
    <xf numFmtId="0" fontId="9" fillId="0" borderId="3" xfId="2" applyFont="1" applyBorder="1" applyAlignment="1">
      <alignment horizontal="left"/>
    </xf>
    <xf numFmtId="0" fontId="5" fillId="0" borderId="3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9" fillId="3" borderId="3" xfId="2" applyFont="1" applyFill="1" applyBorder="1" applyAlignment="1">
      <alignment horizontal="left"/>
    </xf>
    <xf numFmtId="0" fontId="5" fillId="3" borderId="3" xfId="2" applyFont="1" applyFill="1" applyBorder="1" applyAlignment="1">
      <alignment horizontal="center"/>
    </xf>
    <xf numFmtId="9" fontId="0" fillId="0" borderId="0" xfId="0" applyNumberFormat="1"/>
    <xf numFmtId="9" fontId="0" fillId="0" borderId="3" xfId="0" applyNumberFormat="1" applyBorder="1"/>
    <xf numFmtId="0" fontId="10" fillId="3" borderId="3" xfId="2" applyFont="1" applyFill="1" applyBorder="1" applyAlignment="1">
      <alignment horizontal="center"/>
    </xf>
    <xf numFmtId="9" fontId="2" fillId="0" borderId="3" xfId="0" applyNumberFormat="1" applyFont="1" applyBorder="1"/>
    <xf numFmtId="0" fontId="1" fillId="0" borderId="3" xfId="0" applyFont="1" applyBorder="1"/>
    <xf numFmtId="9" fontId="1" fillId="0" borderId="3" xfId="0" applyNumberFormat="1" applyFont="1" applyBorder="1"/>
    <xf numFmtId="0" fontId="9" fillId="0" borderId="3" xfId="4" applyFont="1" applyBorder="1" applyAlignment="1">
      <alignment horizontal="center"/>
    </xf>
    <xf numFmtId="0" fontId="9" fillId="0" borderId="3" xfId="4" applyFont="1" applyBorder="1" applyAlignment="1">
      <alignment horizontal="left"/>
    </xf>
    <xf numFmtId="0" fontId="5" fillId="0" borderId="3" xfId="4" applyFont="1" applyBorder="1" applyAlignment="1">
      <alignment horizontal="center"/>
    </xf>
    <xf numFmtId="0" fontId="9" fillId="3" borderId="3" xfId="4" applyFont="1" applyFill="1" applyBorder="1" applyAlignment="1">
      <alignment horizontal="center"/>
    </xf>
    <xf numFmtId="0" fontId="9" fillId="3" borderId="3" xfId="4" applyFont="1" applyFill="1" applyBorder="1" applyAlignment="1">
      <alignment horizontal="left"/>
    </xf>
    <xf numFmtId="0" fontId="5" fillId="3" borderId="3" xfId="4" applyFont="1" applyFill="1" applyBorder="1" applyAlignment="1">
      <alignment horizontal="center"/>
    </xf>
    <xf numFmtId="0" fontId="9" fillId="0" borderId="3" xfId="5" applyFont="1" applyBorder="1" applyAlignment="1">
      <alignment horizontal="center"/>
    </xf>
    <xf numFmtId="0" fontId="9" fillId="0" borderId="3" xfId="5" applyFont="1" applyBorder="1" applyAlignment="1">
      <alignment horizontal="left"/>
    </xf>
    <xf numFmtId="0" fontId="5" fillId="0" borderId="3" xfId="5" applyFont="1" applyBorder="1" applyAlignment="1">
      <alignment horizontal="center"/>
    </xf>
    <xf numFmtId="0" fontId="9" fillId="3" borderId="3" xfId="5" applyFont="1" applyFill="1" applyBorder="1" applyAlignment="1">
      <alignment horizontal="center"/>
    </xf>
    <xf numFmtId="0" fontId="1" fillId="3" borderId="3" xfId="5" applyFill="1" applyBorder="1" applyAlignment="1">
      <alignment horizontal="center"/>
    </xf>
    <xf numFmtId="0" fontId="1" fillId="3" borderId="3" xfId="5" applyFill="1" applyBorder="1" applyAlignment="1">
      <alignment horizontal="left"/>
    </xf>
    <xf numFmtId="0" fontId="9" fillId="3" borderId="3" xfId="5" applyFont="1" applyFill="1" applyBorder="1" applyAlignment="1">
      <alignment horizontal="left"/>
    </xf>
    <xf numFmtId="0" fontId="5" fillId="3" borderId="3" xfId="5" applyFont="1" applyFill="1" applyBorder="1" applyAlignment="1">
      <alignment horizontal="center"/>
    </xf>
    <xf numFmtId="0" fontId="10" fillId="3" borderId="3" xfId="5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5" fillId="6" borderId="3" xfId="6" applyFont="1" applyFill="1" applyBorder="1" applyAlignment="1">
      <alignment horizontal="left" vertical="center"/>
    </xf>
    <xf numFmtId="0" fontId="5" fillId="3" borderId="3" xfId="6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left" vertical="center"/>
    </xf>
    <xf numFmtId="0" fontId="5" fillId="3" borderId="3" xfId="6" applyFont="1" applyFill="1" applyBorder="1" applyAlignment="1">
      <alignment horizontal="centerContinuous" vertical="center"/>
    </xf>
    <xf numFmtId="0" fontId="0" fillId="3" borderId="3" xfId="0" applyFill="1" applyBorder="1"/>
    <xf numFmtId="0" fontId="5" fillId="3" borderId="3" xfId="0" applyFont="1" applyFill="1" applyBorder="1"/>
    <xf numFmtId="9" fontId="5" fillId="3" borderId="3" xfId="0" applyNumberFormat="1" applyFont="1" applyFill="1" applyBorder="1"/>
    <xf numFmtId="9" fontId="0" fillId="3" borderId="3" xfId="0" applyNumberFormat="1" applyFill="1" applyBorder="1"/>
    <xf numFmtId="0" fontId="4" fillId="3" borderId="3" xfId="0" applyFont="1" applyFill="1" applyBorder="1"/>
    <xf numFmtId="0" fontId="2" fillId="3" borderId="3" xfId="0" applyFont="1" applyFill="1" applyBorder="1"/>
    <xf numFmtId="9" fontId="4" fillId="3" borderId="3" xfId="0" applyNumberFormat="1" applyFont="1" applyFill="1" applyBorder="1"/>
    <xf numFmtId="0" fontId="0" fillId="3" borderId="3" xfId="8" applyFont="1" applyFill="1" applyBorder="1"/>
    <xf numFmtId="0" fontId="0" fillId="3" borderId="3" xfId="8" applyFont="1" applyFill="1" applyBorder="1" applyAlignment="1">
      <alignment horizontal="center"/>
    </xf>
    <xf numFmtId="0" fontId="0" fillId="7" borderId="3" xfId="8" applyFont="1" applyFill="1" applyBorder="1" applyAlignment="1">
      <alignment horizontal="center"/>
    </xf>
    <xf numFmtId="0" fontId="0" fillId="6" borderId="3" xfId="8" applyFont="1" applyFill="1" applyBorder="1"/>
    <xf numFmtId="0" fontId="0" fillId="3" borderId="3" xfId="8" applyFont="1" applyFill="1" applyBorder="1" applyAlignment="1">
      <alignment horizontal="left"/>
    </xf>
    <xf numFmtId="0" fontId="2" fillId="3" borderId="3" xfId="8" applyFont="1" applyFill="1" applyBorder="1" applyAlignment="1">
      <alignment horizontal="center"/>
    </xf>
    <xf numFmtId="9" fontId="2" fillId="3" borderId="3" xfId="0" applyNumberFormat="1" applyFont="1" applyFill="1" applyBorder="1"/>
    <xf numFmtId="0" fontId="1" fillId="0" borderId="3" xfId="8" applyFont="1" applyBorder="1" applyAlignment="1">
      <alignment horizontal="center"/>
    </xf>
    <xf numFmtId="0" fontId="1" fillId="3" borderId="3" xfId="8" applyFont="1" applyFill="1" applyBorder="1" applyAlignment="1">
      <alignment horizontal="center"/>
    </xf>
    <xf numFmtId="0" fontId="1" fillId="3" borderId="3" xfId="8" applyFont="1" applyFill="1" applyBorder="1"/>
    <xf numFmtId="0" fontId="1" fillId="7" borderId="3" xfId="8" applyFont="1" applyFill="1" applyBorder="1" applyAlignment="1">
      <alignment horizontal="center"/>
    </xf>
    <xf numFmtId="0" fontId="1" fillId="3" borderId="3" xfId="0" applyFont="1" applyFill="1" applyBorder="1"/>
    <xf numFmtId="9" fontId="1" fillId="3" borderId="3" xfId="0" applyNumberFormat="1" applyFont="1" applyFill="1" applyBorder="1"/>
    <xf numFmtId="0" fontId="1" fillId="8" borderId="3" xfId="8" applyFont="1" applyFill="1" applyBorder="1"/>
    <xf numFmtId="0" fontId="1" fillId="3" borderId="3" xfId="8" applyFont="1" applyFill="1" applyBorder="1" applyAlignment="1">
      <alignment horizontal="left"/>
    </xf>
    <xf numFmtId="0" fontId="13" fillId="6" borderId="3" xfId="6" applyFont="1" applyFill="1" applyBorder="1" applyAlignment="1">
      <alignment horizontal="left" vertical="center"/>
    </xf>
    <xf numFmtId="0" fontId="13" fillId="3" borderId="3" xfId="6" applyFont="1" applyFill="1" applyBorder="1" applyAlignment="1">
      <alignment horizontal="center" vertical="center"/>
    </xf>
    <xf numFmtId="0" fontId="5" fillId="3" borderId="3" xfId="6" applyFont="1" applyFill="1" applyBorder="1" applyAlignment="1">
      <alignment vertical="center"/>
    </xf>
    <xf numFmtId="0" fontId="14" fillId="3" borderId="3" xfId="6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horizontal="center" vertical="center"/>
    </xf>
    <xf numFmtId="0" fontId="0" fillId="9" borderId="3" xfId="0" applyFill="1" applyBorder="1" applyAlignment="1">
      <alignment wrapText="1"/>
    </xf>
    <xf numFmtId="0" fontId="13" fillId="9" borderId="3" xfId="11" applyFont="1" applyFill="1" applyBorder="1">
      <alignment vertical="center"/>
    </xf>
    <xf numFmtId="0" fontId="13" fillId="9" borderId="3" xfId="1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5" fillId="0" borderId="3" xfId="11" applyFont="1" applyBorder="1" applyAlignment="1">
      <alignment horizontal="center"/>
    </xf>
    <xf numFmtId="0" fontId="5" fillId="3" borderId="3" xfId="1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3" borderId="3" xfId="6" applyFont="1" applyFill="1" applyBorder="1" applyAlignment="1">
      <alignment horizontal="center" vertical="center"/>
    </xf>
    <xf numFmtId="0" fontId="13" fillId="3" borderId="3" xfId="13" applyFont="1" applyFill="1" applyBorder="1" applyAlignment="1">
      <alignment horizontal="center"/>
    </xf>
    <xf numFmtId="0" fontId="13" fillId="10" borderId="3" xfId="13" applyFont="1" applyFill="1" applyBorder="1" applyAlignment="1">
      <alignment horizontal="center"/>
    </xf>
    <xf numFmtId="0" fontId="13" fillId="8" borderId="3" xfId="13" applyFont="1" applyFill="1" applyBorder="1" applyAlignment="1">
      <alignment horizontal="center"/>
    </xf>
    <xf numFmtId="0" fontId="0" fillId="3" borderId="3" xfId="13" applyFont="1" applyFill="1" applyBorder="1"/>
    <xf numFmtId="0" fontId="0" fillId="3" borderId="3" xfId="13" applyFont="1" applyFill="1" applyBorder="1" applyAlignment="1">
      <alignment horizontal="center"/>
    </xf>
    <xf numFmtId="0" fontId="13" fillId="3" borderId="3" xfId="13" applyFont="1" applyFill="1" applyBorder="1"/>
    <xf numFmtId="0" fontId="13" fillId="8" borderId="3" xfId="13" applyFont="1" applyFill="1" applyBorder="1"/>
    <xf numFmtId="0" fontId="0" fillId="8" borderId="3" xfId="13" applyFont="1" applyFill="1" applyBorder="1" applyAlignment="1">
      <alignment horizontal="center"/>
    </xf>
    <xf numFmtId="0" fontId="13" fillId="10" borderId="3" xfId="13" applyFont="1" applyFill="1" applyBorder="1" applyAlignment="1">
      <alignment horizontal="left"/>
    </xf>
    <xf numFmtId="0" fontId="13" fillId="8" borderId="3" xfId="13" applyFont="1" applyFill="1" applyBorder="1" applyAlignment="1">
      <alignment horizontal="left"/>
    </xf>
    <xf numFmtId="0" fontId="0" fillId="10" borderId="3" xfId="13" applyFont="1" applyFill="1" applyBorder="1" applyAlignment="1">
      <alignment horizontal="center"/>
    </xf>
    <xf numFmtId="0" fontId="13" fillId="11" borderId="3" xfId="13" applyFont="1" applyFill="1" applyBorder="1"/>
    <xf numFmtId="0" fontId="0" fillId="11" borderId="3" xfId="13" applyFont="1" applyFill="1" applyBorder="1" applyAlignment="1">
      <alignment horizontal="center"/>
    </xf>
    <xf numFmtId="0" fontId="13" fillId="11" borderId="3" xfId="13" applyFont="1" applyFill="1" applyBorder="1" applyAlignment="1">
      <alignment horizontal="center"/>
    </xf>
    <xf numFmtId="0" fontId="0" fillId="12" borderId="3" xfId="13" applyFont="1" applyFill="1" applyBorder="1" applyAlignment="1">
      <alignment horizontal="center"/>
    </xf>
    <xf numFmtId="0" fontId="13" fillId="6" borderId="3" xfId="13" applyFont="1" applyFill="1" applyBorder="1" applyAlignment="1">
      <alignment horizontal="center"/>
    </xf>
    <xf numFmtId="0" fontId="13" fillId="10" borderId="3" xfId="13" applyFont="1" applyFill="1" applyBorder="1"/>
    <xf numFmtId="0" fontId="9" fillId="3" borderId="3" xfId="13" applyFont="1" applyFill="1" applyBorder="1" applyAlignment="1">
      <alignment horizontal="left" vertical="center"/>
    </xf>
    <xf numFmtId="0" fontId="0" fillId="12" borderId="3" xfId="8" applyFont="1" applyFill="1" applyBorder="1" applyAlignment="1">
      <alignment horizontal="center"/>
    </xf>
    <xf numFmtId="0" fontId="0" fillId="6" borderId="3" xfId="8" applyFont="1" applyFill="1" applyBorder="1" applyAlignment="1">
      <alignment horizontal="center"/>
    </xf>
    <xf numFmtId="0" fontId="1" fillId="12" borderId="3" xfId="8" applyFont="1" applyFill="1" applyBorder="1" applyAlignment="1">
      <alignment horizontal="center"/>
    </xf>
    <xf numFmtId="0" fontId="1" fillId="6" borderId="3" xfId="8" applyFont="1" applyFill="1" applyBorder="1" applyAlignment="1">
      <alignment horizontal="center"/>
    </xf>
    <xf numFmtId="0" fontId="1" fillId="13" borderId="3" xfId="8" applyFont="1" applyFill="1" applyBorder="1"/>
    <xf numFmtId="0" fontId="0" fillId="13" borderId="3" xfId="8" applyFont="1" applyFill="1" applyBorder="1"/>
    <xf numFmtId="0" fontId="13" fillId="6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/>
    </xf>
    <xf numFmtId="0" fontId="5" fillId="3" borderId="3" xfId="18" applyFont="1" applyFill="1" applyBorder="1" applyAlignment="1">
      <alignment horizontal="left" vertical="center"/>
    </xf>
    <xf numFmtId="0" fontId="13" fillId="3" borderId="3" xfId="18" applyFont="1" applyFill="1" applyBorder="1" applyAlignment="1">
      <alignment horizontal="center" vertical="center"/>
    </xf>
    <xf numFmtId="0" fontId="13" fillId="6" borderId="3" xfId="18" applyFont="1" applyFill="1" applyBorder="1" applyAlignment="1">
      <alignment horizontal="left" vertical="center"/>
    </xf>
    <xf numFmtId="0" fontId="5" fillId="3" borderId="3" xfId="18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13" fillId="3" borderId="3" xfId="22" applyFont="1" applyFill="1" applyBorder="1" applyAlignment="1">
      <alignment horizontal="center" vertical="center"/>
    </xf>
    <xf numFmtId="0" fontId="1" fillId="13" borderId="3" xfId="22" applyFont="1" applyFill="1" applyBorder="1"/>
    <xf numFmtId="0" fontId="1" fillId="7" borderId="3" xfId="22" applyFont="1" applyFill="1" applyBorder="1" applyAlignment="1">
      <alignment horizontal="center"/>
    </xf>
    <xf numFmtId="0" fontId="5" fillId="3" borderId="3" xfId="22" applyFont="1" applyFill="1" applyBorder="1"/>
    <xf numFmtId="0" fontId="5" fillId="3" borderId="3" xfId="22" applyFont="1" applyFill="1" applyBorder="1" applyAlignment="1">
      <alignment horizontal="center" vertical="center"/>
    </xf>
    <xf numFmtId="0" fontId="1" fillId="3" borderId="3" xfId="22" applyFont="1" applyFill="1" applyBorder="1"/>
    <xf numFmtId="0" fontId="0" fillId="13" borderId="3" xfId="0" applyFill="1" applyBorder="1"/>
    <xf numFmtId="0" fontId="0" fillId="7" borderId="3" xfId="0" applyFill="1" applyBorder="1" applyAlignment="1">
      <alignment horizontal="center"/>
    </xf>
    <xf numFmtId="0" fontId="13" fillId="6" borderId="3" xfId="19" applyFont="1" applyFill="1" applyBorder="1" applyAlignment="1">
      <alignment horizontal="left" vertical="center"/>
    </xf>
    <xf numFmtId="0" fontId="13" fillId="3" borderId="3" xfId="19" applyFont="1" applyFill="1" applyBorder="1" applyAlignment="1">
      <alignment horizontal="center" vertical="center"/>
    </xf>
    <xf numFmtId="0" fontId="5" fillId="3" borderId="3" xfId="19" applyFont="1" applyFill="1" applyBorder="1" applyAlignment="1">
      <alignment horizontal="left" vertical="center"/>
    </xf>
    <xf numFmtId="0" fontId="5" fillId="3" borderId="3" xfId="19" applyFont="1" applyFill="1" applyBorder="1" applyAlignment="1">
      <alignment horizontal="center" vertical="center"/>
    </xf>
    <xf numFmtId="0" fontId="5" fillId="3" borderId="3" xfId="19" applyFont="1" applyFill="1" applyBorder="1" applyAlignment="1">
      <alignment horizontal="centerContinuous" vertical="center"/>
    </xf>
    <xf numFmtId="0" fontId="5" fillId="3" borderId="3" xfId="19" applyFont="1" applyFill="1" applyBorder="1" applyAlignment="1">
      <alignment vertical="center"/>
    </xf>
    <xf numFmtId="0" fontId="5" fillId="3" borderId="3" xfId="25" applyFont="1" applyFill="1" applyBorder="1" applyAlignment="1">
      <alignment wrapText="1"/>
    </xf>
    <xf numFmtId="0" fontId="5" fillId="3" borderId="3" xfId="25" applyFont="1" applyFill="1" applyBorder="1" applyAlignment="1">
      <alignment horizontal="center" wrapText="1"/>
    </xf>
    <xf numFmtId="0" fontId="4" fillId="3" borderId="3" xfId="25" applyFont="1" applyFill="1" applyBorder="1" applyAlignment="1">
      <alignment horizontal="center" wrapText="1"/>
    </xf>
    <xf numFmtId="0" fontId="5" fillId="3" borderId="3" xfId="26" applyFont="1" applyFill="1" applyBorder="1" applyAlignment="1">
      <alignment wrapText="1"/>
    </xf>
    <xf numFmtId="0" fontId="5" fillId="3" borderId="3" xfId="26" applyFont="1" applyFill="1" applyBorder="1" applyAlignment="1">
      <alignment horizontal="center" wrapText="1"/>
    </xf>
    <xf numFmtId="0" fontId="5" fillId="0" borderId="3" xfId="26" applyFont="1" applyBorder="1" applyAlignment="1">
      <alignment wrapText="1"/>
    </xf>
    <xf numFmtId="0" fontId="5" fillId="0" borderId="3" xfId="26" applyFont="1" applyBorder="1" applyAlignment="1">
      <alignment horizontal="center" wrapText="1"/>
    </xf>
    <xf numFmtId="0" fontId="4" fillId="0" borderId="3" xfId="26" applyFont="1" applyBorder="1" applyAlignment="1">
      <alignment horizontal="center" wrapText="1"/>
    </xf>
    <xf numFmtId="0" fontId="0" fillId="3" borderId="3" xfId="0" applyFill="1" applyBorder="1" applyAlignment="1">
      <alignment wrapText="1"/>
    </xf>
    <xf numFmtId="0" fontId="0" fillId="3" borderId="3" xfId="0" applyFill="1" applyBorder="1" applyAlignment="1">
      <alignment horizontal="center" wrapText="1"/>
    </xf>
    <xf numFmtId="0" fontId="0" fillId="3" borderId="3" xfId="19" applyFont="1" applyFill="1" applyBorder="1"/>
    <xf numFmtId="0" fontId="5" fillId="6" borderId="3" xfId="19" applyFont="1" applyFill="1" applyBorder="1" applyAlignment="1">
      <alignment horizontal="left" vertical="center"/>
    </xf>
    <xf numFmtId="0" fontId="13" fillId="6" borderId="3" xfId="27" applyFont="1" applyFill="1" applyBorder="1" applyAlignment="1">
      <alignment horizontal="left" vertical="center"/>
    </xf>
    <xf numFmtId="0" fontId="5" fillId="3" borderId="3" xfId="27" applyFont="1" applyFill="1" applyBorder="1" applyAlignment="1">
      <alignment horizontal="center" vertical="center"/>
    </xf>
    <xf numFmtId="0" fontId="13" fillId="3" borderId="3" xfId="27" applyFont="1" applyFill="1" applyBorder="1" applyAlignment="1">
      <alignment horizontal="center" vertical="center"/>
    </xf>
    <xf numFmtId="0" fontId="5" fillId="3" borderId="3" xfId="27" applyFont="1" applyFill="1" applyBorder="1" applyAlignment="1">
      <alignment horizontal="left" vertical="center"/>
    </xf>
    <xf numFmtId="0" fontId="0" fillId="3" borderId="3" xfId="27" applyFont="1" applyFill="1" applyBorder="1"/>
    <xf numFmtId="10" fontId="0" fillId="0" borderId="0" xfId="0" applyNumberFormat="1"/>
    <xf numFmtId="0" fontId="0" fillId="3" borderId="3" xfId="0" applyFill="1" applyBorder="1" applyAlignment="1">
      <alignment vertical="center"/>
    </xf>
    <xf numFmtId="0" fontId="13" fillId="3" borderId="3" xfId="0" applyFont="1" applyFill="1" applyBorder="1"/>
    <xf numFmtId="0" fontId="13" fillId="6" borderId="3" xfId="0" applyFont="1" applyFill="1" applyBorder="1" applyAlignment="1">
      <alignment vertical="center"/>
    </xf>
    <xf numFmtId="0" fontId="22" fillId="3" borderId="3" xfId="0" applyFont="1" applyFill="1" applyBorder="1"/>
    <xf numFmtId="0" fontId="5" fillId="3" borderId="3" xfId="0" applyFont="1" applyFill="1" applyBorder="1" applyAlignment="1">
      <alignment horizontal="left"/>
    </xf>
    <xf numFmtId="1" fontId="0" fillId="3" borderId="3" xfId="0" applyNumberFormat="1" applyFill="1" applyBorder="1" applyAlignment="1">
      <alignment horizontal="center" wrapText="1"/>
    </xf>
    <xf numFmtId="1" fontId="0" fillId="0" borderId="0" xfId="0" applyNumberFormat="1"/>
    <xf numFmtId="0" fontId="5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top"/>
    </xf>
    <xf numFmtId="0" fontId="5" fillId="3" borderId="3" xfId="29" applyFont="1" applyFill="1" applyBorder="1" applyAlignment="1">
      <alignment horizontal="center"/>
    </xf>
    <xf numFmtId="0" fontId="5" fillId="6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wrapText="1"/>
    </xf>
    <xf numFmtId="10" fontId="0" fillId="0" borderId="3" xfId="0" applyNumberForma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0" fontId="13" fillId="3" borderId="3" xfId="11" applyFont="1" applyFill="1" applyBorder="1" applyAlignment="1">
      <alignment horizontal="left"/>
    </xf>
    <xf numFmtId="0" fontId="13" fillId="3" borderId="3" xfId="11" applyFont="1" applyFill="1" applyBorder="1" applyAlignment="1">
      <alignment horizontal="center" vertical="center"/>
    </xf>
    <xf numFmtId="0" fontId="23" fillId="3" borderId="3" xfId="11" applyFont="1" applyFill="1" applyBorder="1" applyAlignment="1">
      <alignment horizontal="left"/>
    </xf>
    <xf numFmtId="10" fontId="6" fillId="2" borderId="3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9" fontId="6" fillId="2" borderId="6" xfId="1" applyFont="1" applyFill="1" applyBorder="1" applyAlignment="1">
      <alignment horizontal="center" vertical="center" wrapText="1"/>
    </xf>
    <xf numFmtId="9" fontId="6" fillId="2" borderId="7" xfId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 wrapText="1"/>
    </xf>
    <xf numFmtId="9" fontId="6" fillId="2" borderId="10" xfId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 vertical="center" wrapText="1"/>
    </xf>
    <xf numFmtId="9" fontId="13" fillId="2" borderId="3" xfId="1" applyFont="1" applyFill="1" applyBorder="1" applyAlignment="1">
      <alignment horizontal="center" vertical="center" wrapText="1"/>
    </xf>
  </cellXfs>
  <cellStyles count="31">
    <cellStyle name="Normal" xfId="0" builtinId="0"/>
    <cellStyle name="Normal 10" xfId="25" xr:uid="{C434CB5E-605C-4770-952F-4A0F19EEE671}"/>
    <cellStyle name="Normal 11" xfId="26" xr:uid="{FD1707DA-A5F3-4D7A-B564-6683301E1216}"/>
    <cellStyle name="Normal 12" xfId="27" xr:uid="{7C5E33D0-9F47-4C09-8F5F-21A87980EC73}"/>
    <cellStyle name="Normal 2" xfId="2" xr:uid="{6A92F6BD-23D9-4B96-B021-EE80C4A050CF}"/>
    <cellStyle name="Normal 2 2" xfId="11" xr:uid="{97BDF799-1E5A-4695-AEA6-A023746E8ED0}"/>
    <cellStyle name="Normal 2 3" xfId="20" xr:uid="{A7352EB2-11BB-4F5F-9A03-605DC1BF16BE}"/>
    <cellStyle name="Normal 2 4" xfId="24" xr:uid="{0FAFA27B-0B75-4AE8-8600-372157FB4C03}"/>
    <cellStyle name="Normal 2 5" xfId="29" xr:uid="{93E43FC5-7EBD-48EB-80A9-04AFC06772BE}"/>
    <cellStyle name="Normal 3" xfId="3" xr:uid="{71271555-410F-4C1A-AB9F-1273F249D5A5}"/>
    <cellStyle name="Normal 3 2" xfId="12" xr:uid="{D3A6606D-F7CD-48E0-906C-56F34A7BD38D}"/>
    <cellStyle name="Normal 3 3" xfId="19" xr:uid="{B4608A89-3179-4CB1-A392-E1D75B26596F}"/>
    <cellStyle name="Normal 4" xfId="4" xr:uid="{10F5F1B8-20FF-46AB-A222-0A0484A02EF5}"/>
    <cellStyle name="Normal 4 2" xfId="15" xr:uid="{EC9A2C61-19A2-44BF-848C-C1031CFEA5A4}"/>
    <cellStyle name="Normal 4 3" xfId="21" xr:uid="{55524D05-74EC-49F9-8119-09601001976F}"/>
    <cellStyle name="Normal 5" xfId="5" xr:uid="{F0C845F5-8286-4330-9014-3EB32C2F36EB}"/>
    <cellStyle name="Normal 5 2" xfId="9" xr:uid="{8E88CBEA-2435-4C99-A0BD-AB0DD48AAC53}"/>
    <cellStyle name="Normal 5 3" xfId="16" xr:uid="{7183EE8F-B9EF-4BB5-8E84-1F01AA106467}"/>
    <cellStyle name="Normal 5 4" xfId="22" xr:uid="{224618E1-2ACB-40F4-9A2E-2DBBE4E48E09}"/>
    <cellStyle name="Normal 6" xfId="6" xr:uid="{33D4DBD7-7ADF-40ED-80BF-66C63908207B}"/>
    <cellStyle name="Normal 7" xfId="8" xr:uid="{E0403B8F-140A-4F9E-A2BC-F55B64248145}"/>
    <cellStyle name="Normal 7 2" xfId="17" xr:uid="{C90AEF04-9EB6-4444-8D24-BA9A3597BB04}"/>
    <cellStyle name="Normal 8" xfId="13" xr:uid="{E02BC32A-327A-445E-ADC4-4350324A5A63}"/>
    <cellStyle name="Normal 9" xfId="18" xr:uid="{9B033407-C147-4F6C-9E05-7E60345EF35B}"/>
    <cellStyle name="Output 2" xfId="10" xr:uid="{7B81338A-D492-4C29-99FC-0D551CA7A2A5}"/>
    <cellStyle name="Percent" xfId="1" builtinId="5"/>
    <cellStyle name="Percent 2" xfId="7" xr:uid="{600582EE-0996-40E5-9944-034C7067F86C}"/>
    <cellStyle name="Percent 3" xfId="14" xr:uid="{9894C418-8EE0-4DCF-9637-4E0A0D263BA4}"/>
    <cellStyle name="Percent 3 2" xfId="23" xr:uid="{1C111236-773B-45FB-B017-5D68501CF7EA}"/>
    <cellStyle name="Percent 4" xfId="28" xr:uid="{88F18BC5-3A55-4F02-9827-0E592C691076}"/>
    <cellStyle name="Percent 5" xfId="30" xr:uid="{BCF895D9-7898-49DF-80D9-DC42D43A06E2}"/>
  </cellStyles>
  <dxfs count="2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6" defaultTableStyle="TableStyleMedium2" defaultPivotStyle="PivotStyleLight16">
    <tableStyle name="TableStylePreset3_Accent1" pivot="0" count="7" xr9:uid="{FE4BFD5F-6A1E-4BD1-9458-1DE1511DABF1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839F0C53-2F57-4536-B553-96C3F227EC53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TASIKMALAYA-style" pivot="0" count="3" xr9:uid="{2F6335C0-9E10-479C-9739-0590042D81A5}">
      <tableStyleElement type="headerRow" dxfId="10"/>
      <tableStyleElement type="firstRowStripe" dxfId="9"/>
      <tableStyleElement type="secondRowStripe" dxfId="8"/>
    </tableStyle>
    <tableStyle name="Sheet2-style" pivot="0" count="3" xr9:uid="{C0EF16D0-8C45-455B-856B-0ADD7938C647}">
      <tableStyleElement type="headerRow" dxfId="7"/>
      <tableStyleElement type="firstRowStripe" dxfId="6"/>
      <tableStyleElement type="secondRowStripe" dxfId="5"/>
    </tableStyle>
    <tableStyle name="21 agust - 20 september-style" pivot="0" count="3" xr9:uid="{C1CA50E6-A5BA-4B01-B0A8-2511719D5B73}">
      <tableStyleElement type="headerRow" dxfId="4"/>
      <tableStyleElement type="firstRowStripe" dxfId="3"/>
      <tableStyleElement type="secondRowStripe" dxfId="2"/>
    </tableStyle>
    <tableStyle name="21 agust - 20 september-style 2" pivot="0" count="2" xr9:uid="{689EB9FC-3DCE-4B23-97DF-89D6F447CD34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BDB5-706C-44D1-AC84-BDC2CE50C60C}">
  <dimension ref="C3:I52"/>
  <sheetViews>
    <sheetView topLeftCell="A52" workbookViewId="0">
      <selection activeCell="G60" sqref="G60"/>
    </sheetView>
  </sheetViews>
  <sheetFormatPr defaultRowHeight="14.5"/>
  <cols>
    <col min="4" max="4" width="25" customWidth="1"/>
    <col min="8" max="8" width="13.54296875" customWidth="1"/>
    <col min="9" max="9" width="8.7265625" style="148"/>
  </cols>
  <sheetData>
    <row r="3" spans="3:9">
      <c r="C3" s="167" t="s">
        <v>0</v>
      </c>
      <c r="D3" s="167" t="s">
        <v>1</v>
      </c>
      <c r="E3" s="167" t="s">
        <v>2</v>
      </c>
      <c r="F3" s="169" t="s">
        <v>51</v>
      </c>
      <c r="G3" s="169" t="s">
        <v>52</v>
      </c>
      <c r="H3" s="169" t="s">
        <v>53</v>
      </c>
      <c r="I3" s="166" t="s">
        <v>54</v>
      </c>
    </row>
    <row r="4" spans="3:9">
      <c r="C4" s="168"/>
      <c r="D4" s="168"/>
      <c r="E4" s="168"/>
      <c r="F4" s="170"/>
      <c r="G4" s="170"/>
      <c r="H4" s="170"/>
      <c r="I4" s="166"/>
    </row>
    <row r="5" spans="3:9">
      <c r="C5" s="1">
        <v>1</v>
      </c>
      <c r="D5" s="2" t="s">
        <v>3</v>
      </c>
      <c r="E5" s="3" t="s">
        <v>4</v>
      </c>
      <c r="F5" s="3">
        <v>680</v>
      </c>
      <c r="G5" s="3">
        <v>414</v>
      </c>
      <c r="H5" s="3">
        <f>G5-F5</f>
        <v>-266</v>
      </c>
      <c r="I5" s="161">
        <f>G5/F5*100%</f>
        <v>0.60882352941176465</v>
      </c>
    </row>
    <row r="6" spans="3:9">
      <c r="C6" s="1">
        <v>2</v>
      </c>
      <c r="D6" s="2" t="s">
        <v>5</v>
      </c>
      <c r="E6" s="3" t="s">
        <v>4</v>
      </c>
      <c r="F6" s="3">
        <v>570</v>
      </c>
      <c r="G6" s="3">
        <v>344</v>
      </c>
      <c r="H6" s="3">
        <f t="shared" ref="H6:H52" si="0">G6-F6</f>
        <v>-226</v>
      </c>
      <c r="I6" s="161">
        <f t="shared" ref="I6:I52" si="1">G6/F6*100%</f>
        <v>0.60350877192982455</v>
      </c>
    </row>
    <row r="7" spans="3:9">
      <c r="C7" s="1">
        <v>3</v>
      </c>
      <c r="D7" s="2" t="s">
        <v>6</v>
      </c>
      <c r="E7" s="3" t="s">
        <v>4</v>
      </c>
      <c r="F7" s="3">
        <v>380</v>
      </c>
      <c r="G7" s="3">
        <v>244</v>
      </c>
      <c r="H7" s="3">
        <f t="shared" si="0"/>
        <v>-136</v>
      </c>
      <c r="I7" s="161">
        <f t="shared" si="1"/>
        <v>0.64210526315789473</v>
      </c>
    </row>
    <row r="8" spans="3:9">
      <c r="C8" s="1">
        <v>4</v>
      </c>
      <c r="D8" s="2" t="s">
        <v>7</v>
      </c>
      <c r="E8" s="3" t="s">
        <v>4</v>
      </c>
      <c r="F8" s="3">
        <v>190</v>
      </c>
      <c r="G8" s="3">
        <v>95</v>
      </c>
      <c r="H8" s="3">
        <f t="shared" si="0"/>
        <v>-95</v>
      </c>
      <c r="I8" s="161">
        <f t="shared" si="1"/>
        <v>0.5</v>
      </c>
    </row>
    <row r="9" spans="3:9">
      <c r="C9" s="1">
        <v>5</v>
      </c>
      <c r="D9" s="2" t="s">
        <v>8</v>
      </c>
      <c r="E9" s="3" t="s">
        <v>4</v>
      </c>
      <c r="F9" s="3">
        <v>190</v>
      </c>
      <c r="G9" s="3">
        <v>118</v>
      </c>
      <c r="H9" s="3">
        <f t="shared" si="0"/>
        <v>-72</v>
      </c>
      <c r="I9" s="161">
        <f t="shared" si="1"/>
        <v>0.62105263157894741</v>
      </c>
    </row>
    <row r="10" spans="3:9">
      <c r="C10" s="1">
        <v>6</v>
      </c>
      <c r="D10" s="4" t="s">
        <v>9</v>
      </c>
      <c r="E10" s="5" t="s">
        <v>4</v>
      </c>
      <c r="F10" s="3">
        <v>190</v>
      </c>
      <c r="G10" s="3">
        <v>143</v>
      </c>
      <c r="H10" s="3">
        <f t="shared" si="0"/>
        <v>-47</v>
      </c>
      <c r="I10" s="161">
        <f t="shared" si="1"/>
        <v>0.75263157894736843</v>
      </c>
    </row>
    <row r="11" spans="3:9">
      <c r="C11" s="1">
        <v>7</v>
      </c>
      <c r="D11" s="4" t="s">
        <v>10</v>
      </c>
      <c r="E11" s="5" t="s">
        <v>4</v>
      </c>
      <c r="F11" s="3">
        <v>190</v>
      </c>
      <c r="G11" s="3">
        <v>143</v>
      </c>
      <c r="H11" s="3">
        <f t="shared" si="0"/>
        <v>-47</v>
      </c>
      <c r="I11" s="161">
        <f t="shared" si="1"/>
        <v>0.75263157894736843</v>
      </c>
    </row>
    <row r="12" spans="3:9">
      <c r="C12" s="1">
        <v>8</v>
      </c>
      <c r="D12" s="4" t="s">
        <v>11</v>
      </c>
      <c r="E12" s="5" t="s">
        <v>4</v>
      </c>
      <c r="F12" s="3">
        <v>150</v>
      </c>
      <c r="G12" s="3">
        <v>67</v>
      </c>
      <c r="H12" s="3">
        <f t="shared" si="0"/>
        <v>-83</v>
      </c>
      <c r="I12" s="161">
        <f t="shared" si="1"/>
        <v>0.44666666666666666</v>
      </c>
    </row>
    <row r="13" spans="3:9">
      <c r="C13" s="1">
        <v>9</v>
      </c>
      <c r="D13" s="4" t="s">
        <v>12</v>
      </c>
      <c r="E13" s="5" t="s">
        <v>4</v>
      </c>
      <c r="F13" s="3">
        <v>150</v>
      </c>
      <c r="G13" s="3">
        <v>7</v>
      </c>
      <c r="H13" s="3">
        <f t="shared" si="0"/>
        <v>-143</v>
      </c>
      <c r="I13" s="161">
        <f t="shared" si="1"/>
        <v>4.6666666666666669E-2</v>
      </c>
    </row>
    <row r="14" spans="3:9">
      <c r="C14" s="1">
        <v>10</v>
      </c>
      <c r="D14" s="4" t="s">
        <v>13</v>
      </c>
      <c r="E14" s="5" t="s">
        <v>4</v>
      </c>
      <c r="F14" s="3">
        <v>230</v>
      </c>
      <c r="G14" s="3">
        <v>161</v>
      </c>
      <c r="H14" s="3">
        <f t="shared" si="0"/>
        <v>-69</v>
      </c>
      <c r="I14" s="161">
        <f t="shared" si="1"/>
        <v>0.7</v>
      </c>
    </row>
    <row r="15" spans="3:9">
      <c r="C15" s="1">
        <v>11</v>
      </c>
      <c r="D15" s="4" t="s">
        <v>14</v>
      </c>
      <c r="E15" s="5" t="s">
        <v>4</v>
      </c>
      <c r="F15" s="3">
        <v>380</v>
      </c>
      <c r="G15" s="3">
        <v>256</v>
      </c>
      <c r="H15" s="3">
        <f t="shared" si="0"/>
        <v>-124</v>
      </c>
      <c r="I15" s="161">
        <f t="shared" si="1"/>
        <v>0.67368421052631577</v>
      </c>
    </row>
    <row r="16" spans="3:9">
      <c r="C16" s="1">
        <v>12</v>
      </c>
      <c r="D16" s="4" t="s">
        <v>15</v>
      </c>
      <c r="E16" s="5" t="s">
        <v>4</v>
      </c>
      <c r="F16" s="3">
        <v>150</v>
      </c>
      <c r="G16" s="3">
        <v>114</v>
      </c>
      <c r="H16" s="3">
        <f t="shared" si="0"/>
        <v>-36</v>
      </c>
      <c r="I16" s="161">
        <f t="shared" si="1"/>
        <v>0.76</v>
      </c>
    </row>
    <row r="17" spans="3:9">
      <c r="C17" s="1">
        <v>13</v>
      </c>
      <c r="D17" s="6" t="s">
        <v>16</v>
      </c>
      <c r="E17" s="3" t="s">
        <v>4</v>
      </c>
      <c r="F17" s="3">
        <v>190</v>
      </c>
      <c r="G17" s="3">
        <v>113</v>
      </c>
      <c r="H17" s="3">
        <f t="shared" si="0"/>
        <v>-77</v>
      </c>
      <c r="I17" s="161">
        <f t="shared" si="1"/>
        <v>0.59473684210526312</v>
      </c>
    </row>
    <row r="18" spans="3:9">
      <c r="C18" s="1">
        <v>14</v>
      </c>
      <c r="D18" s="6" t="s">
        <v>17</v>
      </c>
      <c r="E18" s="3" t="s">
        <v>4</v>
      </c>
      <c r="F18" s="3">
        <v>570</v>
      </c>
      <c r="G18" s="3">
        <v>455</v>
      </c>
      <c r="H18" s="3">
        <f t="shared" si="0"/>
        <v>-115</v>
      </c>
      <c r="I18" s="161">
        <f t="shared" si="1"/>
        <v>0.79824561403508776</v>
      </c>
    </row>
    <row r="19" spans="3:9">
      <c r="C19" s="1">
        <v>15</v>
      </c>
      <c r="D19" s="6" t="s">
        <v>18</v>
      </c>
      <c r="E19" s="3" t="s">
        <v>4</v>
      </c>
      <c r="F19" s="3">
        <v>380</v>
      </c>
      <c r="G19" s="3">
        <v>230</v>
      </c>
      <c r="H19" s="3">
        <f t="shared" si="0"/>
        <v>-150</v>
      </c>
      <c r="I19" s="161">
        <f t="shared" si="1"/>
        <v>0.60526315789473684</v>
      </c>
    </row>
    <row r="20" spans="3:9">
      <c r="C20" s="1">
        <v>16</v>
      </c>
      <c r="D20" s="6" t="s">
        <v>19</v>
      </c>
      <c r="E20" s="3" t="s">
        <v>4</v>
      </c>
      <c r="F20" s="3">
        <v>150</v>
      </c>
      <c r="G20" s="3">
        <v>93</v>
      </c>
      <c r="H20" s="3">
        <f t="shared" si="0"/>
        <v>-57</v>
      </c>
      <c r="I20" s="161">
        <f t="shared" si="1"/>
        <v>0.62</v>
      </c>
    </row>
    <row r="21" spans="3:9">
      <c r="C21" s="1">
        <v>17</v>
      </c>
      <c r="D21" s="6" t="s">
        <v>20</v>
      </c>
      <c r="E21" s="3" t="s">
        <v>4</v>
      </c>
      <c r="F21" s="3">
        <v>150</v>
      </c>
      <c r="G21" s="3">
        <v>14</v>
      </c>
      <c r="H21" s="3">
        <f t="shared" si="0"/>
        <v>-136</v>
      </c>
      <c r="I21" s="161">
        <f t="shared" si="1"/>
        <v>9.3333333333333338E-2</v>
      </c>
    </row>
    <row r="22" spans="3:9">
      <c r="C22" s="1">
        <v>18</v>
      </c>
      <c r="D22" s="6" t="s">
        <v>21</v>
      </c>
      <c r="E22" s="3" t="s">
        <v>4</v>
      </c>
      <c r="F22" s="3">
        <v>150</v>
      </c>
      <c r="G22" s="3">
        <v>39</v>
      </c>
      <c r="H22" s="3">
        <f t="shared" si="0"/>
        <v>-111</v>
      </c>
      <c r="I22" s="161">
        <f t="shared" si="1"/>
        <v>0.26</v>
      </c>
    </row>
    <row r="23" spans="3:9">
      <c r="C23" s="1">
        <v>19</v>
      </c>
      <c r="D23" s="6" t="s">
        <v>22</v>
      </c>
      <c r="E23" s="3" t="s">
        <v>4</v>
      </c>
      <c r="F23" s="3">
        <v>530</v>
      </c>
      <c r="G23" s="3">
        <v>474</v>
      </c>
      <c r="H23" s="3">
        <f t="shared" si="0"/>
        <v>-56</v>
      </c>
      <c r="I23" s="161">
        <f t="shared" si="1"/>
        <v>0.89433962264150946</v>
      </c>
    </row>
    <row r="24" spans="3:9">
      <c r="C24" s="1">
        <v>20</v>
      </c>
      <c r="D24" s="6" t="s">
        <v>23</v>
      </c>
      <c r="E24" s="3" t="s">
        <v>4</v>
      </c>
      <c r="F24" s="3">
        <v>190</v>
      </c>
      <c r="G24" s="3">
        <v>114</v>
      </c>
      <c r="H24" s="3">
        <f t="shared" si="0"/>
        <v>-76</v>
      </c>
      <c r="I24" s="161">
        <f t="shared" si="1"/>
        <v>0.6</v>
      </c>
    </row>
    <row r="25" spans="3:9">
      <c r="C25" s="1">
        <v>21</v>
      </c>
      <c r="D25" s="6" t="s">
        <v>24</v>
      </c>
      <c r="E25" s="3" t="s">
        <v>4</v>
      </c>
      <c r="F25" s="3">
        <v>340</v>
      </c>
      <c r="G25" s="3">
        <v>264</v>
      </c>
      <c r="H25" s="3">
        <f t="shared" si="0"/>
        <v>-76</v>
      </c>
      <c r="I25" s="161">
        <f t="shared" si="1"/>
        <v>0.77647058823529413</v>
      </c>
    </row>
    <row r="26" spans="3:9">
      <c r="C26" s="1">
        <v>22</v>
      </c>
      <c r="D26" s="6" t="s">
        <v>25</v>
      </c>
      <c r="E26" s="3" t="s">
        <v>4</v>
      </c>
      <c r="F26" s="3">
        <v>230</v>
      </c>
      <c r="G26" s="3">
        <v>159</v>
      </c>
      <c r="H26" s="3">
        <f t="shared" si="0"/>
        <v>-71</v>
      </c>
      <c r="I26" s="161">
        <f t="shared" si="1"/>
        <v>0.69130434782608696</v>
      </c>
    </row>
    <row r="27" spans="3:9">
      <c r="C27" s="1">
        <v>23</v>
      </c>
      <c r="D27" s="6" t="s">
        <v>26</v>
      </c>
      <c r="E27" s="3" t="s">
        <v>4</v>
      </c>
      <c r="F27" s="3">
        <v>600</v>
      </c>
      <c r="G27" s="3">
        <v>255</v>
      </c>
      <c r="H27" s="3">
        <f t="shared" si="0"/>
        <v>-345</v>
      </c>
      <c r="I27" s="161">
        <f t="shared" si="1"/>
        <v>0.42499999999999999</v>
      </c>
    </row>
    <row r="28" spans="3:9">
      <c r="C28" s="1">
        <v>24</v>
      </c>
      <c r="D28" s="6" t="s">
        <v>27</v>
      </c>
      <c r="E28" s="3" t="s">
        <v>4</v>
      </c>
      <c r="F28" s="3">
        <v>490</v>
      </c>
      <c r="G28" s="3">
        <v>378</v>
      </c>
      <c r="H28" s="3">
        <f t="shared" si="0"/>
        <v>-112</v>
      </c>
      <c r="I28" s="161">
        <f t="shared" si="1"/>
        <v>0.77142857142857146</v>
      </c>
    </row>
    <row r="29" spans="3:9">
      <c r="C29" s="1">
        <v>25</v>
      </c>
      <c r="D29" s="6" t="s">
        <v>28</v>
      </c>
      <c r="E29" s="3" t="s">
        <v>4</v>
      </c>
      <c r="F29" s="3">
        <v>490</v>
      </c>
      <c r="G29" s="3">
        <v>296</v>
      </c>
      <c r="H29" s="3">
        <f t="shared" si="0"/>
        <v>-194</v>
      </c>
      <c r="I29" s="161">
        <f t="shared" si="1"/>
        <v>0.60408163265306125</v>
      </c>
    </row>
    <row r="30" spans="3:9">
      <c r="C30" s="1">
        <v>26</v>
      </c>
      <c r="D30" s="6" t="s">
        <v>29</v>
      </c>
      <c r="E30" s="3" t="s">
        <v>4</v>
      </c>
      <c r="F30" s="3">
        <v>1280</v>
      </c>
      <c r="G30" s="3">
        <v>1281</v>
      </c>
      <c r="H30" s="3">
        <f t="shared" si="0"/>
        <v>1</v>
      </c>
      <c r="I30" s="161">
        <f t="shared" si="1"/>
        <v>1.00078125</v>
      </c>
    </row>
    <row r="31" spans="3:9">
      <c r="C31" s="1">
        <v>27</v>
      </c>
      <c r="D31" s="6" t="s">
        <v>30</v>
      </c>
      <c r="E31" s="3" t="s">
        <v>4</v>
      </c>
      <c r="F31" s="3">
        <v>150</v>
      </c>
      <c r="G31" s="3">
        <v>20</v>
      </c>
      <c r="H31" s="3">
        <f t="shared" si="0"/>
        <v>-130</v>
      </c>
      <c r="I31" s="161">
        <f t="shared" si="1"/>
        <v>0.13333333333333333</v>
      </c>
    </row>
    <row r="32" spans="3:9">
      <c r="C32" s="1">
        <v>28</v>
      </c>
      <c r="D32" s="6" t="s">
        <v>31</v>
      </c>
      <c r="E32" s="3" t="s">
        <v>4</v>
      </c>
      <c r="F32" s="3">
        <v>340</v>
      </c>
      <c r="G32" s="3">
        <v>338</v>
      </c>
      <c r="H32" s="3">
        <f t="shared" si="0"/>
        <v>-2</v>
      </c>
      <c r="I32" s="161">
        <f t="shared" si="1"/>
        <v>0.99411764705882355</v>
      </c>
    </row>
    <row r="33" spans="3:9">
      <c r="C33" s="1">
        <v>29</v>
      </c>
      <c r="D33" s="6" t="s">
        <v>32</v>
      </c>
      <c r="E33" s="3" t="s">
        <v>4</v>
      </c>
      <c r="F33" s="3">
        <v>420</v>
      </c>
      <c r="G33" s="3">
        <v>259</v>
      </c>
      <c r="H33" s="3">
        <f t="shared" si="0"/>
        <v>-161</v>
      </c>
      <c r="I33" s="161">
        <f t="shared" si="1"/>
        <v>0.6166666666666667</v>
      </c>
    </row>
    <row r="34" spans="3:9">
      <c r="C34" s="1">
        <v>30</v>
      </c>
      <c r="D34" s="6" t="s">
        <v>33</v>
      </c>
      <c r="E34" s="3" t="s">
        <v>4</v>
      </c>
      <c r="F34" s="3">
        <v>600</v>
      </c>
      <c r="G34" s="3">
        <v>272</v>
      </c>
      <c r="H34" s="3">
        <f t="shared" si="0"/>
        <v>-328</v>
      </c>
      <c r="I34" s="161">
        <f t="shared" si="1"/>
        <v>0.45333333333333331</v>
      </c>
    </row>
    <row r="35" spans="3:9">
      <c r="C35" s="1">
        <v>31</v>
      </c>
      <c r="D35" s="6" t="s">
        <v>34</v>
      </c>
      <c r="E35" s="3" t="s">
        <v>4</v>
      </c>
      <c r="F35" s="3">
        <v>300</v>
      </c>
      <c r="G35" s="3">
        <v>73</v>
      </c>
      <c r="H35" s="3">
        <f t="shared" si="0"/>
        <v>-227</v>
      </c>
      <c r="I35" s="161">
        <f t="shared" si="1"/>
        <v>0.24333333333333335</v>
      </c>
    </row>
    <row r="36" spans="3:9">
      <c r="C36" s="1">
        <v>32</v>
      </c>
      <c r="D36" s="6" t="s">
        <v>35</v>
      </c>
      <c r="E36" s="3" t="s">
        <v>4</v>
      </c>
      <c r="F36" s="3">
        <v>530</v>
      </c>
      <c r="G36" s="3">
        <v>239</v>
      </c>
      <c r="H36" s="3">
        <f t="shared" si="0"/>
        <v>-291</v>
      </c>
      <c r="I36" s="161">
        <f t="shared" si="1"/>
        <v>0.45094339622641511</v>
      </c>
    </row>
    <row r="37" spans="3:9">
      <c r="C37" s="1">
        <v>33</v>
      </c>
      <c r="D37" s="6" t="s">
        <v>36</v>
      </c>
      <c r="E37" s="3" t="s">
        <v>4</v>
      </c>
      <c r="F37" s="3">
        <v>190</v>
      </c>
      <c r="G37" s="3">
        <v>84</v>
      </c>
      <c r="H37" s="3">
        <f t="shared" si="0"/>
        <v>-106</v>
      </c>
      <c r="I37" s="161">
        <f t="shared" si="1"/>
        <v>0.44210526315789472</v>
      </c>
    </row>
    <row r="38" spans="3:9">
      <c r="C38" s="1">
        <v>34</v>
      </c>
      <c r="D38" s="6" t="s">
        <v>37</v>
      </c>
      <c r="E38" s="3" t="s">
        <v>4</v>
      </c>
      <c r="F38" s="3">
        <v>240</v>
      </c>
      <c r="G38" s="3">
        <v>114</v>
      </c>
      <c r="H38" s="3">
        <f t="shared" si="0"/>
        <v>-126</v>
      </c>
      <c r="I38" s="161">
        <f t="shared" si="1"/>
        <v>0.47499999999999998</v>
      </c>
    </row>
    <row r="39" spans="3:9">
      <c r="C39" s="1">
        <v>35</v>
      </c>
      <c r="D39" s="6" t="s">
        <v>38</v>
      </c>
      <c r="E39" s="3" t="s">
        <v>4</v>
      </c>
      <c r="F39" s="3">
        <v>300</v>
      </c>
      <c r="G39" s="3">
        <v>288</v>
      </c>
      <c r="H39" s="3">
        <f t="shared" si="0"/>
        <v>-12</v>
      </c>
      <c r="I39" s="161">
        <f t="shared" si="1"/>
        <v>0.96</v>
      </c>
    </row>
    <row r="40" spans="3:9">
      <c r="C40" s="1">
        <v>36</v>
      </c>
      <c r="D40" s="6" t="s">
        <v>39</v>
      </c>
      <c r="E40" s="3" t="s">
        <v>4</v>
      </c>
      <c r="F40" s="3">
        <v>275</v>
      </c>
      <c r="G40" s="3">
        <v>179</v>
      </c>
      <c r="H40" s="3">
        <f t="shared" si="0"/>
        <v>-96</v>
      </c>
      <c r="I40" s="161">
        <f t="shared" si="1"/>
        <v>0.65090909090909088</v>
      </c>
    </row>
    <row r="41" spans="3:9">
      <c r="C41" s="1">
        <v>37</v>
      </c>
      <c r="D41" s="6" t="s">
        <v>40</v>
      </c>
      <c r="E41" s="3" t="s">
        <v>4</v>
      </c>
      <c r="F41" s="3">
        <v>380</v>
      </c>
      <c r="G41" s="3">
        <v>135</v>
      </c>
      <c r="H41" s="3">
        <f t="shared" si="0"/>
        <v>-245</v>
      </c>
      <c r="I41" s="161">
        <f t="shared" si="1"/>
        <v>0.35526315789473684</v>
      </c>
    </row>
    <row r="42" spans="3:9">
      <c r="C42" s="1">
        <v>38</v>
      </c>
      <c r="D42" s="6" t="s">
        <v>41</v>
      </c>
      <c r="E42" s="3" t="s">
        <v>4</v>
      </c>
      <c r="F42" s="3">
        <v>100</v>
      </c>
      <c r="G42" s="3">
        <v>14</v>
      </c>
      <c r="H42" s="3">
        <f t="shared" si="0"/>
        <v>-86</v>
      </c>
      <c r="I42" s="161">
        <f t="shared" si="1"/>
        <v>0.14000000000000001</v>
      </c>
    </row>
    <row r="43" spans="3:9">
      <c r="C43" s="1">
        <v>39</v>
      </c>
      <c r="D43" s="6" t="s">
        <v>42</v>
      </c>
      <c r="E43" s="3" t="s">
        <v>4</v>
      </c>
      <c r="F43" s="3">
        <v>150</v>
      </c>
      <c r="G43" s="3">
        <v>13</v>
      </c>
      <c r="H43" s="3">
        <f t="shared" si="0"/>
        <v>-137</v>
      </c>
      <c r="I43" s="161">
        <f t="shared" si="1"/>
        <v>8.666666666666667E-2</v>
      </c>
    </row>
    <row r="44" spans="3:9">
      <c r="C44" s="1">
        <v>40</v>
      </c>
      <c r="D44" s="6" t="s">
        <v>43</v>
      </c>
      <c r="E44" s="3" t="s">
        <v>4</v>
      </c>
      <c r="F44" s="3">
        <v>600</v>
      </c>
      <c r="G44" s="3">
        <v>353</v>
      </c>
      <c r="H44" s="3">
        <f t="shared" si="0"/>
        <v>-247</v>
      </c>
      <c r="I44" s="161">
        <f t="shared" si="1"/>
        <v>0.58833333333333337</v>
      </c>
    </row>
    <row r="45" spans="3:9">
      <c r="C45" s="1">
        <v>41</v>
      </c>
      <c r="D45" s="7" t="s">
        <v>44</v>
      </c>
      <c r="E45" s="3" t="s">
        <v>4</v>
      </c>
      <c r="F45" s="3">
        <v>150</v>
      </c>
      <c r="G45" s="3">
        <v>143</v>
      </c>
      <c r="H45" s="3">
        <f t="shared" si="0"/>
        <v>-7</v>
      </c>
      <c r="I45" s="161">
        <f t="shared" si="1"/>
        <v>0.95333333333333337</v>
      </c>
    </row>
    <row r="46" spans="3:9">
      <c r="C46" s="1">
        <v>42</v>
      </c>
      <c r="D46" s="7" t="s">
        <v>45</v>
      </c>
      <c r="E46" s="3" t="s">
        <v>4</v>
      </c>
      <c r="F46" s="3">
        <v>490</v>
      </c>
      <c r="G46" s="3">
        <v>224</v>
      </c>
      <c r="H46" s="3">
        <f t="shared" si="0"/>
        <v>-266</v>
      </c>
      <c r="I46" s="161">
        <f t="shared" si="1"/>
        <v>0.45714285714285713</v>
      </c>
    </row>
    <row r="47" spans="3:9">
      <c r="C47" s="1">
        <v>43</v>
      </c>
      <c r="D47" s="7" t="s">
        <v>46</v>
      </c>
      <c r="E47" s="3" t="s">
        <v>4</v>
      </c>
      <c r="F47" s="3">
        <v>300</v>
      </c>
      <c r="G47" s="3">
        <v>251</v>
      </c>
      <c r="H47" s="3">
        <f t="shared" si="0"/>
        <v>-49</v>
      </c>
      <c r="I47" s="161">
        <f t="shared" si="1"/>
        <v>0.83666666666666667</v>
      </c>
    </row>
    <row r="48" spans="3:9">
      <c r="C48" s="1">
        <v>44</v>
      </c>
      <c r="D48" s="7" t="s">
        <v>47</v>
      </c>
      <c r="E48" s="3" t="s">
        <v>4</v>
      </c>
      <c r="F48" s="3">
        <v>450</v>
      </c>
      <c r="G48" s="3">
        <v>187</v>
      </c>
      <c r="H48" s="3">
        <f t="shared" si="0"/>
        <v>-263</v>
      </c>
      <c r="I48" s="161">
        <f t="shared" si="1"/>
        <v>0.41555555555555557</v>
      </c>
    </row>
    <row r="49" spans="3:9">
      <c r="C49" s="1">
        <v>45</v>
      </c>
      <c r="D49" s="7" t="s">
        <v>48</v>
      </c>
      <c r="E49" s="3" t="s">
        <v>4</v>
      </c>
      <c r="F49" s="3">
        <v>570</v>
      </c>
      <c r="G49" s="3">
        <v>442</v>
      </c>
      <c r="H49" s="3">
        <f t="shared" si="0"/>
        <v>-128</v>
      </c>
      <c r="I49" s="161">
        <f t="shared" si="1"/>
        <v>0.77543859649122804</v>
      </c>
    </row>
    <row r="50" spans="3:9">
      <c r="C50" s="1">
        <v>46</v>
      </c>
      <c r="D50" s="7" t="s">
        <v>49</v>
      </c>
      <c r="E50" s="3" t="s">
        <v>4</v>
      </c>
      <c r="F50" s="3">
        <v>300</v>
      </c>
      <c r="G50" s="3">
        <v>42</v>
      </c>
      <c r="H50" s="3">
        <f t="shared" si="0"/>
        <v>-258</v>
      </c>
      <c r="I50" s="161">
        <f t="shared" si="1"/>
        <v>0.14000000000000001</v>
      </c>
    </row>
    <row r="51" spans="3:9">
      <c r="C51" s="1">
        <v>47</v>
      </c>
      <c r="D51" s="7" t="s">
        <v>703</v>
      </c>
      <c r="E51" s="3" t="s">
        <v>4</v>
      </c>
      <c r="F51" s="3">
        <v>150</v>
      </c>
      <c r="G51" s="3">
        <v>4</v>
      </c>
      <c r="H51" s="3">
        <f t="shared" si="0"/>
        <v>-146</v>
      </c>
      <c r="I51" s="161">
        <f t="shared" si="1"/>
        <v>2.6666666666666668E-2</v>
      </c>
    </row>
    <row r="52" spans="3:9" ht="29.5" customHeight="1">
      <c r="C52" s="8"/>
      <c r="D52" s="9" t="s">
        <v>50</v>
      </c>
      <c r="E52" s="1"/>
      <c r="F52" s="1">
        <f>SUM(F5:F51)</f>
        <v>16175</v>
      </c>
      <c r="G52" s="1">
        <f>SUM(G5:G51)</f>
        <v>9945</v>
      </c>
      <c r="H52" s="1">
        <f t="shared" si="0"/>
        <v>-6230</v>
      </c>
      <c r="I52" s="162">
        <f t="shared" si="1"/>
        <v>0.61483771251931996</v>
      </c>
    </row>
  </sheetData>
  <mergeCells count="7">
    <mergeCell ref="I3:I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9368-1827-40F1-B5DD-4B689A043A06}">
  <dimension ref="A1:D4"/>
  <sheetViews>
    <sheetView workbookViewId="0">
      <selection activeCell="H4" sqref="H4"/>
    </sheetView>
  </sheetViews>
  <sheetFormatPr defaultRowHeight="14.5"/>
  <cols>
    <col min="1" max="1" width="6.08984375" customWidth="1"/>
    <col min="2" max="2" width="23.54296875" customWidth="1"/>
    <col min="3" max="3" width="15.90625" customWidth="1"/>
    <col min="4" max="4" width="22.7265625" customWidth="1"/>
  </cols>
  <sheetData>
    <row r="1" spans="1:4">
      <c r="A1" s="10" t="s">
        <v>63</v>
      </c>
      <c r="B1" s="10" t="s">
        <v>64</v>
      </c>
      <c r="C1" s="10" t="s">
        <v>65</v>
      </c>
      <c r="D1" s="10" t="s">
        <v>66</v>
      </c>
    </row>
    <row r="2" spans="1:4">
      <c r="A2" s="8">
        <v>1</v>
      </c>
      <c r="B2" s="8" t="s">
        <v>176</v>
      </c>
      <c r="C2" s="3">
        <v>95</v>
      </c>
      <c r="D2" s="3" t="s">
        <v>701</v>
      </c>
    </row>
    <row r="3" spans="1:4">
      <c r="A3" s="8">
        <v>2</v>
      </c>
      <c r="B3" s="8" t="s">
        <v>641</v>
      </c>
      <c r="C3" s="3">
        <v>82</v>
      </c>
      <c r="D3" s="3" t="s">
        <v>702</v>
      </c>
    </row>
    <row r="4" spans="1:4">
      <c r="A4" s="8">
        <v>3</v>
      </c>
      <c r="B4" s="8" t="s">
        <v>645</v>
      </c>
      <c r="C4" s="3">
        <v>72</v>
      </c>
      <c r="D4" s="3" t="s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8CFB-EBDA-4580-A9A1-96624209FCA6}">
  <dimension ref="A1:G48"/>
  <sheetViews>
    <sheetView topLeftCell="A10" workbookViewId="0">
      <selection activeCell="J27" sqref="J27"/>
    </sheetView>
  </sheetViews>
  <sheetFormatPr defaultRowHeight="14.5"/>
  <cols>
    <col min="1" max="1" width="4.81640625" customWidth="1"/>
    <col min="2" max="2" width="32.36328125" customWidth="1"/>
    <col min="7" max="7" width="8.7265625" style="18"/>
  </cols>
  <sheetData>
    <row r="1" spans="1:7">
      <c r="A1" s="39" t="s">
        <v>14</v>
      </c>
      <c r="B1" s="40"/>
    </row>
    <row r="2" spans="1:7">
      <c r="A2" s="171" t="s">
        <v>55</v>
      </c>
      <c r="B2" s="172" t="s">
        <v>56</v>
      </c>
      <c r="C2" s="173" t="s">
        <v>62</v>
      </c>
      <c r="D2" s="174"/>
      <c r="E2" s="174"/>
      <c r="F2" s="174"/>
      <c r="G2" s="174"/>
    </row>
    <row r="3" spans="1:7">
      <c r="A3" s="171"/>
      <c r="B3" s="172"/>
      <c r="C3" s="175" t="s">
        <v>57</v>
      </c>
      <c r="D3" s="175" t="s">
        <v>58</v>
      </c>
      <c r="E3" s="175" t="s">
        <v>59</v>
      </c>
      <c r="F3" s="175" t="s">
        <v>60</v>
      </c>
      <c r="G3" s="177" t="s">
        <v>54</v>
      </c>
    </row>
    <row r="4" spans="1:7">
      <c r="A4" s="171"/>
      <c r="B4" s="172"/>
      <c r="C4" s="176"/>
      <c r="D4" s="176"/>
      <c r="E4" s="176"/>
      <c r="F4" s="176"/>
      <c r="G4" s="178"/>
    </row>
    <row r="5" spans="1:7">
      <c r="A5" s="8">
        <v>1</v>
      </c>
      <c r="B5" s="12" t="s">
        <v>67</v>
      </c>
      <c r="C5" s="13" t="s">
        <v>75</v>
      </c>
      <c r="D5" s="14">
        <v>35</v>
      </c>
      <c r="E5" s="15">
        <v>8</v>
      </c>
      <c r="F5" s="8">
        <f>E5-D5</f>
        <v>-27</v>
      </c>
      <c r="G5" s="19">
        <f>E5/D5*100%</f>
        <v>0.22857142857142856</v>
      </c>
    </row>
    <row r="6" spans="1:7">
      <c r="A6" s="8">
        <v>2</v>
      </c>
      <c r="B6" s="16" t="s">
        <v>68</v>
      </c>
      <c r="C6" s="17" t="s">
        <v>76</v>
      </c>
      <c r="D6" s="15">
        <v>25</v>
      </c>
      <c r="E6" s="15">
        <v>30</v>
      </c>
      <c r="F6" s="8">
        <f t="shared" ref="F6:F21" si="0">E6-D6</f>
        <v>5</v>
      </c>
      <c r="G6" s="19">
        <f t="shared" ref="G6:G21" si="1">E6/D6*100%</f>
        <v>1.2</v>
      </c>
    </row>
    <row r="7" spans="1:7">
      <c r="A7" s="8">
        <v>3</v>
      </c>
      <c r="B7" s="16" t="s">
        <v>69</v>
      </c>
      <c r="C7" s="17" t="s">
        <v>76</v>
      </c>
      <c r="D7" s="15">
        <v>25</v>
      </c>
      <c r="E7" s="15">
        <v>28</v>
      </c>
      <c r="F7" s="8">
        <f t="shared" si="0"/>
        <v>3</v>
      </c>
      <c r="G7" s="19">
        <f t="shared" si="1"/>
        <v>1.1200000000000001</v>
      </c>
    </row>
    <row r="8" spans="1:7">
      <c r="A8" s="8">
        <v>4</v>
      </c>
      <c r="B8" s="16" t="s">
        <v>70</v>
      </c>
      <c r="C8" s="17" t="s">
        <v>76</v>
      </c>
      <c r="D8" s="15">
        <v>25</v>
      </c>
      <c r="E8" s="15">
        <v>20</v>
      </c>
      <c r="F8" s="8">
        <f t="shared" si="0"/>
        <v>-5</v>
      </c>
      <c r="G8" s="19">
        <f t="shared" si="1"/>
        <v>0.8</v>
      </c>
    </row>
    <row r="9" spans="1:7">
      <c r="A9" s="8">
        <v>5</v>
      </c>
      <c r="B9" s="16" t="s">
        <v>71</v>
      </c>
      <c r="C9" s="17" t="s">
        <v>76</v>
      </c>
      <c r="D9" s="15">
        <v>25</v>
      </c>
      <c r="E9" s="15">
        <v>25</v>
      </c>
      <c r="F9" s="8">
        <f t="shared" si="0"/>
        <v>0</v>
      </c>
      <c r="G9" s="19">
        <f t="shared" si="1"/>
        <v>1</v>
      </c>
    </row>
    <row r="10" spans="1:7">
      <c r="A10" s="8">
        <v>6</v>
      </c>
      <c r="B10" s="16" t="s">
        <v>72</v>
      </c>
      <c r="C10" s="17" t="s">
        <v>76</v>
      </c>
      <c r="D10" s="15">
        <v>25</v>
      </c>
      <c r="E10" s="15">
        <v>16</v>
      </c>
      <c r="F10" s="8">
        <f t="shared" si="0"/>
        <v>-9</v>
      </c>
      <c r="G10" s="19">
        <f t="shared" si="1"/>
        <v>0.64</v>
      </c>
    </row>
    <row r="11" spans="1:7">
      <c r="A11" s="8">
        <v>7</v>
      </c>
      <c r="B11" s="16" t="s">
        <v>73</v>
      </c>
      <c r="C11" s="17" t="s">
        <v>76</v>
      </c>
      <c r="D11" s="15">
        <v>25</v>
      </c>
      <c r="E11" s="15">
        <v>10</v>
      </c>
      <c r="F11" s="8">
        <f t="shared" si="0"/>
        <v>-15</v>
      </c>
      <c r="G11" s="19">
        <f t="shared" si="1"/>
        <v>0.4</v>
      </c>
    </row>
    <row r="12" spans="1:7">
      <c r="A12" s="8">
        <v>8</v>
      </c>
      <c r="B12" s="16" t="s">
        <v>74</v>
      </c>
      <c r="C12" s="17" t="s">
        <v>76</v>
      </c>
      <c r="D12" s="15">
        <v>25</v>
      </c>
      <c r="E12" s="15">
        <v>26</v>
      </c>
      <c r="F12" s="8">
        <f t="shared" si="0"/>
        <v>1</v>
      </c>
      <c r="G12" s="19">
        <f t="shared" si="1"/>
        <v>1.04</v>
      </c>
    </row>
    <row r="13" spans="1:7">
      <c r="A13" s="8">
        <v>9</v>
      </c>
      <c r="B13" s="12" t="s">
        <v>77</v>
      </c>
      <c r="C13" s="13" t="s">
        <v>75</v>
      </c>
      <c r="D13" s="14">
        <v>35</v>
      </c>
      <c r="E13" s="15">
        <v>10</v>
      </c>
      <c r="F13" s="8">
        <f t="shared" si="0"/>
        <v>-25</v>
      </c>
      <c r="G13" s="19">
        <f t="shared" si="1"/>
        <v>0.2857142857142857</v>
      </c>
    </row>
    <row r="14" spans="1:7">
      <c r="A14" s="8">
        <v>10</v>
      </c>
      <c r="B14" s="16" t="s">
        <v>78</v>
      </c>
      <c r="C14" s="17" t="s">
        <v>76</v>
      </c>
      <c r="D14" s="15">
        <v>25</v>
      </c>
      <c r="E14" s="15">
        <v>24</v>
      </c>
      <c r="F14" s="8">
        <f t="shared" si="0"/>
        <v>-1</v>
      </c>
      <c r="G14" s="19">
        <f t="shared" si="1"/>
        <v>0.96</v>
      </c>
    </row>
    <row r="15" spans="1:7">
      <c r="A15" s="8">
        <v>11</v>
      </c>
      <c r="B15" s="16" t="s">
        <v>79</v>
      </c>
      <c r="C15" s="17" t="s">
        <v>76</v>
      </c>
      <c r="D15" s="15">
        <v>25</v>
      </c>
      <c r="E15" s="15">
        <v>16</v>
      </c>
      <c r="F15" s="8">
        <f t="shared" si="0"/>
        <v>-9</v>
      </c>
      <c r="G15" s="19">
        <f t="shared" si="1"/>
        <v>0.64</v>
      </c>
    </row>
    <row r="16" spans="1:7">
      <c r="A16" s="8">
        <v>12</v>
      </c>
      <c r="B16" s="16" t="s">
        <v>80</v>
      </c>
      <c r="C16" s="17" t="s">
        <v>76</v>
      </c>
      <c r="D16" s="15">
        <v>25</v>
      </c>
      <c r="E16" s="15">
        <v>12</v>
      </c>
      <c r="F16" s="8">
        <f t="shared" si="0"/>
        <v>-13</v>
      </c>
      <c r="G16" s="19">
        <f t="shared" si="1"/>
        <v>0.48</v>
      </c>
    </row>
    <row r="17" spans="1:7">
      <c r="A17" s="8">
        <v>13</v>
      </c>
      <c r="B17" s="16" t="s">
        <v>81</v>
      </c>
      <c r="C17" s="17" t="s">
        <v>76</v>
      </c>
      <c r="D17" s="15">
        <v>25</v>
      </c>
      <c r="E17" s="15">
        <v>22</v>
      </c>
      <c r="F17" s="8">
        <f t="shared" si="0"/>
        <v>-3</v>
      </c>
      <c r="G17" s="19">
        <f t="shared" si="1"/>
        <v>0.88</v>
      </c>
    </row>
    <row r="18" spans="1:7">
      <c r="A18" s="8">
        <v>14</v>
      </c>
      <c r="B18" s="16" t="s">
        <v>82</v>
      </c>
      <c r="C18" s="17" t="s">
        <v>76</v>
      </c>
      <c r="D18" s="15">
        <v>25</v>
      </c>
      <c r="E18" s="15">
        <v>1</v>
      </c>
      <c r="F18" s="8">
        <f t="shared" si="0"/>
        <v>-24</v>
      </c>
      <c r="G18" s="19">
        <f t="shared" si="1"/>
        <v>0.04</v>
      </c>
    </row>
    <row r="19" spans="1:7">
      <c r="A19" s="8">
        <v>15</v>
      </c>
      <c r="B19" s="16" t="s">
        <v>83</v>
      </c>
      <c r="C19" s="17" t="s">
        <v>76</v>
      </c>
      <c r="D19" s="15">
        <v>25</v>
      </c>
      <c r="E19" s="15">
        <v>3</v>
      </c>
      <c r="F19" s="8">
        <f t="shared" si="0"/>
        <v>-22</v>
      </c>
      <c r="G19" s="19">
        <f t="shared" si="1"/>
        <v>0.12</v>
      </c>
    </row>
    <row r="20" spans="1:7">
      <c r="A20" s="8">
        <v>16</v>
      </c>
      <c r="B20" s="16" t="s">
        <v>84</v>
      </c>
      <c r="C20" s="17" t="s">
        <v>76</v>
      </c>
      <c r="D20" s="15">
        <v>25</v>
      </c>
      <c r="E20" s="15">
        <v>5</v>
      </c>
      <c r="F20" s="8">
        <f t="shared" si="0"/>
        <v>-20</v>
      </c>
      <c r="G20" s="19">
        <f t="shared" si="1"/>
        <v>0.2</v>
      </c>
    </row>
    <row r="21" spans="1:7">
      <c r="A21" s="8"/>
      <c r="B21" s="11" t="s">
        <v>50</v>
      </c>
      <c r="C21" s="11"/>
      <c r="D21" s="20">
        <v>380</v>
      </c>
      <c r="E21" s="11">
        <f>SUM(E5:E20)</f>
        <v>256</v>
      </c>
      <c r="F21" s="11">
        <f t="shared" si="0"/>
        <v>-124</v>
      </c>
      <c r="G21" s="21">
        <f t="shared" si="1"/>
        <v>0.67368421052631577</v>
      </c>
    </row>
    <row r="24" spans="1:7">
      <c r="B24" s="39" t="s">
        <v>16</v>
      </c>
    </row>
    <row r="25" spans="1:7">
      <c r="A25" s="171" t="s">
        <v>55</v>
      </c>
      <c r="B25" s="172" t="s">
        <v>56</v>
      </c>
      <c r="C25" s="173" t="s">
        <v>62</v>
      </c>
      <c r="D25" s="174"/>
      <c r="E25" s="174"/>
      <c r="F25" s="174"/>
      <c r="G25" s="174"/>
    </row>
    <row r="26" spans="1:7">
      <c r="A26" s="171"/>
      <c r="B26" s="172"/>
      <c r="C26" s="175" t="s">
        <v>57</v>
      </c>
      <c r="D26" s="175" t="s">
        <v>58</v>
      </c>
      <c r="E26" s="175" t="s">
        <v>59</v>
      </c>
      <c r="F26" s="175" t="s">
        <v>60</v>
      </c>
      <c r="G26" s="177" t="s">
        <v>54</v>
      </c>
    </row>
    <row r="27" spans="1:7">
      <c r="A27" s="171"/>
      <c r="B27" s="172"/>
      <c r="C27" s="176"/>
      <c r="D27" s="176"/>
      <c r="E27" s="176"/>
      <c r="F27" s="176"/>
      <c r="G27" s="178"/>
    </row>
    <row r="28" spans="1:7">
      <c r="A28" s="24">
        <v>1</v>
      </c>
      <c r="B28" s="25" t="s">
        <v>85</v>
      </c>
      <c r="C28" s="26" t="s">
        <v>75</v>
      </c>
      <c r="D28" s="24">
        <v>35</v>
      </c>
      <c r="E28" s="27">
        <v>24</v>
      </c>
      <c r="F28" s="22">
        <f>E28-D28</f>
        <v>-11</v>
      </c>
      <c r="G28" s="23">
        <f>E28/D28*100%</f>
        <v>0.68571428571428572</v>
      </c>
    </row>
    <row r="29" spans="1:7">
      <c r="A29" s="27">
        <v>2</v>
      </c>
      <c r="B29" s="28" t="s">
        <v>86</v>
      </c>
      <c r="C29" s="29" t="s">
        <v>76</v>
      </c>
      <c r="D29" s="27">
        <v>25</v>
      </c>
      <c r="E29" s="27">
        <v>20</v>
      </c>
      <c r="F29" s="22">
        <f t="shared" ref="F29:F35" si="2">E29-D29</f>
        <v>-5</v>
      </c>
      <c r="G29" s="23">
        <f t="shared" ref="G29:G35" si="3">E29/D29*100%</f>
        <v>0.8</v>
      </c>
    </row>
    <row r="30" spans="1:7">
      <c r="A30" s="24">
        <v>3</v>
      </c>
      <c r="B30" s="28" t="s">
        <v>87</v>
      </c>
      <c r="C30" s="29" t="s">
        <v>76</v>
      </c>
      <c r="D30" s="27">
        <v>25</v>
      </c>
      <c r="E30" s="27">
        <v>27</v>
      </c>
      <c r="F30" s="22">
        <f t="shared" si="2"/>
        <v>2</v>
      </c>
      <c r="G30" s="23">
        <f t="shared" si="3"/>
        <v>1.08</v>
      </c>
    </row>
    <row r="31" spans="1:7">
      <c r="A31" s="27">
        <v>4</v>
      </c>
      <c r="B31" s="28" t="s">
        <v>88</v>
      </c>
      <c r="C31" s="29" t="s">
        <v>76</v>
      </c>
      <c r="D31" s="27">
        <v>25</v>
      </c>
      <c r="E31" s="27">
        <v>13</v>
      </c>
      <c r="F31" s="22">
        <f t="shared" si="2"/>
        <v>-12</v>
      </c>
      <c r="G31" s="23">
        <f t="shared" si="3"/>
        <v>0.52</v>
      </c>
    </row>
    <row r="32" spans="1:7">
      <c r="A32" s="24">
        <v>5</v>
      </c>
      <c r="B32" s="28" t="s">
        <v>89</v>
      </c>
      <c r="C32" s="29" t="s">
        <v>76</v>
      </c>
      <c r="D32" s="27">
        <v>25</v>
      </c>
      <c r="E32" s="27">
        <v>8</v>
      </c>
      <c r="F32" s="22">
        <f t="shared" si="2"/>
        <v>-17</v>
      </c>
      <c r="G32" s="23">
        <f t="shared" si="3"/>
        <v>0.32</v>
      </c>
    </row>
    <row r="33" spans="1:7">
      <c r="A33" s="27">
        <v>6</v>
      </c>
      <c r="B33" s="28" t="s">
        <v>90</v>
      </c>
      <c r="C33" s="29" t="s">
        <v>76</v>
      </c>
      <c r="D33" s="27">
        <v>25</v>
      </c>
      <c r="E33" s="27">
        <v>11</v>
      </c>
      <c r="F33" s="22">
        <f t="shared" si="2"/>
        <v>-14</v>
      </c>
      <c r="G33" s="23">
        <f t="shared" si="3"/>
        <v>0.44</v>
      </c>
    </row>
    <row r="34" spans="1:7">
      <c r="A34" s="24">
        <v>7</v>
      </c>
      <c r="B34" s="28" t="s">
        <v>91</v>
      </c>
      <c r="C34" s="29" t="s">
        <v>76</v>
      </c>
      <c r="D34" s="27">
        <v>25</v>
      </c>
      <c r="E34" s="27">
        <v>10</v>
      </c>
      <c r="F34" s="22">
        <f t="shared" si="2"/>
        <v>-15</v>
      </c>
      <c r="G34" s="23">
        <f t="shared" si="3"/>
        <v>0.4</v>
      </c>
    </row>
    <row r="35" spans="1:7">
      <c r="A35" s="22"/>
      <c r="B35" s="11" t="s">
        <v>50</v>
      </c>
      <c r="C35" s="11"/>
      <c r="D35" s="11">
        <v>190</v>
      </c>
      <c r="E35" s="11">
        <f>SUM(E28:E34)</f>
        <v>113</v>
      </c>
      <c r="F35" s="11">
        <f t="shared" si="2"/>
        <v>-77</v>
      </c>
      <c r="G35" s="21">
        <f t="shared" si="3"/>
        <v>0.59473684210526312</v>
      </c>
    </row>
    <row r="38" spans="1:7">
      <c r="B38" s="39" t="s">
        <v>15</v>
      </c>
    </row>
    <row r="39" spans="1:7">
      <c r="A39" s="171" t="s">
        <v>55</v>
      </c>
      <c r="B39" s="172" t="s">
        <v>56</v>
      </c>
      <c r="C39" s="173" t="s">
        <v>62</v>
      </c>
      <c r="D39" s="174"/>
      <c r="E39" s="174"/>
      <c r="F39" s="174"/>
      <c r="G39" s="174"/>
    </row>
    <row r="40" spans="1:7">
      <c r="A40" s="171"/>
      <c r="B40" s="172"/>
      <c r="C40" s="175" t="s">
        <v>57</v>
      </c>
      <c r="D40" s="175" t="s">
        <v>58</v>
      </c>
      <c r="E40" s="175" t="s">
        <v>59</v>
      </c>
      <c r="F40" s="175" t="s">
        <v>60</v>
      </c>
      <c r="G40" s="177" t="s">
        <v>54</v>
      </c>
    </row>
    <row r="41" spans="1:7">
      <c r="A41" s="171"/>
      <c r="B41" s="172"/>
      <c r="C41" s="176"/>
      <c r="D41" s="176"/>
      <c r="E41" s="176"/>
      <c r="F41" s="176"/>
      <c r="G41" s="178"/>
    </row>
    <row r="42" spans="1:7">
      <c r="A42" s="30">
        <v>1</v>
      </c>
      <c r="B42" s="31" t="s">
        <v>92</v>
      </c>
      <c r="C42" s="32" t="s">
        <v>75</v>
      </c>
      <c r="D42" s="30">
        <v>35</v>
      </c>
      <c r="E42" s="33">
        <v>37</v>
      </c>
      <c r="F42" s="22">
        <f>E42-D42</f>
        <v>2</v>
      </c>
      <c r="G42" s="23">
        <f>E42/D42*100%</f>
        <v>1.0571428571428572</v>
      </c>
    </row>
    <row r="43" spans="1:7">
      <c r="A43" s="34">
        <v>2</v>
      </c>
      <c r="B43" s="35" t="s">
        <v>93</v>
      </c>
      <c r="C43" s="34" t="s">
        <v>76</v>
      </c>
      <c r="D43" s="34">
        <v>25</v>
      </c>
      <c r="E43" s="34">
        <v>25</v>
      </c>
      <c r="F43" s="22">
        <f t="shared" ref="F43:F48" si="4">E43-D43</f>
        <v>0</v>
      </c>
      <c r="G43" s="23">
        <f t="shared" ref="G43:G48" si="5">E43/D43*100%</f>
        <v>1</v>
      </c>
    </row>
    <row r="44" spans="1:7">
      <c r="A44" s="30">
        <v>3</v>
      </c>
      <c r="B44" s="36" t="s">
        <v>94</v>
      </c>
      <c r="C44" s="37" t="s">
        <v>76</v>
      </c>
      <c r="D44" s="33">
        <v>25</v>
      </c>
      <c r="E44" s="33">
        <v>19</v>
      </c>
      <c r="F44" s="22">
        <f t="shared" si="4"/>
        <v>-6</v>
      </c>
      <c r="G44" s="23">
        <f t="shared" si="5"/>
        <v>0.76</v>
      </c>
    </row>
    <row r="45" spans="1:7">
      <c r="A45" s="33">
        <v>4</v>
      </c>
      <c r="B45" s="36" t="s">
        <v>95</v>
      </c>
      <c r="C45" s="37" t="s">
        <v>76</v>
      </c>
      <c r="D45" s="33">
        <v>25</v>
      </c>
      <c r="E45" s="33">
        <v>17</v>
      </c>
      <c r="F45" s="22">
        <f t="shared" si="4"/>
        <v>-8</v>
      </c>
      <c r="G45" s="23">
        <f t="shared" si="5"/>
        <v>0.68</v>
      </c>
    </row>
    <row r="46" spans="1:7">
      <c r="A46" s="33">
        <v>5</v>
      </c>
      <c r="B46" s="36" t="s">
        <v>96</v>
      </c>
      <c r="C46" s="37" t="s">
        <v>76</v>
      </c>
      <c r="D46" s="33">
        <v>25</v>
      </c>
      <c r="E46" s="33">
        <v>12</v>
      </c>
      <c r="F46" s="22">
        <f t="shared" si="4"/>
        <v>-13</v>
      </c>
      <c r="G46" s="23">
        <f t="shared" si="5"/>
        <v>0.48</v>
      </c>
    </row>
    <row r="47" spans="1:7">
      <c r="A47" s="33">
        <v>6</v>
      </c>
      <c r="B47" s="36" t="s">
        <v>97</v>
      </c>
      <c r="C47" s="37" t="s">
        <v>76</v>
      </c>
      <c r="D47" s="33">
        <v>25</v>
      </c>
      <c r="E47" s="33">
        <v>4</v>
      </c>
      <c r="F47" s="22">
        <f t="shared" si="4"/>
        <v>-21</v>
      </c>
      <c r="G47" s="23">
        <f t="shared" si="5"/>
        <v>0.16</v>
      </c>
    </row>
    <row r="48" spans="1:7">
      <c r="A48" s="22"/>
      <c r="B48" s="11" t="s">
        <v>50</v>
      </c>
      <c r="C48" s="11"/>
      <c r="D48" s="38">
        <v>150</v>
      </c>
      <c r="E48" s="11">
        <f>SUM(E42:E47)</f>
        <v>114</v>
      </c>
      <c r="F48" s="11">
        <f t="shared" si="4"/>
        <v>-36</v>
      </c>
      <c r="G48" s="21">
        <f t="shared" si="5"/>
        <v>0.76</v>
      </c>
    </row>
  </sheetData>
  <mergeCells count="24">
    <mergeCell ref="A39:A41"/>
    <mergeCell ref="B39:B41"/>
    <mergeCell ref="C39:G39"/>
    <mergeCell ref="C40:C41"/>
    <mergeCell ref="D40:D41"/>
    <mergeCell ref="E40:E41"/>
    <mergeCell ref="F40:F41"/>
    <mergeCell ref="G40:G41"/>
    <mergeCell ref="A25:A27"/>
    <mergeCell ref="B25:B27"/>
    <mergeCell ref="C25:G25"/>
    <mergeCell ref="C26:C27"/>
    <mergeCell ref="D26:D27"/>
    <mergeCell ref="E26:E27"/>
    <mergeCell ref="F26:F27"/>
    <mergeCell ref="G26:G27"/>
    <mergeCell ref="A2:A4"/>
    <mergeCell ref="B2:B4"/>
    <mergeCell ref="C2:G2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443D-FAD0-4387-B019-FFF0D6AD3E95}">
  <dimension ref="A1:G51"/>
  <sheetViews>
    <sheetView workbookViewId="0">
      <selection activeCell="I46" sqref="I46"/>
    </sheetView>
  </sheetViews>
  <sheetFormatPr defaultRowHeight="14.5"/>
  <cols>
    <col min="1" max="1" width="4.81640625" customWidth="1"/>
    <col min="2" max="2" width="35.08984375" customWidth="1"/>
    <col min="7" max="7" width="8.7265625" style="18"/>
  </cols>
  <sheetData>
    <row r="1" spans="1:7">
      <c r="B1" s="40" t="s">
        <v>61</v>
      </c>
    </row>
    <row r="2" spans="1:7">
      <c r="A2" s="171" t="s">
        <v>55</v>
      </c>
      <c r="B2" s="172" t="s">
        <v>56</v>
      </c>
      <c r="C2" s="173" t="s">
        <v>62</v>
      </c>
      <c r="D2" s="174"/>
      <c r="E2" s="174"/>
      <c r="F2" s="174"/>
      <c r="G2" s="174"/>
    </row>
    <row r="3" spans="1:7">
      <c r="A3" s="171"/>
      <c r="B3" s="172"/>
      <c r="C3" s="175" t="s">
        <v>57</v>
      </c>
      <c r="D3" s="175" t="s">
        <v>58</v>
      </c>
      <c r="E3" s="175" t="s">
        <v>59</v>
      </c>
      <c r="F3" s="175" t="s">
        <v>60</v>
      </c>
      <c r="G3" s="177" t="s">
        <v>54</v>
      </c>
    </row>
    <row r="4" spans="1:7">
      <c r="A4" s="171"/>
      <c r="B4" s="172"/>
      <c r="C4" s="176"/>
      <c r="D4" s="176"/>
      <c r="E4" s="176"/>
      <c r="F4" s="176"/>
      <c r="G4" s="178"/>
    </row>
    <row r="5" spans="1:7">
      <c r="A5" s="45">
        <v>1</v>
      </c>
      <c r="B5" s="52" t="s">
        <v>122</v>
      </c>
      <c r="C5" s="53" t="s">
        <v>75</v>
      </c>
      <c r="D5" s="53">
        <v>35</v>
      </c>
      <c r="E5" s="54">
        <v>4</v>
      </c>
      <c r="F5" s="45">
        <f>E5-D5</f>
        <v>-31</v>
      </c>
      <c r="G5" s="48">
        <f>E5/D5*100%</f>
        <v>0.11428571428571428</v>
      </c>
    </row>
    <row r="6" spans="1:7">
      <c r="A6" s="45">
        <v>2</v>
      </c>
      <c r="B6" s="52" t="s">
        <v>123</v>
      </c>
      <c r="C6" s="53" t="s">
        <v>76</v>
      </c>
      <c r="D6" s="53">
        <v>25</v>
      </c>
      <c r="E6" s="54">
        <v>16</v>
      </c>
      <c r="F6" s="45">
        <f t="shared" ref="F6:F21" si="0">E6-D6</f>
        <v>-9</v>
      </c>
      <c r="G6" s="48">
        <f t="shared" ref="G6:G21" si="1">E6/D6*100%</f>
        <v>0.64</v>
      </c>
    </row>
    <row r="7" spans="1:7">
      <c r="A7" s="45">
        <v>3</v>
      </c>
      <c r="B7" s="52" t="s">
        <v>124</v>
      </c>
      <c r="C7" s="53" t="s">
        <v>76</v>
      </c>
      <c r="D7" s="53">
        <v>25</v>
      </c>
      <c r="E7" s="54">
        <v>20</v>
      </c>
      <c r="F7" s="45">
        <f t="shared" si="0"/>
        <v>-5</v>
      </c>
      <c r="G7" s="48">
        <f t="shared" si="1"/>
        <v>0.8</v>
      </c>
    </row>
    <row r="8" spans="1:7">
      <c r="A8" s="45">
        <v>4</v>
      </c>
      <c r="B8" s="52" t="s">
        <v>125</v>
      </c>
      <c r="C8" s="53" t="s">
        <v>76</v>
      </c>
      <c r="D8" s="53">
        <v>25</v>
      </c>
      <c r="E8" s="54">
        <v>8</v>
      </c>
      <c r="F8" s="45">
        <f t="shared" si="0"/>
        <v>-17</v>
      </c>
      <c r="G8" s="48">
        <f t="shared" si="1"/>
        <v>0.32</v>
      </c>
    </row>
    <row r="9" spans="1:7">
      <c r="A9" s="45">
        <v>5</v>
      </c>
      <c r="B9" s="52" t="s">
        <v>126</v>
      </c>
      <c r="C9" s="53" t="s">
        <v>76</v>
      </c>
      <c r="D9" s="53">
        <v>25</v>
      </c>
      <c r="E9" s="54">
        <v>23</v>
      </c>
      <c r="F9" s="45">
        <f t="shared" si="0"/>
        <v>-2</v>
      </c>
      <c r="G9" s="48">
        <f t="shared" si="1"/>
        <v>0.92</v>
      </c>
    </row>
    <row r="10" spans="1:7">
      <c r="A10" s="45">
        <v>6</v>
      </c>
      <c r="B10" s="52" t="s">
        <v>127</v>
      </c>
      <c r="C10" s="53" t="s">
        <v>76</v>
      </c>
      <c r="D10" s="53">
        <v>25</v>
      </c>
      <c r="E10" s="54">
        <v>15</v>
      </c>
      <c r="F10" s="45">
        <f t="shared" si="0"/>
        <v>-10</v>
      </c>
      <c r="G10" s="48">
        <f t="shared" si="1"/>
        <v>0.6</v>
      </c>
    </row>
    <row r="11" spans="1:7">
      <c r="A11" s="45">
        <v>7</v>
      </c>
      <c r="B11" s="55" t="s">
        <v>128</v>
      </c>
      <c r="C11" s="53" t="s">
        <v>76</v>
      </c>
      <c r="D11" s="53">
        <v>25</v>
      </c>
      <c r="E11" s="54">
        <v>22</v>
      </c>
      <c r="F11" s="45">
        <f t="shared" si="0"/>
        <v>-3</v>
      </c>
      <c r="G11" s="48">
        <f t="shared" si="1"/>
        <v>0.88</v>
      </c>
    </row>
    <row r="12" spans="1:7">
      <c r="A12" s="45">
        <v>8</v>
      </c>
      <c r="B12" s="55" t="s">
        <v>129</v>
      </c>
      <c r="C12" s="53" t="s">
        <v>76</v>
      </c>
      <c r="D12" s="53">
        <v>25</v>
      </c>
      <c r="E12" s="54">
        <v>6</v>
      </c>
      <c r="F12" s="45">
        <f t="shared" si="0"/>
        <v>-19</v>
      </c>
      <c r="G12" s="48">
        <f t="shared" si="1"/>
        <v>0.24</v>
      </c>
    </row>
    <row r="13" spans="1:7">
      <c r="A13" s="45">
        <v>9</v>
      </c>
      <c r="B13" s="56" t="s">
        <v>130</v>
      </c>
      <c r="C13" s="53" t="s">
        <v>75</v>
      </c>
      <c r="D13" s="53">
        <v>35</v>
      </c>
      <c r="E13" s="54">
        <v>2</v>
      </c>
      <c r="F13" s="45">
        <f t="shared" si="0"/>
        <v>-33</v>
      </c>
      <c r="G13" s="48">
        <f t="shared" si="1"/>
        <v>5.7142857142857141E-2</v>
      </c>
    </row>
    <row r="14" spans="1:7">
      <c r="A14" s="45">
        <v>10</v>
      </c>
      <c r="B14" s="56" t="s">
        <v>131</v>
      </c>
      <c r="C14" s="53" t="s">
        <v>76</v>
      </c>
      <c r="D14" s="53">
        <v>25</v>
      </c>
      <c r="E14" s="54">
        <v>22</v>
      </c>
      <c r="F14" s="45">
        <f t="shared" si="0"/>
        <v>-3</v>
      </c>
      <c r="G14" s="48">
        <f t="shared" si="1"/>
        <v>0.88</v>
      </c>
    </row>
    <row r="15" spans="1:7">
      <c r="A15" s="45">
        <v>11</v>
      </c>
      <c r="B15" s="56" t="s">
        <v>132</v>
      </c>
      <c r="C15" s="53" t="s">
        <v>76</v>
      </c>
      <c r="D15" s="53">
        <v>25</v>
      </c>
      <c r="E15" s="54">
        <v>25</v>
      </c>
      <c r="F15" s="45">
        <f t="shared" si="0"/>
        <v>0</v>
      </c>
      <c r="G15" s="48">
        <f t="shared" si="1"/>
        <v>1</v>
      </c>
    </row>
    <row r="16" spans="1:7">
      <c r="A16" s="45">
        <v>12</v>
      </c>
      <c r="B16" s="56" t="s">
        <v>133</v>
      </c>
      <c r="C16" s="53" t="s">
        <v>76</v>
      </c>
      <c r="D16" s="53">
        <v>25</v>
      </c>
      <c r="E16" s="54">
        <v>16</v>
      </c>
      <c r="F16" s="45">
        <f t="shared" si="0"/>
        <v>-9</v>
      </c>
      <c r="G16" s="48">
        <f t="shared" si="1"/>
        <v>0.64</v>
      </c>
    </row>
    <row r="17" spans="1:7">
      <c r="A17" s="45">
        <v>13</v>
      </c>
      <c r="B17" s="56" t="s">
        <v>134</v>
      </c>
      <c r="C17" s="53" t="s">
        <v>76</v>
      </c>
      <c r="D17" s="53">
        <v>25</v>
      </c>
      <c r="E17" s="54">
        <v>25</v>
      </c>
      <c r="F17" s="45">
        <f t="shared" si="0"/>
        <v>0</v>
      </c>
      <c r="G17" s="48">
        <f t="shared" si="1"/>
        <v>1</v>
      </c>
    </row>
    <row r="18" spans="1:7">
      <c r="A18" s="45">
        <v>14</v>
      </c>
      <c r="B18" s="56" t="s">
        <v>135</v>
      </c>
      <c r="C18" s="53" t="s">
        <v>76</v>
      </c>
      <c r="D18" s="53">
        <v>25</v>
      </c>
      <c r="E18" s="54">
        <v>20</v>
      </c>
      <c r="F18" s="45">
        <f t="shared" si="0"/>
        <v>-5</v>
      </c>
      <c r="G18" s="48">
        <f t="shared" si="1"/>
        <v>0.8</v>
      </c>
    </row>
    <row r="19" spans="1:7">
      <c r="A19" s="45">
        <v>15</v>
      </c>
      <c r="B19" s="56" t="s">
        <v>136</v>
      </c>
      <c r="C19" s="53" t="s">
        <v>76</v>
      </c>
      <c r="D19" s="53">
        <v>25</v>
      </c>
      <c r="E19" s="54">
        <v>16</v>
      </c>
      <c r="F19" s="45">
        <f t="shared" si="0"/>
        <v>-9</v>
      </c>
      <c r="G19" s="48">
        <f t="shared" si="1"/>
        <v>0.64</v>
      </c>
    </row>
    <row r="20" spans="1:7">
      <c r="A20" s="45">
        <v>16</v>
      </c>
      <c r="B20" s="56" t="s">
        <v>137</v>
      </c>
      <c r="C20" s="53" t="s">
        <v>76</v>
      </c>
      <c r="D20" s="53">
        <v>25</v>
      </c>
      <c r="E20" s="54">
        <v>4</v>
      </c>
      <c r="F20" s="45">
        <f t="shared" si="0"/>
        <v>-21</v>
      </c>
      <c r="G20" s="48">
        <f t="shared" si="1"/>
        <v>0.16</v>
      </c>
    </row>
    <row r="21" spans="1:7">
      <c r="A21" s="45"/>
      <c r="B21" s="50" t="s">
        <v>50</v>
      </c>
      <c r="C21" s="50"/>
      <c r="D21" s="57">
        <v>380</v>
      </c>
      <c r="E21" s="50">
        <f>SUM(E5:E20)</f>
        <v>244</v>
      </c>
      <c r="F21" s="50">
        <f t="shared" si="0"/>
        <v>-136</v>
      </c>
      <c r="G21" s="58">
        <f t="shared" si="1"/>
        <v>0.64210526315789473</v>
      </c>
    </row>
    <row r="24" spans="1:7">
      <c r="B24" t="s">
        <v>138</v>
      </c>
    </row>
    <row r="25" spans="1:7">
      <c r="A25" s="171" t="s">
        <v>55</v>
      </c>
      <c r="B25" s="172" t="s">
        <v>56</v>
      </c>
      <c r="C25" s="173" t="s">
        <v>62</v>
      </c>
      <c r="D25" s="174"/>
      <c r="E25" s="174"/>
      <c r="F25" s="174"/>
      <c r="G25" s="174"/>
    </row>
    <row r="26" spans="1:7">
      <c r="A26" s="171"/>
      <c r="B26" s="172"/>
      <c r="C26" s="175" t="s">
        <v>57</v>
      </c>
      <c r="D26" s="175" t="s">
        <v>58</v>
      </c>
      <c r="E26" s="175" t="s">
        <v>59</v>
      </c>
      <c r="F26" s="175" t="s">
        <v>60</v>
      </c>
      <c r="G26" s="177" t="s">
        <v>54</v>
      </c>
    </row>
    <row r="27" spans="1:7">
      <c r="A27" s="171"/>
      <c r="B27" s="172"/>
      <c r="C27" s="176"/>
      <c r="D27" s="176"/>
      <c r="E27" s="176"/>
      <c r="F27" s="176"/>
      <c r="G27" s="178"/>
    </row>
    <row r="28" spans="1:7">
      <c r="A28" s="60">
        <v>1</v>
      </c>
      <c r="B28" s="61" t="s">
        <v>139</v>
      </c>
      <c r="C28" s="60" t="s">
        <v>75</v>
      </c>
      <c r="D28" s="60">
        <v>35</v>
      </c>
      <c r="E28" s="62">
        <v>0</v>
      </c>
      <c r="F28" s="63">
        <f>E28-D28</f>
        <v>-35</v>
      </c>
      <c r="G28" s="64">
        <f>E28/D28*100%</f>
        <v>0</v>
      </c>
    </row>
    <row r="29" spans="1:7">
      <c r="A29" s="60">
        <v>2</v>
      </c>
      <c r="B29" s="61" t="s">
        <v>140</v>
      </c>
      <c r="C29" s="60" t="s">
        <v>76</v>
      </c>
      <c r="D29" s="60">
        <v>25</v>
      </c>
      <c r="E29" s="62">
        <v>31</v>
      </c>
      <c r="F29" s="63">
        <f t="shared" ref="F29:F35" si="2">E29-D29</f>
        <v>6</v>
      </c>
      <c r="G29" s="64">
        <f t="shared" ref="G29:G35" si="3">E29/D29*100%</f>
        <v>1.24</v>
      </c>
    </row>
    <row r="30" spans="1:7">
      <c r="A30" s="60">
        <v>3</v>
      </c>
      <c r="B30" s="61" t="s">
        <v>141</v>
      </c>
      <c r="C30" s="60" t="s">
        <v>76</v>
      </c>
      <c r="D30" s="60">
        <v>25</v>
      </c>
      <c r="E30" s="62">
        <v>29</v>
      </c>
      <c r="F30" s="63">
        <f t="shared" si="2"/>
        <v>4</v>
      </c>
      <c r="G30" s="64">
        <f t="shared" si="3"/>
        <v>1.1599999999999999</v>
      </c>
    </row>
    <row r="31" spans="1:7">
      <c r="A31" s="60">
        <v>4</v>
      </c>
      <c r="B31" s="61" t="s">
        <v>142</v>
      </c>
      <c r="C31" s="60" t="s">
        <v>76</v>
      </c>
      <c r="D31" s="60">
        <v>25</v>
      </c>
      <c r="E31" s="62">
        <v>26</v>
      </c>
      <c r="F31" s="63">
        <f t="shared" si="2"/>
        <v>1</v>
      </c>
      <c r="G31" s="64">
        <f t="shared" si="3"/>
        <v>1.04</v>
      </c>
    </row>
    <row r="32" spans="1:7">
      <c r="A32" s="60">
        <v>5</v>
      </c>
      <c r="B32" s="61" t="s">
        <v>143</v>
      </c>
      <c r="C32" s="60" t="s">
        <v>76</v>
      </c>
      <c r="D32" s="60">
        <v>25</v>
      </c>
      <c r="E32" s="62">
        <v>19</v>
      </c>
      <c r="F32" s="63">
        <f t="shared" si="2"/>
        <v>-6</v>
      </c>
      <c r="G32" s="64">
        <f t="shared" si="3"/>
        <v>0.76</v>
      </c>
    </row>
    <row r="33" spans="1:7">
      <c r="A33" s="60">
        <v>6</v>
      </c>
      <c r="B33" s="61" t="s">
        <v>144</v>
      </c>
      <c r="C33" s="60" t="s">
        <v>76</v>
      </c>
      <c r="D33" s="60">
        <v>25</v>
      </c>
      <c r="E33" s="62">
        <v>11</v>
      </c>
      <c r="F33" s="63">
        <f t="shared" si="2"/>
        <v>-14</v>
      </c>
      <c r="G33" s="64">
        <f t="shared" si="3"/>
        <v>0.44</v>
      </c>
    </row>
    <row r="34" spans="1:7">
      <c r="A34" s="60">
        <v>7</v>
      </c>
      <c r="B34" s="65" t="s">
        <v>145</v>
      </c>
      <c r="C34" s="60" t="s">
        <v>76</v>
      </c>
      <c r="D34" s="60">
        <v>25</v>
      </c>
      <c r="E34" s="62">
        <v>2</v>
      </c>
      <c r="F34" s="63">
        <f t="shared" si="2"/>
        <v>-23</v>
      </c>
      <c r="G34" s="64">
        <f t="shared" si="3"/>
        <v>0.08</v>
      </c>
    </row>
    <row r="35" spans="1:7">
      <c r="A35" s="63"/>
      <c r="B35" s="50" t="s">
        <v>50</v>
      </c>
      <c r="C35" s="50"/>
      <c r="D35" s="50">
        <v>190</v>
      </c>
      <c r="E35" s="50">
        <f>SUM(E28:E34)</f>
        <v>118</v>
      </c>
      <c r="F35" s="50">
        <f t="shared" si="2"/>
        <v>-72</v>
      </c>
      <c r="G35" s="58">
        <f t="shared" si="3"/>
        <v>0.62105263157894741</v>
      </c>
    </row>
    <row r="39" spans="1:7">
      <c r="B39" t="s">
        <v>146</v>
      </c>
    </row>
    <row r="40" spans="1:7">
      <c r="A40" s="171" t="s">
        <v>55</v>
      </c>
      <c r="B40" s="172" t="s">
        <v>56</v>
      </c>
      <c r="C40" s="173" t="s">
        <v>62</v>
      </c>
      <c r="D40" s="174"/>
      <c r="E40" s="174"/>
      <c r="F40" s="174"/>
      <c r="G40" s="174"/>
    </row>
    <row r="41" spans="1:7">
      <c r="A41" s="171"/>
      <c r="B41" s="172"/>
      <c r="C41" s="175" t="s">
        <v>57</v>
      </c>
      <c r="D41" s="175" t="s">
        <v>58</v>
      </c>
      <c r="E41" s="175" t="s">
        <v>59</v>
      </c>
      <c r="F41" s="175" t="s">
        <v>60</v>
      </c>
      <c r="G41" s="177" t="s">
        <v>54</v>
      </c>
    </row>
    <row r="42" spans="1:7">
      <c r="A42" s="171"/>
      <c r="B42" s="172"/>
      <c r="C42" s="176"/>
      <c r="D42" s="176"/>
      <c r="E42" s="176"/>
      <c r="F42" s="176"/>
      <c r="G42" s="178"/>
    </row>
    <row r="43" spans="1:7">
      <c r="A43" s="59">
        <v>1</v>
      </c>
      <c r="B43" s="66" t="s">
        <v>147</v>
      </c>
      <c r="C43" s="60" t="s">
        <v>75</v>
      </c>
      <c r="D43" s="60">
        <v>35</v>
      </c>
      <c r="E43" s="62">
        <v>0</v>
      </c>
      <c r="F43" s="22">
        <f>E43-D43</f>
        <v>-35</v>
      </c>
      <c r="G43" s="23">
        <f>E43/D43*100%</f>
        <v>0</v>
      </c>
    </row>
    <row r="44" spans="1:7">
      <c r="A44" s="59">
        <v>2</v>
      </c>
      <c r="B44" s="66" t="s">
        <v>148</v>
      </c>
      <c r="C44" s="60" t="s">
        <v>76</v>
      </c>
      <c r="D44" s="60">
        <v>25</v>
      </c>
      <c r="E44" s="62">
        <v>23</v>
      </c>
      <c r="F44" s="22">
        <f t="shared" ref="F44:F51" si="4">E44-D44</f>
        <v>-2</v>
      </c>
      <c r="G44" s="23">
        <f t="shared" ref="G44:G51" si="5">E44/D44*100%</f>
        <v>0.92</v>
      </c>
    </row>
    <row r="45" spans="1:7">
      <c r="A45" s="59">
        <v>3</v>
      </c>
      <c r="B45" s="66" t="s">
        <v>149</v>
      </c>
      <c r="C45" s="60" t="s">
        <v>76</v>
      </c>
      <c r="D45" s="60">
        <v>25</v>
      </c>
      <c r="E45" s="62">
        <v>10</v>
      </c>
      <c r="F45" s="22">
        <f t="shared" si="4"/>
        <v>-15</v>
      </c>
      <c r="G45" s="23">
        <f t="shared" si="5"/>
        <v>0.4</v>
      </c>
    </row>
    <row r="46" spans="1:7">
      <c r="A46" s="59">
        <v>4</v>
      </c>
      <c r="B46" s="66" t="s">
        <v>150</v>
      </c>
      <c r="C46" s="60" t="s">
        <v>76</v>
      </c>
      <c r="D46" s="60">
        <v>25</v>
      </c>
      <c r="E46" s="62">
        <v>15</v>
      </c>
      <c r="F46" s="22">
        <f t="shared" si="4"/>
        <v>-10</v>
      </c>
      <c r="G46" s="23">
        <f t="shared" si="5"/>
        <v>0.6</v>
      </c>
    </row>
    <row r="47" spans="1:7">
      <c r="A47" s="59">
        <v>5</v>
      </c>
      <c r="B47" s="66" t="s">
        <v>151</v>
      </c>
      <c r="C47" s="60" t="s">
        <v>76</v>
      </c>
      <c r="D47" s="60">
        <v>25</v>
      </c>
      <c r="E47" s="62">
        <v>2</v>
      </c>
      <c r="F47" s="22">
        <f t="shared" si="4"/>
        <v>-23</v>
      </c>
      <c r="G47" s="23">
        <f t="shared" si="5"/>
        <v>0.08</v>
      </c>
    </row>
    <row r="48" spans="1:7">
      <c r="A48" s="59">
        <v>6</v>
      </c>
      <c r="B48" s="66" t="s">
        <v>152</v>
      </c>
      <c r="C48" s="60" t="s">
        <v>76</v>
      </c>
      <c r="D48" s="60">
        <v>25</v>
      </c>
      <c r="E48" s="62">
        <v>4</v>
      </c>
      <c r="F48" s="22">
        <f t="shared" si="4"/>
        <v>-21</v>
      </c>
      <c r="G48" s="23">
        <f t="shared" si="5"/>
        <v>0.16</v>
      </c>
    </row>
    <row r="49" spans="1:7">
      <c r="A49" s="59">
        <v>7</v>
      </c>
      <c r="B49" s="66" t="s">
        <v>153</v>
      </c>
      <c r="C49" s="60" t="s">
        <v>76</v>
      </c>
      <c r="D49" s="60">
        <v>25</v>
      </c>
      <c r="E49" s="62">
        <v>7</v>
      </c>
      <c r="F49" s="22">
        <f t="shared" si="4"/>
        <v>-18</v>
      </c>
      <c r="G49" s="23">
        <f t="shared" si="5"/>
        <v>0.28000000000000003</v>
      </c>
    </row>
    <row r="50" spans="1:7">
      <c r="A50" s="59">
        <v>8</v>
      </c>
      <c r="B50" s="66" t="s">
        <v>154</v>
      </c>
      <c r="C50" s="60" t="s">
        <v>76</v>
      </c>
      <c r="D50" s="60">
        <v>25</v>
      </c>
      <c r="E50" s="62">
        <v>34</v>
      </c>
      <c r="F50" s="22">
        <f t="shared" si="4"/>
        <v>9</v>
      </c>
      <c r="G50" s="23">
        <f t="shared" si="5"/>
        <v>1.36</v>
      </c>
    </row>
    <row r="51" spans="1:7">
      <c r="A51" s="22"/>
      <c r="B51" s="50" t="s">
        <v>50</v>
      </c>
      <c r="C51" s="50"/>
      <c r="D51" s="50">
        <v>190</v>
      </c>
      <c r="E51" s="50">
        <f>SUM(E43:E50)</f>
        <v>95</v>
      </c>
      <c r="F51" s="11">
        <f t="shared" si="4"/>
        <v>-95</v>
      </c>
      <c r="G51" s="21">
        <f t="shared" si="5"/>
        <v>0.5</v>
      </c>
    </row>
  </sheetData>
  <mergeCells count="24">
    <mergeCell ref="A40:A42"/>
    <mergeCell ref="B40:B42"/>
    <mergeCell ref="C40:G40"/>
    <mergeCell ref="C41:C42"/>
    <mergeCell ref="D41:D42"/>
    <mergeCell ref="E41:E42"/>
    <mergeCell ref="F41:F42"/>
    <mergeCell ref="G41:G42"/>
    <mergeCell ref="A25:A27"/>
    <mergeCell ref="B25:B27"/>
    <mergeCell ref="C25:G25"/>
    <mergeCell ref="C26:C27"/>
    <mergeCell ref="D26:D27"/>
    <mergeCell ref="E26:E27"/>
    <mergeCell ref="F26:F27"/>
    <mergeCell ref="G26:G27"/>
    <mergeCell ref="A2:A4"/>
    <mergeCell ref="B2:B4"/>
    <mergeCell ref="C2:G2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6830-9047-4C3B-B66A-737F5AF87023}">
  <dimension ref="A1:G29"/>
  <sheetViews>
    <sheetView topLeftCell="A28" workbookViewId="0">
      <selection activeCell="K5" sqref="K5"/>
    </sheetView>
  </sheetViews>
  <sheetFormatPr defaultRowHeight="14.5"/>
  <cols>
    <col min="1" max="1" width="4.26953125" customWidth="1"/>
    <col min="2" max="2" width="29.90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39" t="s">
        <v>652</v>
      </c>
      <c r="C4" s="108" t="s">
        <v>75</v>
      </c>
      <c r="D4" s="108">
        <v>35</v>
      </c>
      <c r="E4" s="108">
        <v>8</v>
      </c>
      <c r="F4" s="45">
        <f>E4-D4</f>
        <v>-27</v>
      </c>
      <c r="G4" s="48">
        <f>E4/D4*100%</f>
        <v>0.22857142857142856</v>
      </c>
    </row>
    <row r="5" spans="1:7">
      <c r="A5" s="45">
        <v>2</v>
      </c>
      <c r="B5" s="139" t="s">
        <v>653</v>
      </c>
      <c r="C5" s="110" t="s">
        <v>232</v>
      </c>
      <c r="D5" s="108">
        <v>25</v>
      </c>
      <c r="E5" s="108">
        <v>24</v>
      </c>
      <c r="F5" s="45">
        <f t="shared" ref="F5:F29" si="0">E5-D5</f>
        <v>-1</v>
      </c>
      <c r="G5" s="48">
        <f t="shared" ref="G5:G29" si="1">E5/D5*100%</f>
        <v>0.96</v>
      </c>
    </row>
    <row r="6" spans="1:7">
      <c r="A6" s="45">
        <v>3</v>
      </c>
      <c r="B6" s="139" t="s">
        <v>654</v>
      </c>
      <c r="C6" s="110" t="s">
        <v>232</v>
      </c>
      <c r="D6" s="110">
        <v>25</v>
      </c>
      <c r="E6" s="108">
        <v>32</v>
      </c>
      <c r="F6" s="45">
        <f t="shared" si="0"/>
        <v>7</v>
      </c>
      <c r="G6" s="48">
        <f t="shared" si="1"/>
        <v>1.28</v>
      </c>
    </row>
    <row r="7" spans="1:7">
      <c r="A7" s="45">
        <v>4</v>
      </c>
      <c r="B7" s="139" t="s">
        <v>655</v>
      </c>
      <c r="C7" s="110" t="s">
        <v>232</v>
      </c>
      <c r="D7" s="108">
        <v>25</v>
      </c>
      <c r="E7" s="108">
        <v>24</v>
      </c>
      <c r="F7" s="45">
        <f t="shared" si="0"/>
        <v>-1</v>
      </c>
      <c r="G7" s="48">
        <f t="shared" si="1"/>
        <v>0.96</v>
      </c>
    </row>
    <row r="8" spans="1:7">
      <c r="A8" s="45">
        <v>5</v>
      </c>
      <c r="B8" s="45" t="s">
        <v>656</v>
      </c>
      <c r="C8" s="110" t="s">
        <v>232</v>
      </c>
      <c r="D8" s="110">
        <v>25</v>
      </c>
      <c r="E8" s="108">
        <v>8</v>
      </c>
      <c r="F8" s="45">
        <f t="shared" si="0"/>
        <v>-17</v>
      </c>
      <c r="G8" s="48">
        <f t="shared" si="1"/>
        <v>0.32</v>
      </c>
    </row>
    <row r="9" spans="1:7">
      <c r="A9" s="45">
        <v>6</v>
      </c>
      <c r="B9" s="139" t="s">
        <v>657</v>
      </c>
      <c r="C9" s="110" t="s">
        <v>232</v>
      </c>
      <c r="D9" s="110">
        <v>25</v>
      </c>
      <c r="E9" s="108">
        <v>21</v>
      </c>
      <c r="F9" s="45">
        <f t="shared" si="0"/>
        <v>-4</v>
      </c>
      <c r="G9" s="48">
        <f t="shared" si="1"/>
        <v>0.84</v>
      </c>
    </row>
    <row r="10" spans="1:7">
      <c r="A10" s="45">
        <v>7</v>
      </c>
      <c r="B10" s="139" t="s">
        <v>658</v>
      </c>
      <c r="C10" s="110" t="s">
        <v>232</v>
      </c>
      <c r="D10" s="110">
        <v>25</v>
      </c>
      <c r="E10" s="108">
        <v>10</v>
      </c>
      <c r="F10" s="45">
        <f t="shared" si="0"/>
        <v>-15</v>
      </c>
      <c r="G10" s="48">
        <f t="shared" si="1"/>
        <v>0.4</v>
      </c>
    </row>
    <row r="11" spans="1:7">
      <c r="A11" s="45">
        <v>8</v>
      </c>
      <c r="B11" s="139" t="s">
        <v>659</v>
      </c>
      <c r="C11" s="110" t="s">
        <v>232</v>
      </c>
      <c r="D11" s="110">
        <v>25</v>
      </c>
      <c r="E11" s="108">
        <v>4</v>
      </c>
      <c r="F11" s="45">
        <f t="shared" si="0"/>
        <v>-21</v>
      </c>
      <c r="G11" s="48">
        <f t="shared" si="1"/>
        <v>0.16</v>
      </c>
    </row>
    <row r="12" spans="1:7">
      <c r="A12" s="45">
        <v>9</v>
      </c>
      <c r="B12" s="160" t="s">
        <v>660</v>
      </c>
      <c r="C12" s="108" t="s">
        <v>75</v>
      </c>
      <c r="D12" s="108">
        <v>35</v>
      </c>
      <c r="E12" s="108">
        <v>12</v>
      </c>
      <c r="F12" s="45">
        <f t="shared" si="0"/>
        <v>-23</v>
      </c>
      <c r="G12" s="48">
        <f t="shared" si="1"/>
        <v>0.34285714285714286</v>
      </c>
    </row>
    <row r="13" spans="1:7">
      <c r="A13" s="45">
        <v>10</v>
      </c>
      <c r="B13" s="160" t="s">
        <v>661</v>
      </c>
      <c r="C13" s="110" t="s">
        <v>232</v>
      </c>
      <c r="D13" s="108">
        <v>25</v>
      </c>
      <c r="E13" s="108">
        <v>25</v>
      </c>
      <c r="F13" s="45">
        <f t="shared" si="0"/>
        <v>0</v>
      </c>
      <c r="G13" s="48">
        <f t="shared" si="1"/>
        <v>1</v>
      </c>
    </row>
    <row r="14" spans="1:7">
      <c r="A14" s="45">
        <v>11</v>
      </c>
      <c r="B14" s="160" t="s">
        <v>662</v>
      </c>
      <c r="C14" s="110" t="s">
        <v>232</v>
      </c>
      <c r="D14" s="110">
        <v>25</v>
      </c>
      <c r="E14" s="108">
        <v>25</v>
      </c>
      <c r="F14" s="45">
        <f t="shared" si="0"/>
        <v>0</v>
      </c>
      <c r="G14" s="48">
        <f t="shared" si="1"/>
        <v>1</v>
      </c>
    </row>
    <row r="15" spans="1:7">
      <c r="A15" s="45">
        <v>12</v>
      </c>
      <c r="B15" s="160" t="s">
        <v>663</v>
      </c>
      <c r="C15" s="110" t="s">
        <v>232</v>
      </c>
      <c r="D15" s="108">
        <v>25</v>
      </c>
      <c r="E15" s="108">
        <v>20</v>
      </c>
      <c r="F15" s="45">
        <f t="shared" si="0"/>
        <v>-5</v>
      </c>
      <c r="G15" s="48">
        <f t="shared" si="1"/>
        <v>0.8</v>
      </c>
    </row>
    <row r="16" spans="1:7">
      <c r="A16" s="45">
        <v>13</v>
      </c>
      <c r="B16" s="160" t="s">
        <v>664</v>
      </c>
      <c r="C16" s="110" t="s">
        <v>232</v>
      </c>
      <c r="D16" s="110">
        <v>25</v>
      </c>
      <c r="E16" s="108">
        <v>25</v>
      </c>
      <c r="F16" s="45">
        <f t="shared" si="0"/>
        <v>0</v>
      </c>
      <c r="G16" s="48">
        <f t="shared" si="1"/>
        <v>1</v>
      </c>
    </row>
    <row r="17" spans="1:7">
      <c r="A17" s="45">
        <v>14</v>
      </c>
      <c r="B17" s="160" t="s">
        <v>665</v>
      </c>
      <c r="C17" s="110" t="s">
        <v>232</v>
      </c>
      <c r="D17" s="108">
        <v>25</v>
      </c>
      <c r="E17" s="108">
        <v>27</v>
      </c>
      <c r="F17" s="45">
        <f t="shared" si="0"/>
        <v>2</v>
      </c>
      <c r="G17" s="48">
        <f t="shared" si="1"/>
        <v>1.08</v>
      </c>
    </row>
    <row r="18" spans="1:7">
      <c r="A18" s="45">
        <v>15</v>
      </c>
      <c r="B18" s="160" t="s">
        <v>666</v>
      </c>
      <c r="C18" s="110" t="s">
        <v>232</v>
      </c>
      <c r="D18" s="110">
        <v>25</v>
      </c>
      <c r="E18" s="108">
        <v>1</v>
      </c>
      <c r="F18" s="45">
        <f t="shared" si="0"/>
        <v>-24</v>
      </c>
      <c r="G18" s="48">
        <f t="shared" si="1"/>
        <v>0.04</v>
      </c>
    </row>
    <row r="19" spans="1:7">
      <c r="A19" s="45">
        <v>16</v>
      </c>
      <c r="B19" s="139" t="s">
        <v>667</v>
      </c>
      <c r="C19" s="108" t="s">
        <v>75</v>
      </c>
      <c r="D19" s="108">
        <v>35</v>
      </c>
      <c r="E19" s="108">
        <v>3</v>
      </c>
      <c r="F19" s="45">
        <f t="shared" si="0"/>
        <v>-32</v>
      </c>
      <c r="G19" s="48">
        <f t="shared" si="1"/>
        <v>8.5714285714285715E-2</v>
      </c>
    </row>
    <row r="20" spans="1:7">
      <c r="A20" s="45">
        <v>17</v>
      </c>
      <c r="B20" s="139" t="s">
        <v>668</v>
      </c>
      <c r="C20" s="110" t="s">
        <v>232</v>
      </c>
      <c r="D20" s="110">
        <v>25</v>
      </c>
      <c r="E20" s="108">
        <v>7</v>
      </c>
      <c r="F20" s="45">
        <f t="shared" si="0"/>
        <v>-18</v>
      </c>
      <c r="G20" s="48">
        <f t="shared" si="1"/>
        <v>0.28000000000000003</v>
      </c>
    </row>
    <row r="21" spans="1:7">
      <c r="A21" s="45">
        <v>18</v>
      </c>
      <c r="B21" s="139" t="s">
        <v>669</v>
      </c>
      <c r="C21" s="110" t="s">
        <v>232</v>
      </c>
      <c r="D21" s="108">
        <v>25</v>
      </c>
      <c r="E21" s="108">
        <v>20</v>
      </c>
      <c r="F21" s="45">
        <f t="shared" si="0"/>
        <v>-5</v>
      </c>
      <c r="G21" s="48">
        <f t="shared" si="1"/>
        <v>0.8</v>
      </c>
    </row>
    <row r="22" spans="1:7">
      <c r="A22" s="45">
        <v>19</v>
      </c>
      <c r="B22" s="139" t="s">
        <v>670</v>
      </c>
      <c r="C22" s="110" t="s">
        <v>232</v>
      </c>
      <c r="D22" s="108">
        <v>25</v>
      </c>
      <c r="E22" s="108">
        <v>21</v>
      </c>
      <c r="F22" s="45">
        <f t="shared" si="0"/>
        <v>-4</v>
      </c>
      <c r="G22" s="48">
        <f t="shared" si="1"/>
        <v>0.84</v>
      </c>
    </row>
    <row r="23" spans="1:7">
      <c r="A23" s="45">
        <v>20</v>
      </c>
      <c r="B23" s="139" t="s">
        <v>671</v>
      </c>
      <c r="C23" s="110" t="s">
        <v>232</v>
      </c>
      <c r="D23" s="110">
        <v>25</v>
      </c>
      <c r="E23" s="108">
        <v>29</v>
      </c>
      <c r="F23" s="45">
        <f t="shared" si="0"/>
        <v>4</v>
      </c>
      <c r="G23" s="48">
        <f t="shared" si="1"/>
        <v>1.1599999999999999</v>
      </c>
    </row>
    <row r="24" spans="1:7">
      <c r="A24" s="45">
        <v>21</v>
      </c>
      <c r="B24" s="139" t="s">
        <v>672</v>
      </c>
      <c r="C24" s="110" t="s">
        <v>232</v>
      </c>
      <c r="D24" s="108">
        <v>25</v>
      </c>
      <c r="E24" s="108">
        <v>19</v>
      </c>
      <c r="F24" s="45">
        <f t="shared" si="0"/>
        <v>-6</v>
      </c>
      <c r="G24" s="48">
        <f t="shared" si="1"/>
        <v>0.76</v>
      </c>
    </row>
    <row r="25" spans="1:7">
      <c r="A25" s="45">
        <v>22</v>
      </c>
      <c r="B25" s="139" t="s">
        <v>673</v>
      </c>
      <c r="C25" s="108" t="s">
        <v>75</v>
      </c>
      <c r="D25" s="108">
        <v>35</v>
      </c>
      <c r="E25" s="108">
        <v>10</v>
      </c>
      <c r="F25" s="45">
        <f t="shared" si="0"/>
        <v>-25</v>
      </c>
      <c r="G25" s="48">
        <f t="shared" si="1"/>
        <v>0.2857142857142857</v>
      </c>
    </row>
    <row r="26" spans="1:7">
      <c r="A26" s="45">
        <v>23</v>
      </c>
      <c r="B26" s="139" t="s">
        <v>674</v>
      </c>
      <c r="C26" s="110" t="s">
        <v>232</v>
      </c>
      <c r="D26" s="108">
        <v>25</v>
      </c>
      <c r="E26" s="108">
        <v>15</v>
      </c>
      <c r="F26" s="45">
        <f t="shared" si="0"/>
        <v>-10</v>
      </c>
      <c r="G26" s="48">
        <f t="shared" si="1"/>
        <v>0.6</v>
      </c>
    </row>
    <row r="27" spans="1:7">
      <c r="A27" s="45">
        <v>24</v>
      </c>
      <c r="B27" s="139" t="s">
        <v>675</v>
      </c>
      <c r="C27" s="110" t="s">
        <v>232</v>
      </c>
      <c r="D27" s="110">
        <v>25</v>
      </c>
      <c r="E27" s="108">
        <v>3</v>
      </c>
      <c r="F27" s="45">
        <f t="shared" si="0"/>
        <v>-22</v>
      </c>
      <c r="G27" s="48">
        <f t="shared" si="1"/>
        <v>0.12</v>
      </c>
    </row>
    <row r="28" spans="1:7">
      <c r="A28" s="45">
        <v>25</v>
      </c>
      <c r="B28" s="139" t="s">
        <v>676</v>
      </c>
      <c r="C28" s="110" t="s">
        <v>232</v>
      </c>
      <c r="D28" s="108">
        <v>25</v>
      </c>
      <c r="E28" s="108">
        <v>21</v>
      </c>
      <c r="F28" s="45">
        <f t="shared" si="0"/>
        <v>-4</v>
      </c>
      <c r="G28" s="48">
        <f t="shared" si="1"/>
        <v>0.84</v>
      </c>
    </row>
    <row r="29" spans="1:7">
      <c r="A29" s="45"/>
      <c r="B29" s="45" t="s">
        <v>50</v>
      </c>
      <c r="C29" s="45"/>
      <c r="D29" s="108">
        <v>680</v>
      </c>
      <c r="E29" s="45">
        <f>SUM(E4:E28)</f>
        <v>414</v>
      </c>
      <c r="F29" s="45">
        <f t="shared" si="0"/>
        <v>-266</v>
      </c>
      <c r="G29" s="48">
        <f t="shared" si="1"/>
        <v>0.60882352941176465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FC25-FC80-41C1-9BA3-FC16D59ADC42}">
  <dimension ref="A1:G27"/>
  <sheetViews>
    <sheetView topLeftCell="A13" workbookViewId="0">
      <selection activeCell="I26" sqref="I26"/>
    </sheetView>
  </sheetViews>
  <sheetFormatPr defaultRowHeight="14.5"/>
  <cols>
    <col min="1" max="1" width="6.1796875" customWidth="1"/>
    <col min="2" max="2" width="32.4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60" t="s">
        <v>677</v>
      </c>
      <c r="C4" s="108" t="s">
        <v>75</v>
      </c>
      <c r="D4" s="108">
        <v>35</v>
      </c>
      <c r="E4" s="108">
        <v>14</v>
      </c>
      <c r="F4" s="45">
        <f>E4-D4</f>
        <v>-21</v>
      </c>
      <c r="G4" s="48">
        <f>E4/D4*100%</f>
        <v>0.4</v>
      </c>
    </row>
    <row r="5" spans="1:7">
      <c r="A5" s="45">
        <v>2</v>
      </c>
      <c r="B5" s="45" t="s">
        <v>678</v>
      </c>
      <c r="C5" s="110" t="s">
        <v>232</v>
      </c>
      <c r="D5" s="108">
        <v>25</v>
      </c>
      <c r="E5" s="108">
        <v>25</v>
      </c>
      <c r="F5" s="45">
        <f t="shared" ref="F5:F27" si="0">E5-D5</f>
        <v>0</v>
      </c>
      <c r="G5" s="48">
        <f t="shared" ref="G5:G27" si="1">E5/D5*100%</f>
        <v>1</v>
      </c>
    </row>
    <row r="6" spans="1:7">
      <c r="A6" s="45">
        <v>3</v>
      </c>
      <c r="B6" s="160" t="s">
        <v>679</v>
      </c>
      <c r="C6" s="110" t="s">
        <v>232</v>
      </c>
      <c r="D6" s="110">
        <v>25</v>
      </c>
      <c r="E6" s="108">
        <v>32</v>
      </c>
      <c r="F6" s="45">
        <f t="shared" si="0"/>
        <v>7</v>
      </c>
      <c r="G6" s="48">
        <f t="shared" si="1"/>
        <v>1.28</v>
      </c>
    </row>
    <row r="7" spans="1:7">
      <c r="A7" s="45">
        <v>4</v>
      </c>
      <c r="B7" s="160" t="s">
        <v>680</v>
      </c>
      <c r="C7" s="110" t="s">
        <v>232</v>
      </c>
      <c r="D7" s="108">
        <v>25</v>
      </c>
      <c r="E7" s="108">
        <v>11</v>
      </c>
      <c r="F7" s="45">
        <f t="shared" si="0"/>
        <v>-14</v>
      </c>
      <c r="G7" s="48">
        <f t="shared" si="1"/>
        <v>0.44</v>
      </c>
    </row>
    <row r="8" spans="1:7">
      <c r="A8" s="45">
        <v>5</v>
      </c>
      <c r="B8" s="160" t="s">
        <v>681</v>
      </c>
      <c r="C8" s="110" t="s">
        <v>232</v>
      </c>
      <c r="D8" s="110">
        <v>25</v>
      </c>
      <c r="E8" s="108">
        <v>24</v>
      </c>
      <c r="F8" s="45">
        <f t="shared" si="0"/>
        <v>-1</v>
      </c>
      <c r="G8" s="48">
        <f t="shared" si="1"/>
        <v>0.96</v>
      </c>
    </row>
    <row r="9" spans="1:7">
      <c r="A9" s="45">
        <v>6</v>
      </c>
      <c r="B9" s="45" t="s">
        <v>682</v>
      </c>
      <c r="C9" s="110" t="s">
        <v>232</v>
      </c>
      <c r="D9" s="108">
        <v>25</v>
      </c>
      <c r="E9" s="108">
        <v>7</v>
      </c>
      <c r="F9" s="45">
        <f t="shared" si="0"/>
        <v>-18</v>
      </c>
      <c r="G9" s="48">
        <f t="shared" si="1"/>
        <v>0.28000000000000003</v>
      </c>
    </row>
    <row r="10" spans="1:7">
      <c r="A10" s="45">
        <v>7</v>
      </c>
      <c r="B10" s="160" t="s">
        <v>683</v>
      </c>
      <c r="C10" s="110" t="s">
        <v>232</v>
      </c>
      <c r="D10" s="110">
        <v>25</v>
      </c>
      <c r="E10" s="108">
        <v>6</v>
      </c>
      <c r="F10" s="45">
        <f t="shared" si="0"/>
        <v>-19</v>
      </c>
      <c r="G10" s="48">
        <f t="shared" si="1"/>
        <v>0.24</v>
      </c>
    </row>
    <row r="11" spans="1:7">
      <c r="A11" s="45">
        <v>8</v>
      </c>
      <c r="B11" s="160" t="s">
        <v>684</v>
      </c>
      <c r="C11" s="110" t="s">
        <v>232</v>
      </c>
      <c r="D11" s="108">
        <v>25</v>
      </c>
      <c r="E11" s="108">
        <v>2</v>
      </c>
      <c r="F11" s="45">
        <f t="shared" si="0"/>
        <v>-23</v>
      </c>
      <c r="G11" s="48">
        <f t="shared" si="1"/>
        <v>0.08</v>
      </c>
    </row>
    <row r="12" spans="1:7">
      <c r="A12" s="45">
        <v>9</v>
      </c>
      <c r="B12" s="160" t="s">
        <v>685</v>
      </c>
      <c r="C12" s="108" t="s">
        <v>75</v>
      </c>
      <c r="D12" s="108">
        <v>35</v>
      </c>
      <c r="E12" s="108">
        <v>15</v>
      </c>
      <c r="F12" s="45">
        <f t="shared" si="0"/>
        <v>-20</v>
      </c>
      <c r="G12" s="48">
        <f t="shared" si="1"/>
        <v>0.42857142857142855</v>
      </c>
    </row>
    <row r="13" spans="1:7">
      <c r="A13" s="45">
        <v>10</v>
      </c>
      <c r="B13" s="160" t="s">
        <v>686</v>
      </c>
      <c r="C13" s="110" t="s">
        <v>232</v>
      </c>
      <c r="D13" s="108">
        <v>25</v>
      </c>
      <c r="E13" s="108">
        <v>17</v>
      </c>
      <c r="F13" s="45">
        <f t="shared" si="0"/>
        <v>-8</v>
      </c>
      <c r="G13" s="48">
        <f t="shared" si="1"/>
        <v>0.68</v>
      </c>
    </row>
    <row r="14" spans="1:7">
      <c r="A14" s="45">
        <v>11</v>
      </c>
      <c r="B14" s="160" t="s">
        <v>687</v>
      </c>
      <c r="C14" s="110" t="s">
        <v>232</v>
      </c>
      <c r="D14" s="110">
        <v>25</v>
      </c>
      <c r="E14" s="108">
        <v>31</v>
      </c>
      <c r="F14" s="45">
        <f t="shared" si="0"/>
        <v>6</v>
      </c>
      <c r="G14" s="48">
        <f t="shared" si="1"/>
        <v>1.24</v>
      </c>
    </row>
    <row r="15" spans="1:7">
      <c r="A15" s="45">
        <v>12</v>
      </c>
      <c r="B15" s="160" t="s">
        <v>688</v>
      </c>
      <c r="C15" s="110" t="s">
        <v>232</v>
      </c>
      <c r="D15" s="108">
        <v>25</v>
      </c>
      <c r="E15" s="108">
        <v>18</v>
      </c>
      <c r="F15" s="45">
        <f t="shared" si="0"/>
        <v>-7</v>
      </c>
      <c r="G15" s="48">
        <f t="shared" si="1"/>
        <v>0.72</v>
      </c>
    </row>
    <row r="16" spans="1:7">
      <c r="A16" s="45">
        <v>13</v>
      </c>
      <c r="B16" s="160" t="s">
        <v>689</v>
      </c>
      <c r="C16" s="110" t="s">
        <v>232</v>
      </c>
      <c r="D16" s="110">
        <v>25</v>
      </c>
      <c r="E16" s="108">
        <v>24</v>
      </c>
      <c r="F16" s="45">
        <f t="shared" si="0"/>
        <v>-1</v>
      </c>
      <c r="G16" s="48">
        <f t="shared" si="1"/>
        <v>0.96</v>
      </c>
    </row>
    <row r="17" spans="1:7">
      <c r="A17" s="45">
        <v>14</v>
      </c>
      <c r="B17" s="160" t="s">
        <v>690</v>
      </c>
      <c r="C17" s="110" t="s">
        <v>232</v>
      </c>
      <c r="D17" s="108">
        <v>25</v>
      </c>
      <c r="E17" s="108">
        <v>12</v>
      </c>
      <c r="F17" s="45">
        <f t="shared" si="0"/>
        <v>-13</v>
      </c>
      <c r="G17" s="48">
        <f t="shared" si="1"/>
        <v>0.48</v>
      </c>
    </row>
    <row r="18" spans="1:7">
      <c r="A18" s="45">
        <v>15</v>
      </c>
      <c r="B18" s="160" t="s">
        <v>691</v>
      </c>
      <c r="C18" s="110" t="s">
        <v>232</v>
      </c>
      <c r="D18" s="110">
        <v>25</v>
      </c>
      <c r="E18" s="108">
        <v>24</v>
      </c>
      <c r="F18" s="45">
        <f t="shared" si="0"/>
        <v>-1</v>
      </c>
      <c r="G18" s="48">
        <f t="shared" si="1"/>
        <v>0.96</v>
      </c>
    </row>
    <row r="19" spans="1:7">
      <c r="A19" s="45">
        <v>16</v>
      </c>
      <c r="B19" s="160" t="s">
        <v>692</v>
      </c>
      <c r="C19" s="110" t="s">
        <v>232</v>
      </c>
      <c r="D19" s="110">
        <v>25</v>
      </c>
      <c r="E19" s="108">
        <v>2</v>
      </c>
      <c r="F19" s="45">
        <f t="shared" si="0"/>
        <v>-23</v>
      </c>
      <c r="G19" s="48">
        <f t="shared" si="1"/>
        <v>0.08</v>
      </c>
    </row>
    <row r="20" spans="1:7">
      <c r="A20" s="45">
        <v>17</v>
      </c>
      <c r="B20" s="160" t="s">
        <v>693</v>
      </c>
      <c r="C20" s="108" t="s">
        <v>75</v>
      </c>
      <c r="D20" s="108">
        <v>35</v>
      </c>
      <c r="E20" s="108">
        <v>25</v>
      </c>
      <c r="F20" s="45">
        <f t="shared" si="0"/>
        <v>-10</v>
      </c>
      <c r="G20" s="48">
        <f t="shared" si="1"/>
        <v>0.7142857142857143</v>
      </c>
    </row>
    <row r="21" spans="1:7">
      <c r="A21" s="45">
        <v>18</v>
      </c>
      <c r="B21" s="160" t="s">
        <v>694</v>
      </c>
      <c r="C21" s="110" t="s">
        <v>232</v>
      </c>
      <c r="D21" s="108">
        <v>25</v>
      </c>
      <c r="E21" s="108">
        <v>7</v>
      </c>
      <c r="F21" s="45">
        <f t="shared" si="0"/>
        <v>-18</v>
      </c>
      <c r="G21" s="48">
        <f t="shared" si="1"/>
        <v>0.28000000000000003</v>
      </c>
    </row>
    <row r="22" spans="1:7">
      <c r="A22" s="45">
        <v>19</v>
      </c>
      <c r="B22" s="160" t="s">
        <v>695</v>
      </c>
      <c r="C22" s="110" t="s">
        <v>232</v>
      </c>
      <c r="D22" s="108">
        <v>25</v>
      </c>
      <c r="E22" s="108">
        <v>10</v>
      </c>
      <c r="F22" s="45">
        <f t="shared" si="0"/>
        <v>-15</v>
      </c>
      <c r="G22" s="48">
        <f t="shared" si="1"/>
        <v>0.4</v>
      </c>
    </row>
    <row r="23" spans="1:7">
      <c r="A23" s="45">
        <v>20</v>
      </c>
      <c r="B23" s="160" t="s">
        <v>696</v>
      </c>
      <c r="C23" s="110" t="s">
        <v>232</v>
      </c>
      <c r="D23" s="110">
        <v>25</v>
      </c>
      <c r="E23" s="108">
        <v>15</v>
      </c>
      <c r="F23" s="45">
        <f t="shared" si="0"/>
        <v>-10</v>
      </c>
      <c r="G23" s="48">
        <f t="shared" si="1"/>
        <v>0.6</v>
      </c>
    </row>
    <row r="24" spans="1:7">
      <c r="A24" s="45">
        <v>21</v>
      </c>
      <c r="B24" s="160" t="s">
        <v>697</v>
      </c>
      <c r="C24" s="110" t="s">
        <v>232</v>
      </c>
      <c r="D24" s="108">
        <v>25</v>
      </c>
      <c r="E24" s="108">
        <v>20</v>
      </c>
      <c r="F24" s="45">
        <f t="shared" si="0"/>
        <v>-5</v>
      </c>
      <c r="G24" s="48">
        <f t="shared" si="1"/>
        <v>0.8</v>
      </c>
    </row>
    <row r="25" spans="1:7">
      <c r="A25" s="45">
        <v>22</v>
      </c>
      <c r="B25" s="160" t="s">
        <v>698</v>
      </c>
      <c r="C25" s="110" t="s">
        <v>232</v>
      </c>
      <c r="D25" s="110">
        <v>25</v>
      </c>
      <c r="E25" s="108">
        <v>1</v>
      </c>
      <c r="F25" s="45">
        <f t="shared" si="0"/>
        <v>-24</v>
      </c>
      <c r="G25" s="48">
        <f t="shared" si="1"/>
        <v>0.04</v>
      </c>
    </row>
    <row r="26" spans="1:7">
      <c r="A26" s="45">
        <v>23</v>
      </c>
      <c r="B26" s="160" t="s">
        <v>699</v>
      </c>
      <c r="C26" s="110" t="s">
        <v>700</v>
      </c>
      <c r="D26" s="110">
        <v>26</v>
      </c>
      <c r="E26" s="108">
        <v>2</v>
      </c>
      <c r="F26" s="45">
        <f t="shared" si="0"/>
        <v>-24</v>
      </c>
      <c r="G26" s="48">
        <f t="shared" si="1"/>
        <v>7.6923076923076927E-2</v>
      </c>
    </row>
    <row r="27" spans="1:7">
      <c r="A27" s="45"/>
      <c r="B27" s="45" t="s">
        <v>50</v>
      </c>
      <c r="C27" s="45"/>
      <c r="D27" s="110">
        <v>570</v>
      </c>
      <c r="E27" s="45">
        <f>SUM(E4:E26)</f>
        <v>344</v>
      </c>
      <c r="F27" s="45">
        <f t="shared" si="0"/>
        <v>-226</v>
      </c>
      <c r="G27" s="48">
        <f t="shared" si="1"/>
        <v>0.60350877192982455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AD19-2E0E-4BA5-A378-F4161D8BDA6A}">
  <dimension ref="A1:G58"/>
  <sheetViews>
    <sheetView topLeftCell="A46" workbookViewId="0">
      <selection activeCell="I48" sqref="I48"/>
    </sheetView>
  </sheetViews>
  <sheetFormatPr defaultRowHeight="14.5"/>
  <cols>
    <col min="1" max="1" width="4" customWidth="1"/>
    <col min="2" max="2" width="40.90625" customWidth="1"/>
    <col min="7" max="7" width="8.7265625" style="18"/>
  </cols>
  <sheetData>
    <row r="1" spans="1:7">
      <c r="B1" t="s">
        <v>9</v>
      </c>
    </row>
    <row r="2" spans="1:7">
      <c r="A2" s="171" t="s">
        <v>55</v>
      </c>
      <c r="B2" s="172" t="s">
        <v>56</v>
      </c>
      <c r="C2" s="173" t="s">
        <v>62</v>
      </c>
      <c r="D2" s="174"/>
      <c r="E2" s="174"/>
      <c r="F2" s="174"/>
      <c r="G2" s="174"/>
    </row>
    <row r="3" spans="1:7">
      <c r="A3" s="171"/>
      <c r="B3" s="172"/>
      <c r="C3" s="175" t="s">
        <v>57</v>
      </c>
      <c r="D3" s="175" t="s">
        <v>58</v>
      </c>
      <c r="E3" s="175" t="s">
        <v>59</v>
      </c>
      <c r="F3" s="175" t="s">
        <v>60</v>
      </c>
      <c r="G3" s="177" t="s">
        <v>54</v>
      </c>
    </row>
    <row r="4" spans="1:7">
      <c r="A4" s="171"/>
      <c r="B4" s="172"/>
      <c r="C4" s="176"/>
      <c r="D4" s="176"/>
      <c r="E4" s="176"/>
      <c r="F4" s="176"/>
      <c r="G4" s="178"/>
    </row>
    <row r="5" spans="1:7">
      <c r="A5" s="45">
        <v>1</v>
      </c>
      <c r="B5" s="52" t="s">
        <v>230</v>
      </c>
      <c r="C5" s="101" t="s">
        <v>75</v>
      </c>
      <c r="D5" s="102">
        <v>35</v>
      </c>
      <c r="E5" s="54">
        <v>0</v>
      </c>
      <c r="F5" s="45">
        <f>E5-D5</f>
        <v>-35</v>
      </c>
      <c r="G5" s="48">
        <f>E5/D5*100%</f>
        <v>0</v>
      </c>
    </row>
    <row r="6" spans="1:7">
      <c r="A6" s="45">
        <v>2</v>
      </c>
      <c r="B6" s="52" t="s">
        <v>231</v>
      </c>
      <c r="C6" s="101" t="s">
        <v>232</v>
      </c>
      <c r="D6" s="102">
        <v>25</v>
      </c>
      <c r="E6" s="54">
        <v>20</v>
      </c>
      <c r="F6" s="45">
        <f t="shared" ref="F6:F13" si="0">E6-D6</f>
        <v>-5</v>
      </c>
      <c r="G6" s="48">
        <f t="shared" ref="G6:G13" si="1">E6/D6*100%</f>
        <v>0.8</v>
      </c>
    </row>
    <row r="7" spans="1:7">
      <c r="A7" s="45">
        <v>3</v>
      </c>
      <c r="B7" s="52" t="s">
        <v>233</v>
      </c>
      <c r="C7" s="101" t="s">
        <v>232</v>
      </c>
      <c r="D7" s="102">
        <v>25</v>
      </c>
      <c r="E7" s="54">
        <v>25</v>
      </c>
      <c r="F7" s="45">
        <f t="shared" si="0"/>
        <v>0</v>
      </c>
      <c r="G7" s="48">
        <f t="shared" si="1"/>
        <v>1</v>
      </c>
    </row>
    <row r="8" spans="1:7">
      <c r="A8" s="45">
        <v>4</v>
      </c>
      <c r="B8" s="52" t="s">
        <v>234</v>
      </c>
      <c r="C8" s="101" t="s">
        <v>232</v>
      </c>
      <c r="D8" s="102">
        <v>25</v>
      </c>
      <c r="E8" s="54">
        <v>39</v>
      </c>
      <c r="F8" s="45">
        <f t="shared" si="0"/>
        <v>14</v>
      </c>
      <c r="G8" s="48">
        <f t="shared" si="1"/>
        <v>1.56</v>
      </c>
    </row>
    <row r="9" spans="1:7">
      <c r="A9" s="45">
        <v>5</v>
      </c>
      <c r="B9" s="52" t="s">
        <v>235</v>
      </c>
      <c r="C9" s="101" t="s">
        <v>232</v>
      </c>
      <c r="D9" s="102">
        <v>25</v>
      </c>
      <c r="E9" s="54">
        <v>31</v>
      </c>
      <c r="F9" s="45">
        <f t="shared" si="0"/>
        <v>6</v>
      </c>
      <c r="G9" s="48">
        <f t="shared" si="1"/>
        <v>1.24</v>
      </c>
    </row>
    <row r="10" spans="1:7">
      <c r="A10" s="45">
        <v>6</v>
      </c>
      <c r="B10" s="52" t="s">
        <v>236</v>
      </c>
      <c r="C10" s="101" t="s">
        <v>232</v>
      </c>
      <c r="D10" s="102">
        <v>25</v>
      </c>
      <c r="E10" s="54">
        <v>19</v>
      </c>
      <c r="F10" s="45">
        <f t="shared" si="0"/>
        <v>-6</v>
      </c>
      <c r="G10" s="48">
        <f t="shared" si="1"/>
        <v>0.76</v>
      </c>
    </row>
    <row r="11" spans="1:7">
      <c r="A11" s="45">
        <v>7</v>
      </c>
      <c r="B11" s="52" t="s">
        <v>237</v>
      </c>
      <c r="C11" s="101" t="s">
        <v>232</v>
      </c>
      <c r="D11" s="102">
        <v>25</v>
      </c>
      <c r="E11" s="54">
        <v>4</v>
      </c>
      <c r="F11" s="45">
        <f t="shared" si="0"/>
        <v>-21</v>
      </c>
      <c r="G11" s="48">
        <f t="shared" si="1"/>
        <v>0.16</v>
      </c>
    </row>
    <row r="12" spans="1:7">
      <c r="A12" s="45">
        <v>8</v>
      </c>
      <c r="B12" s="52" t="s">
        <v>238</v>
      </c>
      <c r="C12" s="101" t="s">
        <v>232</v>
      </c>
      <c r="D12" s="102">
        <v>25</v>
      </c>
      <c r="E12" s="54">
        <v>5</v>
      </c>
      <c r="F12" s="45">
        <f t="shared" si="0"/>
        <v>-20</v>
      </c>
      <c r="G12" s="48">
        <f t="shared" si="1"/>
        <v>0.2</v>
      </c>
    </row>
    <row r="13" spans="1:7">
      <c r="A13" s="45"/>
      <c r="B13" s="50" t="s">
        <v>50</v>
      </c>
      <c r="C13" s="50"/>
      <c r="D13" s="50">
        <v>190</v>
      </c>
      <c r="E13" s="50">
        <f>SUM(E5:E12)</f>
        <v>143</v>
      </c>
      <c r="F13" s="50">
        <f t="shared" si="0"/>
        <v>-47</v>
      </c>
      <c r="G13" s="58">
        <f t="shared" si="1"/>
        <v>0.75263157894736843</v>
      </c>
    </row>
    <row r="16" spans="1:7">
      <c r="B16" t="s">
        <v>10</v>
      </c>
    </row>
    <row r="17" spans="1:7">
      <c r="A17" s="171" t="s">
        <v>55</v>
      </c>
      <c r="B17" s="172" t="s">
        <v>56</v>
      </c>
      <c r="C17" s="173" t="s">
        <v>62</v>
      </c>
      <c r="D17" s="174"/>
      <c r="E17" s="174"/>
      <c r="F17" s="174"/>
      <c r="G17" s="174"/>
    </row>
    <row r="18" spans="1:7">
      <c r="A18" s="171"/>
      <c r="B18" s="172"/>
      <c r="C18" s="175" t="s">
        <v>57</v>
      </c>
      <c r="D18" s="175" t="s">
        <v>58</v>
      </c>
      <c r="E18" s="175" t="s">
        <v>59</v>
      </c>
      <c r="F18" s="175" t="s">
        <v>60</v>
      </c>
      <c r="G18" s="177" t="s">
        <v>54</v>
      </c>
    </row>
    <row r="19" spans="1:7">
      <c r="A19" s="171"/>
      <c r="B19" s="172"/>
      <c r="C19" s="176"/>
      <c r="D19" s="176"/>
      <c r="E19" s="176"/>
      <c r="F19" s="176"/>
      <c r="G19" s="178"/>
    </row>
    <row r="20" spans="1:7">
      <c r="A20" s="45">
        <v>1</v>
      </c>
      <c r="B20" s="61" t="s">
        <v>239</v>
      </c>
      <c r="C20" s="103" t="s">
        <v>75</v>
      </c>
      <c r="D20" s="104">
        <v>35</v>
      </c>
      <c r="E20" s="62">
        <v>0</v>
      </c>
      <c r="F20" s="45">
        <f>E20-D20</f>
        <v>-35</v>
      </c>
      <c r="G20" s="48">
        <f>E20/D20*100%</f>
        <v>0</v>
      </c>
    </row>
    <row r="21" spans="1:7">
      <c r="A21" s="45">
        <v>2</v>
      </c>
      <c r="B21" s="61" t="s">
        <v>240</v>
      </c>
      <c r="C21" s="103" t="s">
        <v>232</v>
      </c>
      <c r="D21" s="104">
        <v>25</v>
      </c>
      <c r="E21" s="62">
        <v>19</v>
      </c>
      <c r="F21" s="45">
        <f t="shared" ref="F21:F28" si="2">E21-D21</f>
        <v>-6</v>
      </c>
      <c r="G21" s="48">
        <f t="shared" ref="G21:G28" si="3">E21/D21*100%</f>
        <v>0.76</v>
      </c>
    </row>
    <row r="22" spans="1:7">
      <c r="A22" s="45">
        <v>3</v>
      </c>
      <c r="B22" s="61" t="s">
        <v>241</v>
      </c>
      <c r="C22" s="103" t="s">
        <v>232</v>
      </c>
      <c r="D22" s="104">
        <v>25</v>
      </c>
      <c r="E22" s="62">
        <v>25</v>
      </c>
      <c r="F22" s="45">
        <f t="shared" si="2"/>
        <v>0</v>
      </c>
      <c r="G22" s="48">
        <f t="shared" si="3"/>
        <v>1</v>
      </c>
    </row>
    <row r="23" spans="1:7">
      <c r="A23" s="45">
        <v>4</v>
      </c>
      <c r="B23" s="61" t="s">
        <v>242</v>
      </c>
      <c r="C23" s="103" t="s">
        <v>232</v>
      </c>
      <c r="D23" s="104">
        <v>25</v>
      </c>
      <c r="E23" s="62">
        <v>33</v>
      </c>
      <c r="F23" s="45">
        <f t="shared" si="2"/>
        <v>8</v>
      </c>
      <c r="G23" s="48">
        <f t="shared" si="3"/>
        <v>1.32</v>
      </c>
    </row>
    <row r="24" spans="1:7">
      <c r="A24" s="45">
        <v>5</v>
      </c>
      <c r="B24" s="61" t="s">
        <v>243</v>
      </c>
      <c r="C24" s="103" t="s">
        <v>232</v>
      </c>
      <c r="D24" s="104">
        <v>25</v>
      </c>
      <c r="E24" s="62">
        <v>17</v>
      </c>
      <c r="F24" s="45">
        <f t="shared" si="2"/>
        <v>-8</v>
      </c>
      <c r="G24" s="48">
        <f t="shared" si="3"/>
        <v>0.68</v>
      </c>
    </row>
    <row r="25" spans="1:7">
      <c r="A25" s="45">
        <v>6</v>
      </c>
      <c r="B25" s="61" t="s">
        <v>244</v>
      </c>
      <c r="C25" s="103" t="s">
        <v>232</v>
      </c>
      <c r="D25" s="104">
        <v>25</v>
      </c>
      <c r="E25" s="62">
        <v>34</v>
      </c>
      <c r="F25" s="45">
        <f t="shared" si="2"/>
        <v>9</v>
      </c>
      <c r="G25" s="48">
        <f t="shared" si="3"/>
        <v>1.36</v>
      </c>
    </row>
    <row r="26" spans="1:7">
      <c r="A26" s="45">
        <v>7</v>
      </c>
      <c r="B26" s="61" t="s">
        <v>245</v>
      </c>
      <c r="C26" s="103" t="s">
        <v>232</v>
      </c>
      <c r="D26" s="104">
        <v>25</v>
      </c>
      <c r="E26" s="62">
        <v>4</v>
      </c>
      <c r="F26" s="45">
        <f t="shared" si="2"/>
        <v>-21</v>
      </c>
      <c r="G26" s="48">
        <f t="shared" si="3"/>
        <v>0.16</v>
      </c>
    </row>
    <row r="27" spans="1:7">
      <c r="A27" s="45">
        <v>8</v>
      </c>
      <c r="B27" s="105" t="s">
        <v>246</v>
      </c>
      <c r="C27" s="103" t="s">
        <v>232</v>
      </c>
      <c r="D27" s="104">
        <v>25</v>
      </c>
      <c r="E27" s="62">
        <v>11</v>
      </c>
      <c r="F27" s="45">
        <f t="shared" si="2"/>
        <v>-14</v>
      </c>
      <c r="G27" s="48">
        <f t="shared" si="3"/>
        <v>0.44</v>
      </c>
    </row>
    <row r="28" spans="1:7">
      <c r="A28" s="45"/>
      <c r="B28" s="50" t="s">
        <v>50</v>
      </c>
      <c r="C28" s="50"/>
      <c r="D28" s="50">
        <v>190</v>
      </c>
      <c r="E28" s="50">
        <f>SUM(E20:E27)</f>
        <v>143</v>
      </c>
      <c r="F28" s="50">
        <f t="shared" si="2"/>
        <v>-47</v>
      </c>
      <c r="G28" s="58">
        <f t="shared" si="3"/>
        <v>0.75263157894736843</v>
      </c>
    </row>
    <row r="33" spans="1:7">
      <c r="B33" t="s">
        <v>251</v>
      </c>
    </row>
    <row r="34" spans="1:7">
      <c r="A34" s="171" t="s">
        <v>55</v>
      </c>
      <c r="B34" s="172" t="s">
        <v>56</v>
      </c>
      <c r="C34" s="173" t="s">
        <v>62</v>
      </c>
      <c r="D34" s="174"/>
      <c r="E34" s="174"/>
      <c r="F34" s="174"/>
      <c r="G34" s="174"/>
    </row>
    <row r="35" spans="1:7">
      <c r="A35" s="171"/>
      <c r="B35" s="172"/>
      <c r="C35" s="175" t="s">
        <v>57</v>
      </c>
      <c r="D35" s="175" t="s">
        <v>58</v>
      </c>
      <c r="E35" s="175" t="s">
        <v>59</v>
      </c>
      <c r="F35" s="175" t="s">
        <v>60</v>
      </c>
      <c r="G35" s="177" t="s">
        <v>54</v>
      </c>
    </row>
    <row r="36" spans="1:7">
      <c r="A36" s="171"/>
      <c r="B36" s="172"/>
      <c r="C36" s="176"/>
      <c r="D36" s="176"/>
      <c r="E36" s="176"/>
      <c r="F36" s="176"/>
      <c r="G36" s="178"/>
    </row>
    <row r="37" spans="1:7">
      <c r="A37" s="45">
        <v>1</v>
      </c>
      <c r="B37" s="52" t="s">
        <v>247</v>
      </c>
      <c r="C37" s="101" t="s">
        <v>232</v>
      </c>
      <c r="D37" s="102">
        <v>25</v>
      </c>
      <c r="E37" s="54">
        <v>0</v>
      </c>
      <c r="F37" s="45">
        <f>E37-D37</f>
        <v>-25</v>
      </c>
      <c r="G37" s="48">
        <f>E37/D37*100%</f>
        <v>0</v>
      </c>
    </row>
    <row r="38" spans="1:7">
      <c r="A38" s="45">
        <v>2</v>
      </c>
      <c r="B38" s="52" t="s">
        <v>248</v>
      </c>
      <c r="C38" s="101" t="s">
        <v>232</v>
      </c>
      <c r="D38" s="102">
        <v>25</v>
      </c>
      <c r="E38" s="54">
        <v>1</v>
      </c>
      <c r="F38" s="45">
        <f t="shared" ref="F38:F41" si="4">E38-D38</f>
        <v>-24</v>
      </c>
      <c r="G38" s="48">
        <f t="shared" ref="G38:G41" si="5">E38/D38*100%</f>
        <v>0.04</v>
      </c>
    </row>
    <row r="39" spans="1:7">
      <c r="A39" s="45">
        <v>3</v>
      </c>
      <c r="B39" s="52" t="s">
        <v>249</v>
      </c>
      <c r="C39" s="101" t="s">
        <v>232</v>
      </c>
      <c r="D39" s="102">
        <v>25</v>
      </c>
      <c r="E39" s="54">
        <v>2</v>
      </c>
      <c r="F39" s="45">
        <f t="shared" si="4"/>
        <v>-23</v>
      </c>
      <c r="G39" s="48">
        <f t="shared" si="5"/>
        <v>0.08</v>
      </c>
    </row>
    <row r="40" spans="1:7">
      <c r="A40" s="45">
        <v>4</v>
      </c>
      <c r="B40" s="52" t="s">
        <v>250</v>
      </c>
      <c r="C40" s="101" t="s">
        <v>232</v>
      </c>
      <c r="D40" s="102">
        <v>25</v>
      </c>
      <c r="E40" s="54">
        <v>4</v>
      </c>
      <c r="F40" s="45">
        <f t="shared" si="4"/>
        <v>-21</v>
      </c>
      <c r="G40" s="48">
        <f t="shared" si="5"/>
        <v>0.16</v>
      </c>
    </row>
    <row r="41" spans="1:7">
      <c r="A41" s="45"/>
      <c r="B41" s="50" t="s">
        <v>50</v>
      </c>
      <c r="C41" s="50"/>
      <c r="D41" s="50">
        <v>150</v>
      </c>
      <c r="E41" s="50">
        <f>SUM(E37:E40)</f>
        <v>7</v>
      </c>
      <c r="F41" s="50">
        <f t="shared" si="4"/>
        <v>-143</v>
      </c>
      <c r="G41" s="58">
        <f t="shared" si="5"/>
        <v>4.6666666666666669E-2</v>
      </c>
    </row>
    <row r="45" spans="1:7">
      <c r="B45" t="s">
        <v>252</v>
      </c>
    </row>
    <row r="46" spans="1:7">
      <c r="A46" s="171" t="s">
        <v>55</v>
      </c>
      <c r="B46" s="172" t="s">
        <v>56</v>
      </c>
      <c r="C46" s="173" t="s">
        <v>62</v>
      </c>
      <c r="D46" s="174"/>
      <c r="E46" s="174"/>
      <c r="F46" s="174"/>
      <c r="G46" s="174"/>
    </row>
    <row r="47" spans="1:7">
      <c r="A47" s="171"/>
      <c r="B47" s="172"/>
      <c r="C47" s="175" t="s">
        <v>57</v>
      </c>
      <c r="D47" s="175" t="s">
        <v>58</v>
      </c>
      <c r="E47" s="175" t="s">
        <v>59</v>
      </c>
      <c r="F47" s="175" t="s">
        <v>60</v>
      </c>
      <c r="G47" s="177" t="s">
        <v>54</v>
      </c>
    </row>
    <row r="48" spans="1:7">
      <c r="A48" s="171"/>
      <c r="B48" s="172"/>
      <c r="C48" s="176"/>
      <c r="D48" s="176"/>
      <c r="E48" s="176"/>
      <c r="F48" s="176"/>
      <c r="G48" s="178"/>
    </row>
    <row r="49" spans="1:7">
      <c r="A49" s="45">
        <v>1</v>
      </c>
      <c r="B49" s="52" t="s">
        <v>253</v>
      </c>
      <c r="C49" s="101" t="s">
        <v>75</v>
      </c>
      <c r="D49" s="102">
        <v>35</v>
      </c>
      <c r="E49" s="54">
        <v>14</v>
      </c>
      <c r="F49" s="45">
        <f>E49-D49</f>
        <v>-21</v>
      </c>
      <c r="G49" s="48">
        <f>E49/D49*100%</f>
        <v>0.4</v>
      </c>
    </row>
    <row r="50" spans="1:7">
      <c r="A50" s="45">
        <v>2</v>
      </c>
      <c r="B50" s="52" t="s">
        <v>254</v>
      </c>
      <c r="C50" s="101" t="s">
        <v>232</v>
      </c>
      <c r="D50" s="102">
        <v>25</v>
      </c>
      <c r="E50" s="54">
        <v>22</v>
      </c>
      <c r="F50" s="45">
        <f t="shared" ref="F50:F58" si="6">E50-D50</f>
        <v>-3</v>
      </c>
      <c r="G50" s="48">
        <f t="shared" ref="G50:G58" si="7">E50/D50*100%</f>
        <v>0.88</v>
      </c>
    </row>
    <row r="51" spans="1:7">
      <c r="A51" s="45">
        <v>3</v>
      </c>
      <c r="B51" s="52" t="s">
        <v>255</v>
      </c>
      <c r="C51" s="101" t="s">
        <v>232</v>
      </c>
      <c r="D51" s="102">
        <v>25</v>
      </c>
      <c r="E51" s="54">
        <v>17</v>
      </c>
      <c r="F51" s="45">
        <f t="shared" si="6"/>
        <v>-8</v>
      </c>
      <c r="G51" s="48">
        <f t="shared" si="7"/>
        <v>0.68</v>
      </c>
    </row>
    <row r="52" spans="1:7">
      <c r="A52" s="45">
        <v>4</v>
      </c>
      <c r="B52" s="55" t="s">
        <v>256</v>
      </c>
      <c r="C52" s="101" t="s">
        <v>232</v>
      </c>
      <c r="D52" s="102">
        <v>25</v>
      </c>
      <c r="E52" s="54">
        <v>35</v>
      </c>
      <c r="F52" s="45">
        <f t="shared" si="6"/>
        <v>10</v>
      </c>
      <c r="G52" s="48">
        <f t="shared" si="7"/>
        <v>1.4</v>
      </c>
    </row>
    <row r="53" spans="1:7">
      <c r="A53" s="45">
        <v>5</v>
      </c>
      <c r="B53" s="55" t="s">
        <v>257</v>
      </c>
      <c r="C53" s="101" t="s">
        <v>232</v>
      </c>
      <c r="D53" s="102">
        <v>25</v>
      </c>
      <c r="E53" s="54">
        <v>26</v>
      </c>
      <c r="F53" s="45">
        <f t="shared" si="6"/>
        <v>1</v>
      </c>
      <c r="G53" s="48">
        <f t="shared" si="7"/>
        <v>1.04</v>
      </c>
    </row>
    <row r="54" spans="1:7">
      <c r="A54" s="45">
        <v>6</v>
      </c>
      <c r="B54" s="55" t="s">
        <v>258</v>
      </c>
      <c r="C54" s="101" t="s">
        <v>232</v>
      </c>
      <c r="D54" s="102">
        <v>25</v>
      </c>
      <c r="E54" s="54">
        <v>15</v>
      </c>
      <c r="F54" s="45">
        <f t="shared" si="6"/>
        <v>-10</v>
      </c>
      <c r="G54" s="48">
        <f t="shared" si="7"/>
        <v>0.6</v>
      </c>
    </row>
    <row r="55" spans="1:7">
      <c r="A55" s="45">
        <v>7</v>
      </c>
      <c r="B55" s="52" t="s">
        <v>259</v>
      </c>
      <c r="C55" s="101" t="s">
        <v>232</v>
      </c>
      <c r="D55" s="102">
        <v>25</v>
      </c>
      <c r="E55" s="54">
        <v>16</v>
      </c>
      <c r="F55" s="45">
        <f t="shared" si="6"/>
        <v>-9</v>
      </c>
      <c r="G55" s="48">
        <f t="shared" si="7"/>
        <v>0.64</v>
      </c>
    </row>
    <row r="56" spans="1:7">
      <c r="A56" s="45">
        <v>8</v>
      </c>
      <c r="B56" s="106" t="s">
        <v>260</v>
      </c>
      <c r="C56" s="101" t="s">
        <v>232</v>
      </c>
      <c r="D56" s="102">
        <v>25</v>
      </c>
      <c r="E56" s="54">
        <v>3</v>
      </c>
      <c r="F56" s="45">
        <f t="shared" si="6"/>
        <v>-22</v>
      </c>
      <c r="G56" s="48">
        <f t="shared" si="7"/>
        <v>0.12</v>
      </c>
    </row>
    <row r="57" spans="1:7">
      <c r="A57" s="45">
        <v>9</v>
      </c>
      <c r="B57" s="106" t="s">
        <v>261</v>
      </c>
      <c r="C57" s="101" t="s">
        <v>232</v>
      </c>
      <c r="D57" s="102">
        <v>25</v>
      </c>
      <c r="E57" s="54">
        <v>13</v>
      </c>
      <c r="F57" s="45">
        <f t="shared" si="6"/>
        <v>-12</v>
      </c>
      <c r="G57" s="48">
        <f t="shared" si="7"/>
        <v>0.52</v>
      </c>
    </row>
    <row r="58" spans="1:7">
      <c r="A58" s="45"/>
      <c r="B58" s="50" t="s">
        <v>50</v>
      </c>
      <c r="C58" s="50"/>
      <c r="D58" s="50">
        <v>230</v>
      </c>
      <c r="E58" s="50">
        <f>SUM(E49:E57)</f>
        <v>161</v>
      </c>
      <c r="F58" s="50">
        <f t="shared" si="6"/>
        <v>-69</v>
      </c>
      <c r="G58" s="58">
        <f t="shared" si="7"/>
        <v>0.7</v>
      </c>
    </row>
  </sheetData>
  <mergeCells count="32">
    <mergeCell ref="A46:A48"/>
    <mergeCell ref="B46:B48"/>
    <mergeCell ref="C46:G46"/>
    <mergeCell ref="C47:C48"/>
    <mergeCell ref="D47:D48"/>
    <mergeCell ref="E47:E48"/>
    <mergeCell ref="F47:F48"/>
    <mergeCell ref="G47:G48"/>
    <mergeCell ref="A34:A36"/>
    <mergeCell ref="B34:B36"/>
    <mergeCell ref="C34:G34"/>
    <mergeCell ref="C35:C36"/>
    <mergeCell ref="D35:D36"/>
    <mergeCell ref="E35:E36"/>
    <mergeCell ref="F35:F36"/>
    <mergeCell ref="G35:G36"/>
    <mergeCell ref="A17:A19"/>
    <mergeCell ref="B17:B19"/>
    <mergeCell ref="C17:G17"/>
    <mergeCell ref="C18:C19"/>
    <mergeCell ref="D18:D19"/>
    <mergeCell ref="E18:E19"/>
    <mergeCell ref="F18:F19"/>
    <mergeCell ref="G18:G19"/>
    <mergeCell ref="A2:A4"/>
    <mergeCell ref="B2:B4"/>
    <mergeCell ref="C2:G2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9BF0-D0B5-4C28-B300-2355BC5F8B09}">
  <dimension ref="A1:G28"/>
  <sheetViews>
    <sheetView workbookViewId="0">
      <selection activeCell="E13" sqref="E13"/>
    </sheetView>
  </sheetViews>
  <sheetFormatPr defaultRowHeight="14.5"/>
  <cols>
    <col min="1" max="1" width="5.36328125" customWidth="1"/>
    <col min="2" max="2" width="27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545</v>
      </c>
      <c r="C4" s="140" t="s">
        <v>75</v>
      </c>
      <c r="D4" s="140">
        <v>35</v>
      </c>
      <c r="E4" s="140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9" t="s">
        <v>546</v>
      </c>
      <c r="C5" s="140" t="s">
        <v>76</v>
      </c>
      <c r="D5" s="140">
        <v>25</v>
      </c>
      <c r="E5" s="140">
        <v>10</v>
      </c>
      <c r="F5" s="45">
        <f t="shared" ref="F5:F27" si="0">E5-D5</f>
        <v>-15</v>
      </c>
      <c r="G5" s="48">
        <f t="shared" ref="G5:G28" si="1">E5/D5*100%</f>
        <v>0.4</v>
      </c>
    </row>
    <row r="6" spans="1:7">
      <c r="A6" s="45">
        <v>3</v>
      </c>
      <c r="B6" s="139" t="s">
        <v>547</v>
      </c>
      <c r="C6" s="140" t="s">
        <v>76</v>
      </c>
      <c r="D6" s="140">
        <v>25</v>
      </c>
      <c r="E6" s="140">
        <v>14</v>
      </c>
      <c r="F6" s="45">
        <f t="shared" si="0"/>
        <v>-11</v>
      </c>
      <c r="G6" s="48">
        <f t="shared" si="1"/>
        <v>0.56000000000000005</v>
      </c>
    </row>
    <row r="7" spans="1:7">
      <c r="A7" s="45">
        <v>4</v>
      </c>
      <c r="B7" s="139" t="s">
        <v>548</v>
      </c>
      <c r="C7" s="140" t="s">
        <v>76</v>
      </c>
      <c r="D7" s="140">
        <v>25</v>
      </c>
      <c r="E7" s="140">
        <v>18</v>
      </c>
      <c r="F7" s="45">
        <f t="shared" si="0"/>
        <v>-7</v>
      </c>
      <c r="G7" s="48">
        <f t="shared" si="1"/>
        <v>0.72</v>
      </c>
    </row>
    <row r="8" spans="1:7">
      <c r="A8" s="45">
        <v>5</v>
      </c>
      <c r="B8" s="139" t="s">
        <v>549</v>
      </c>
      <c r="C8" s="140" t="s">
        <v>76</v>
      </c>
      <c r="D8" s="140">
        <v>25</v>
      </c>
      <c r="E8" s="140">
        <v>10</v>
      </c>
      <c r="F8" s="45">
        <f t="shared" si="0"/>
        <v>-15</v>
      </c>
      <c r="G8" s="48">
        <f t="shared" si="1"/>
        <v>0.4</v>
      </c>
    </row>
    <row r="9" spans="1:7">
      <c r="A9" s="45">
        <v>6</v>
      </c>
      <c r="B9" s="139" t="s">
        <v>550</v>
      </c>
      <c r="C9" s="140" t="s">
        <v>76</v>
      </c>
      <c r="D9" s="140">
        <v>25</v>
      </c>
      <c r="E9" s="140">
        <v>16</v>
      </c>
      <c r="F9" s="45">
        <f t="shared" si="0"/>
        <v>-9</v>
      </c>
      <c r="G9" s="48">
        <f t="shared" si="1"/>
        <v>0.64</v>
      </c>
    </row>
    <row r="10" spans="1:7">
      <c r="A10" s="45">
        <v>7</v>
      </c>
      <c r="B10" s="139" t="s">
        <v>551</v>
      </c>
      <c r="C10" s="140" t="s">
        <v>76</v>
      </c>
      <c r="D10" s="140">
        <v>25</v>
      </c>
      <c r="E10" s="140">
        <v>8</v>
      </c>
      <c r="F10" s="45">
        <f t="shared" si="0"/>
        <v>-17</v>
      </c>
      <c r="G10" s="48">
        <f t="shared" si="1"/>
        <v>0.32</v>
      </c>
    </row>
    <row r="11" spans="1:7">
      <c r="A11" s="45">
        <v>8</v>
      </c>
      <c r="B11" s="139" t="s">
        <v>552</v>
      </c>
      <c r="C11" s="140" t="s">
        <v>76</v>
      </c>
      <c r="D11" s="140">
        <v>25</v>
      </c>
      <c r="E11" s="140">
        <v>13</v>
      </c>
      <c r="F11" s="45">
        <f t="shared" si="0"/>
        <v>-12</v>
      </c>
      <c r="G11" s="48">
        <f t="shared" si="1"/>
        <v>0.52</v>
      </c>
    </row>
    <row r="12" spans="1:7">
      <c r="A12" s="45">
        <v>9</v>
      </c>
      <c r="B12" s="139" t="s">
        <v>553</v>
      </c>
      <c r="C12" s="140" t="s">
        <v>75</v>
      </c>
      <c r="D12" s="140">
        <v>35</v>
      </c>
      <c r="E12" s="140">
        <v>2</v>
      </c>
      <c r="F12" s="45">
        <f t="shared" si="0"/>
        <v>-33</v>
      </c>
      <c r="G12" s="48">
        <f t="shared" si="1"/>
        <v>5.7142857142857141E-2</v>
      </c>
    </row>
    <row r="13" spans="1:7">
      <c r="A13" s="45">
        <v>10</v>
      </c>
      <c r="B13" s="139" t="s">
        <v>554</v>
      </c>
      <c r="C13" s="140" t="s">
        <v>76</v>
      </c>
      <c r="D13" s="140">
        <v>25</v>
      </c>
      <c r="E13" s="140">
        <v>51</v>
      </c>
      <c r="F13" s="45">
        <f t="shared" si="0"/>
        <v>26</v>
      </c>
      <c r="G13" s="48">
        <f t="shared" si="1"/>
        <v>2.04</v>
      </c>
    </row>
    <row r="14" spans="1:7">
      <c r="A14" s="45">
        <v>11</v>
      </c>
      <c r="B14" s="139" t="s">
        <v>555</v>
      </c>
      <c r="C14" s="140" t="s">
        <v>76</v>
      </c>
      <c r="D14" s="140">
        <v>25</v>
      </c>
      <c r="E14" s="140">
        <v>35</v>
      </c>
      <c r="F14" s="45">
        <f t="shared" si="0"/>
        <v>10</v>
      </c>
      <c r="G14" s="48">
        <f t="shared" si="1"/>
        <v>1.4</v>
      </c>
    </row>
    <row r="15" spans="1:7">
      <c r="A15" s="45">
        <v>12</v>
      </c>
      <c r="B15" s="139" t="s">
        <v>556</v>
      </c>
      <c r="C15" s="140" t="s">
        <v>76</v>
      </c>
      <c r="D15" s="140">
        <v>25</v>
      </c>
      <c r="E15" s="140">
        <v>61</v>
      </c>
      <c r="F15" s="45">
        <f t="shared" si="0"/>
        <v>36</v>
      </c>
      <c r="G15" s="48">
        <f t="shared" si="1"/>
        <v>2.44</v>
      </c>
    </row>
    <row r="16" spans="1:7">
      <c r="A16" s="45">
        <v>13</v>
      </c>
      <c r="B16" s="139" t="s">
        <v>557</v>
      </c>
      <c r="C16" s="140" t="s">
        <v>76</v>
      </c>
      <c r="D16" s="140">
        <v>25</v>
      </c>
      <c r="E16" s="140">
        <v>37</v>
      </c>
      <c r="F16" s="45">
        <f t="shared" si="0"/>
        <v>12</v>
      </c>
      <c r="G16" s="48">
        <f t="shared" si="1"/>
        <v>1.48</v>
      </c>
    </row>
    <row r="17" spans="1:7">
      <c r="A17" s="45">
        <v>14</v>
      </c>
      <c r="B17" s="139" t="s">
        <v>558</v>
      </c>
      <c r="C17" s="140" t="s">
        <v>76</v>
      </c>
      <c r="D17" s="140">
        <v>25</v>
      </c>
      <c r="E17" s="140">
        <v>8</v>
      </c>
      <c r="F17" s="45">
        <f t="shared" si="0"/>
        <v>-17</v>
      </c>
      <c r="G17" s="48">
        <f t="shared" si="1"/>
        <v>0.32</v>
      </c>
    </row>
    <row r="18" spans="1:7">
      <c r="A18" s="45">
        <v>15</v>
      </c>
      <c r="B18" s="139" t="s">
        <v>559</v>
      </c>
      <c r="C18" s="140" t="s">
        <v>76</v>
      </c>
      <c r="D18" s="140">
        <v>25</v>
      </c>
      <c r="E18" s="140">
        <v>15</v>
      </c>
      <c r="F18" s="45">
        <f t="shared" si="0"/>
        <v>-10</v>
      </c>
      <c r="G18" s="48">
        <f t="shared" si="1"/>
        <v>0.6</v>
      </c>
    </row>
    <row r="19" spans="1:7">
      <c r="A19" s="45">
        <v>16</v>
      </c>
      <c r="B19" s="139" t="s">
        <v>560</v>
      </c>
      <c r="C19" s="140" t="s">
        <v>76</v>
      </c>
      <c r="D19" s="140">
        <v>25</v>
      </c>
      <c r="E19" s="140">
        <v>10</v>
      </c>
      <c r="F19" s="45">
        <f t="shared" si="0"/>
        <v>-15</v>
      </c>
      <c r="G19" s="48">
        <f t="shared" si="1"/>
        <v>0.4</v>
      </c>
    </row>
    <row r="20" spans="1:7">
      <c r="A20" s="45">
        <v>17</v>
      </c>
      <c r="B20" s="139" t="s">
        <v>561</v>
      </c>
      <c r="C20" s="140" t="s">
        <v>75</v>
      </c>
      <c r="D20" s="140">
        <v>35</v>
      </c>
      <c r="E20" s="140">
        <v>0</v>
      </c>
      <c r="F20" s="45">
        <f t="shared" si="0"/>
        <v>-35</v>
      </c>
      <c r="G20" s="48">
        <f t="shared" si="1"/>
        <v>0</v>
      </c>
    </row>
    <row r="21" spans="1:7">
      <c r="A21" s="45">
        <v>18</v>
      </c>
      <c r="B21" s="139" t="s">
        <v>562</v>
      </c>
      <c r="C21" s="140" t="s">
        <v>76</v>
      </c>
      <c r="D21" s="140">
        <v>25</v>
      </c>
      <c r="E21" s="140">
        <v>25</v>
      </c>
      <c r="F21" s="45">
        <f t="shared" si="0"/>
        <v>0</v>
      </c>
      <c r="G21" s="48">
        <f t="shared" si="1"/>
        <v>1</v>
      </c>
    </row>
    <row r="22" spans="1:7">
      <c r="A22" s="45">
        <v>19</v>
      </c>
      <c r="B22" s="139" t="s">
        <v>563</v>
      </c>
      <c r="C22" s="140" t="s">
        <v>76</v>
      </c>
      <c r="D22" s="140">
        <v>25</v>
      </c>
      <c r="E22" s="140">
        <v>16</v>
      </c>
      <c r="F22" s="45">
        <f t="shared" si="0"/>
        <v>-9</v>
      </c>
      <c r="G22" s="48">
        <f t="shared" si="1"/>
        <v>0.64</v>
      </c>
    </row>
    <row r="23" spans="1:7">
      <c r="A23" s="45">
        <v>20</v>
      </c>
      <c r="B23" s="139" t="s">
        <v>564</v>
      </c>
      <c r="C23" s="140" t="s">
        <v>76</v>
      </c>
      <c r="D23" s="140">
        <v>25</v>
      </c>
      <c r="E23" s="140">
        <v>20</v>
      </c>
      <c r="F23" s="45">
        <f t="shared" si="0"/>
        <v>-5</v>
      </c>
      <c r="G23" s="48">
        <f t="shared" si="1"/>
        <v>0.8</v>
      </c>
    </row>
    <row r="24" spans="1:7">
      <c r="A24" s="45">
        <v>21</v>
      </c>
      <c r="B24" s="139" t="s">
        <v>565</v>
      </c>
      <c r="C24" s="140" t="s">
        <v>76</v>
      </c>
      <c r="D24" s="140">
        <v>25</v>
      </c>
      <c r="E24" s="140">
        <v>20</v>
      </c>
      <c r="F24" s="45">
        <f t="shared" si="0"/>
        <v>-5</v>
      </c>
      <c r="G24" s="48">
        <f t="shared" si="1"/>
        <v>0.8</v>
      </c>
    </row>
    <row r="25" spans="1:7">
      <c r="A25" s="45">
        <v>22</v>
      </c>
      <c r="B25" s="139" t="s">
        <v>566</v>
      </c>
      <c r="C25" s="140" t="s">
        <v>76</v>
      </c>
      <c r="D25" s="140">
        <v>25</v>
      </c>
      <c r="E25" s="140">
        <v>27</v>
      </c>
      <c r="F25" s="45">
        <f t="shared" si="0"/>
        <v>2</v>
      </c>
      <c r="G25" s="48">
        <f t="shared" si="1"/>
        <v>1.08</v>
      </c>
    </row>
    <row r="26" spans="1:7">
      <c r="A26" s="45">
        <v>23</v>
      </c>
      <c r="B26" s="139" t="s">
        <v>567</v>
      </c>
      <c r="C26" s="140" t="s">
        <v>76</v>
      </c>
      <c r="D26" s="140">
        <v>25</v>
      </c>
      <c r="E26" s="140">
        <v>20</v>
      </c>
      <c r="F26" s="45">
        <f t="shared" si="0"/>
        <v>-5</v>
      </c>
      <c r="G26" s="48">
        <f t="shared" si="1"/>
        <v>0.8</v>
      </c>
    </row>
    <row r="27" spans="1:7">
      <c r="A27" s="45">
        <v>24</v>
      </c>
      <c r="B27" s="139" t="s">
        <v>568</v>
      </c>
      <c r="C27" s="140" t="s">
        <v>76</v>
      </c>
      <c r="D27" s="140">
        <v>25</v>
      </c>
      <c r="E27" s="140">
        <v>19</v>
      </c>
      <c r="F27" s="45">
        <f t="shared" si="0"/>
        <v>-6</v>
      </c>
      <c r="G27" s="48">
        <f t="shared" si="1"/>
        <v>0.76</v>
      </c>
    </row>
    <row r="28" spans="1:7">
      <c r="A28" s="45"/>
      <c r="B28" s="45" t="s">
        <v>50</v>
      </c>
      <c r="C28" s="45"/>
      <c r="D28" s="140">
        <v>570</v>
      </c>
      <c r="E28" s="45">
        <f>SUM(E4:E27)</f>
        <v>455</v>
      </c>
      <c r="F28" s="45"/>
      <c r="G28" s="48">
        <f t="shared" si="1"/>
        <v>0.79824561403508776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9FD4-C19D-40F3-88E7-D33EFDB03674}">
  <dimension ref="A1:G20"/>
  <sheetViews>
    <sheetView workbookViewId="0">
      <selection activeCell="I19" sqref="I19"/>
    </sheetView>
  </sheetViews>
  <sheetFormatPr defaultRowHeight="14.5"/>
  <cols>
    <col min="1" max="1" width="5.81640625" customWidth="1"/>
    <col min="2" max="2" width="27.4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569</v>
      </c>
      <c r="C4" s="140" t="s">
        <v>75</v>
      </c>
      <c r="D4" s="140">
        <v>35</v>
      </c>
      <c r="E4" s="140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9" t="s">
        <v>570</v>
      </c>
      <c r="C5" s="140" t="s">
        <v>76</v>
      </c>
      <c r="D5" s="140">
        <v>25</v>
      </c>
      <c r="E5" s="140">
        <v>25</v>
      </c>
      <c r="F5" s="45">
        <f t="shared" ref="F5:F19" si="0">E5-D5</f>
        <v>0</v>
      </c>
      <c r="G5" s="48">
        <f t="shared" ref="G5:G20" si="1">E5/D5*100%</f>
        <v>1</v>
      </c>
    </row>
    <row r="6" spans="1:7">
      <c r="A6" s="45">
        <v>3</v>
      </c>
      <c r="B6" s="139" t="s">
        <v>571</v>
      </c>
      <c r="C6" s="140" t="s">
        <v>76</v>
      </c>
      <c r="D6" s="140">
        <v>25</v>
      </c>
      <c r="E6" s="140">
        <v>22</v>
      </c>
      <c r="F6" s="45">
        <f t="shared" si="0"/>
        <v>-3</v>
      </c>
      <c r="G6" s="48">
        <f t="shared" si="1"/>
        <v>0.88</v>
      </c>
    </row>
    <row r="7" spans="1:7">
      <c r="A7" s="45">
        <v>4</v>
      </c>
      <c r="B7" s="139" t="s">
        <v>572</v>
      </c>
      <c r="C7" s="140" t="s">
        <v>76</v>
      </c>
      <c r="D7" s="140">
        <v>25</v>
      </c>
      <c r="E7" s="140">
        <v>16</v>
      </c>
      <c r="F7" s="45">
        <f t="shared" si="0"/>
        <v>-9</v>
      </c>
      <c r="G7" s="48">
        <f t="shared" si="1"/>
        <v>0.64</v>
      </c>
    </row>
    <row r="8" spans="1:7">
      <c r="A8" s="45">
        <v>5</v>
      </c>
      <c r="B8" s="139" t="s">
        <v>573</v>
      </c>
      <c r="C8" s="140" t="s">
        <v>76</v>
      </c>
      <c r="D8" s="140">
        <v>25</v>
      </c>
      <c r="E8" s="140">
        <v>15</v>
      </c>
      <c r="F8" s="45">
        <f t="shared" si="0"/>
        <v>-10</v>
      </c>
      <c r="G8" s="48">
        <f t="shared" si="1"/>
        <v>0.6</v>
      </c>
    </row>
    <row r="9" spans="1:7">
      <c r="A9" s="45">
        <v>6</v>
      </c>
      <c r="B9" s="139" t="s">
        <v>574</v>
      </c>
      <c r="C9" s="140" t="s">
        <v>76</v>
      </c>
      <c r="D9" s="140">
        <v>25</v>
      </c>
      <c r="E9" s="140">
        <v>6</v>
      </c>
      <c r="F9" s="45">
        <f t="shared" si="0"/>
        <v>-19</v>
      </c>
      <c r="G9" s="48">
        <f t="shared" si="1"/>
        <v>0.24</v>
      </c>
    </row>
    <row r="10" spans="1:7">
      <c r="A10" s="45">
        <v>7</v>
      </c>
      <c r="B10" s="139" t="s">
        <v>575</v>
      </c>
      <c r="C10" s="140" t="s">
        <v>76</v>
      </c>
      <c r="D10" s="140">
        <v>25</v>
      </c>
      <c r="E10" s="140">
        <v>6</v>
      </c>
      <c r="F10" s="45">
        <f t="shared" si="0"/>
        <v>-19</v>
      </c>
      <c r="G10" s="48">
        <f t="shared" si="1"/>
        <v>0.24</v>
      </c>
    </row>
    <row r="11" spans="1:7">
      <c r="A11" s="45">
        <v>8</v>
      </c>
      <c r="B11" s="139" t="s">
        <v>576</v>
      </c>
      <c r="C11" s="140" t="s">
        <v>76</v>
      </c>
      <c r="D11" s="140">
        <v>25</v>
      </c>
      <c r="E11" s="140">
        <v>17</v>
      </c>
      <c r="F11" s="45">
        <f t="shared" si="0"/>
        <v>-8</v>
      </c>
      <c r="G11" s="48">
        <f t="shared" si="1"/>
        <v>0.68</v>
      </c>
    </row>
    <row r="12" spans="1:7">
      <c r="A12" s="45">
        <v>9</v>
      </c>
      <c r="B12" s="139" t="s">
        <v>577</v>
      </c>
      <c r="C12" s="140" t="s">
        <v>75</v>
      </c>
      <c r="D12" s="140">
        <v>35</v>
      </c>
      <c r="E12" s="140">
        <v>0</v>
      </c>
      <c r="F12" s="45">
        <f t="shared" si="0"/>
        <v>-35</v>
      </c>
      <c r="G12" s="48">
        <f t="shared" si="1"/>
        <v>0</v>
      </c>
    </row>
    <row r="13" spans="1:7">
      <c r="A13" s="45">
        <v>10</v>
      </c>
      <c r="B13" s="139" t="s">
        <v>578</v>
      </c>
      <c r="C13" s="140" t="s">
        <v>76</v>
      </c>
      <c r="D13" s="140">
        <v>25</v>
      </c>
      <c r="E13" s="140">
        <v>17</v>
      </c>
      <c r="F13" s="45">
        <f t="shared" si="0"/>
        <v>-8</v>
      </c>
      <c r="G13" s="48">
        <f t="shared" si="1"/>
        <v>0.68</v>
      </c>
    </row>
    <row r="14" spans="1:7">
      <c r="A14" s="45">
        <v>11</v>
      </c>
      <c r="B14" s="139" t="s">
        <v>579</v>
      </c>
      <c r="C14" s="140" t="s">
        <v>76</v>
      </c>
      <c r="D14" s="140">
        <v>25</v>
      </c>
      <c r="E14" s="140">
        <v>26</v>
      </c>
      <c r="F14" s="45">
        <f t="shared" si="0"/>
        <v>1</v>
      </c>
      <c r="G14" s="48">
        <f t="shared" si="1"/>
        <v>1.04</v>
      </c>
    </row>
    <row r="15" spans="1:7">
      <c r="A15" s="45">
        <v>12</v>
      </c>
      <c r="B15" s="139" t="s">
        <v>580</v>
      </c>
      <c r="C15" s="140" t="s">
        <v>76</v>
      </c>
      <c r="D15" s="140">
        <v>25</v>
      </c>
      <c r="E15" s="140">
        <v>29</v>
      </c>
      <c r="F15" s="45">
        <f t="shared" si="0"/>
        <v>4</v>
      </c>
      <c r="G15" s="48">
        <f t="shared" si="1"/>
        <v>1.1599999999999999</v>
      </c>
    </row>
    <row r="16" spans="1:7">
      <c r="A16" s="45">
        <v>13</v>
      </c>
      <c r="B16" s="139" t="s">
        <v>581</v>
      </c>
      <c r="C16" s="140" t="s">
        <v>76</v>
      </c>
      <c r="D16" s="140">
        <v>25</v>
      </c>
      <c r="E16" s="140">
        <v>16</v>
      </c>
      <c r="F16" s="45">
        <f t="shared" si="0"/>
        <v>-9</v>
      </c>
      <c r="G16" s="48">
        <f t="shared" si="1"/>
        <v>0.64</v>
      </c>
    </row>
    <row r="17" spans="1:7">
      <c r="A17" s="45">
        <v>14</v>
      </c>
      <c r="B17" s="139" t="s">
        <v>582</v>
      </c>
      <c r="C17" s="140" t="s">
        <v>76</v>
      </c>
      <c r="D17" s="140">
        <v>25</v>
      </c>
      <c r="E17" s="140">
        <v>6</v>
      </c>
      <c r="F17" s="45">
        <f t="shared" si="0"/>
        <v>-19</v>
      </c>
      <c r="G17" s="48">
        <f t="shared" si="1"/>
        <v>0.24</v>
      </c>
    </row>
    <row r="18" spans="1:7">
      <c r="A18" s="45">
        <v>15</v>
      </c>
      <c r="B18" s="139" t="s">
        <v>583</v>
      </c>
      <c r="C18" s="140" t="s">
        <v>76</v>
      </c>
      <c r="D18" s="140">
        <v>25</v>
      </c>
      <c r="E18" s="140">
        <v>9</v>
      </c>
      <c r="F18" s="45">
        <f t="shared" si="0"/>
        <v>-16</v>
      </c>
      <c r="G18" s="48">
        <f t="shared" si="1"/>
        <v>0.36</v>
      </c>
    </row>
    <row r="19" spans="1:7">
      <c r="A19" s="45">
        <v>16</v>
      </c>
      <c r="B19" s="139" t="s">
        <v>584</v>
      </c>
      <c r="C19" s="140" t="s">
        <v>76</v>
      </c>
      <c r="D19" s="140">
        <v>25</v>
      </c>
      <c r="E19" s="140">
        <v>20</v>
      </c>
      <c r="F19" s="45">
        <f t="shared" si="0"/>
        <v>-5</v>
      </c>
      <c r="G19" s="48">
        <f t="shared" si="1"/>
        <v>0.8</v>
      </c>
    </row>
    <row r="20" spans="1:7">
      <c r="A20" s="45"/>
      <c r="B20" s="45" t="s">
        <v>50</v>
      </c>
      <c r="C20" s="45"/>
      <c r="D20" s="45">
        <v>380</v>
      </c>
      <c r="E20" s="45">
        <f>SUM(E4:E19)</f>
        <v>230</v>
      </c>
      <c r="F20" s="45"/>
      <c r="G20" s="48">
        <f t="shared" si="1"/>
        <v>0.60526315789473684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90CE-DE7C-4D9F-818A-9C39AC74916F}">
  <dimension ref="A1:G10"/>
  <sheetViews>
    <sheetView workbookViewId="0">
      <selection activeCell="J10" sqref="J10"/>
    </sheetView>
  </sheetViews>
  <sheetFormatPr defaultRowHeight="14.5"/>
  <cols>
    <col min="1" max="1" width="5.26953125" customWidth="1"/>
    <col min="2" max="2" width="25.36328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585</v>
      </c>
      <c r="C4" s="140" t="s">
        <v>75</v>
      </c>
      <c r="D4" s="140">
        <v>35</v>
      </c>
      <c r="E4" s="140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9" t="s">
        <v>586</v>
      </c>
      <c r="C5" s="140" t="s">
        <v>76</v>
      </c>
      <c r="D5" s="140">
        <v>25</v>
      </c>
      <c r="E5" s="140">
        <v>28</v>
      </c>
      <c r="F5" s="45">
        <f t="shared" ref="F5:F10" si="0">E5-D5</f>
        <v>3</v>
      </c>
      <c r="G5" s="48">
        <f t="shared" ref="G5:G10" si="1">E5/D5*100%</f>
        <v>1.1200000000000001</v>
      </c>
    </row>
    <row r="6" spans="1:7">
      <c r="A6" s="45">
        <v>3</v>
      </c>
      <c r="B6" s="139" t="s">
        <v>587</v>
      </c>
      <c r="C6" s="140" t="s">
        <v>76</v>
      </c>
      <c r="D6" s="140">
        <v>25</v>
      </c>
      <c r="E6" s="140">
        <v>25</v>
      </c>
      <c r="F6" s="45">
        <f t="shared" si="0"/>
        <v>0</v>
      </c>
      <c r="G6" s="48">
        <f t="shared" si="1"/>
        <v>1</v>
      </c>
    </row>
    <row r="7" spans="1:7">
      <c r="A7" s="45">
        <v>4</v>
      </c>
      <c r="B7" s="139" t="s">
        <v>588</v>
      </c>
      <c r="C7" s="140" t="s">
        <v>76</v>
      </c>
      <c r="D7" s="140">
        <v>25</v>
      </c>
      <c r="E7" s="140">
        <v>1</v>
      </c>
      <c r="F7" s="45">
        <f t="shared" si="0"/>
        <v>-24</v>
      </c>
      <c r="G7" s="48">
        <f t="shared" si="1"/>
        <v>0.04</v>
      </c>
    </row>
    <row r="8" spans="1:7">
      <c r="A8" s="45">
        <v>5</v>
      </c>
      <c r="B8" s="139" t="s">
        <v>589</v>
      </c>
      <c r="C8" s="140" t="s">
        <v>76</v>
      </c>
      <c r="D8" s="140">
        <v>25</v>
      </c>
      <c r="E8" s="140">
        <v>8</v>
      </c>
      <c r="F8" s="45">
        <f t="shared" si="0"/>
        <v>-17</v>
      </c>
      <c r="G8" s="48">
        <f t="shared" si="1"/>
        <v>0.32</v>
      </c>
    </row>
    <row r="9" spans="1:7">
      <c r="A9" s="45">
        <v>6</v>
      </c>
      <c r="B9" s="139" t="s">
        <v>590</v>
      </c>
      <c r="C9" s="140" t="s">
        <v>76</v>
      </c>
      <c r="D9" s="140">
        <v>25</v>
      </c>
      <c r="E9" s="140">
        <v>31</v>
      </c>
      <c r="F9" s="45">
        <f t="shared" si="0"/>
        <v>6</v>
      </c>
      <c r="G9" s="48">
        <f t="shared" si="1"/>
        <v>1.24</v>
      </c>
    </row>
    <row r="10" spans="1:7">
      <c r="A10" s="45"/>
      <c r="B10" s="45" t="s">
        <v>50</v>
      </c>
      <c r="C10" s="45"/>
      <c r="D10" s="45">
        <v>150</v>
      </c>
      <c r="E10" s="45">
        <f>SUM(E4:E9)</f>
        <v>93</v>
      </c>
      <c r="F10" s="45">
        <f t="shared" si="0"/>
        <v>-57</v>
      </c>
      <c r="G10" s="48">
        <f t="shared" si="1"/>
        <v>0.62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8349-D8BE-49F9-A4A6-C9B249F94D3E}">
  <dimension ref="A1:G9"/>
  <sheetViews>
    <sheetView workbookViewId="0">
      <selection activeCell="I9" sqref="I9"/>
    </sheetView>
  </sheetViews>
  <sheetFormatPr defaultRowHeight="14.5"/>
  <cols>
    <col min="1" max="1" width="4.26953125" customWidth="1"/>
    <col min="2" max="2" width="29.6328125" customWidth="1"/>
    <col min="6" max="6" width="8.7265625" style="155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39" t="s">
        <v>591</v>
      </c>
      <c r="C4" s="140" t="s">
        <v>76</v>
      </c>
      <c r="D4" s="140">
        <v>25</v>
      </c>
      <c r="E4" s="140">
        <v>5</v>
      </c>
      <c r="F4" s="154">
        <f>E4-D4</f>
        <v>-20</v>
      </c>
      <c r="G4" s="48">
        <f>E4/D4*100%</f>
        <v>0.2</v>
      </c>
    </row>
    <row r="5" spans="1:7">
      <c r="A5" s="45">
        <v>2</v>
      </c>
      <c r="B5" s="139" t="s">
        <v>592</v>
      </c>
      <c r="C5" s="140" t="s">
        <v>76</v>
      </c>
      <c r="D5" s="140">
        <v>25</v>
      </c>
      <c r="E5" s="140">
        <v>3</v>
      </c>
      <c r="F5" s="154">
        <f t="shared" ref="F5:F9" si="0">E5-D5</f>
        <v>-22</v>
      </c>
      <c r="G5" s="48">
        <f t="shared" ref="G5:G9" si="1">E5/D5*100%</f>
        <v>0.12</v>
      </c>
    </row>
    <row r="6" spans="1:7">
      <c r="A6" s="45">
        <v>3</v>
      </c>
      <c r="B6" s="139" t="s">
        <v>593</v>
      </c>
      <c r="C6" s="140" t="s">
        <v>76</v>
      </c>
      <c r="D6" s="140">
        <v>25</v>
      </c>
      <c r="E6" s="140">
        <v>1</v>
      </c>
      <c r="F6" s="154">
        <f t="shared" si="0"/>
        <v>-24</v>
      </c>
      <c r="G6" s="48">
        <f t="shared" si="1"/>
        <v>0.04</v>
      </c>
    </row>
    <row r="7" spans="1:7">
      <c r="A7" s="45">
        <v>4</v>
      </c>
      <c r="B7" s="139" t="s">
        <v>594</v>
      </c>
      <c r="C7" s="140" t="s">
        <v>76</v>
      </c>
      <c r="D7" s="140">
        <v>25</v>
      </c>
      <c r="E7" s="140">
        <v>3</v>
      </c>
      <c r="F7" s="154">
        <f t="shared" si="0"/>
        <v>-22</v>
      </c>
      <c r="G7" s="48">
        <f t="shared" si="1"/>
        <v>0.12</v>
      </c>
    </row>
    <row r="8" spans="1:7">
      <c r="A8" s="45">
        <v>5</v>
      </c>
      <c r="B8" s="139" t="s">
        <v>595</v>
      </c>
      <c r="C8" s="140" t="s">
        <v>76</v>
      </c>
      <c r="D8" s="140">
        <v>25</v>
      </c>
      <c r="E8" s="140">
        <v>2</v>
      </c>
      <c r="F8" s="154">
        <f t="shared" si="0"/>
        <v>-23</v>
      </c>
      <c r="G8" s="48">
        <f t="shared" si="1"/>
        <v>0.08</v>
      </c>
    </row>
    <row r="9" spans="1:7">
      <c r="A9" s="45"/>
      <c r="B9" s="45" t="s">
        <v>50</v>
      </c>
      <c r="C9" s="45"/>
      <c r="D9" s="45">
        <v>150</v>
      </c>
      <c r="E9" s="45">
        <f>SUM(E4:E8)</f>
        <v>14</v>
      </c>
      <c r="F9" s="154">
        <f t="shared" si="0"/>
        <v>-136</v>
      </c>
      <c r="G9" s="48">
        <f t="shared" si="1"/>
        <v>9.3333333333333338E-2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66D6-5C58-44F3-9052-2718C879143E}">
  <dimension ref="A1:G10"/>
  <sheetViews>
    <sheetView workbookViewId="0">
      <selection activeCell="I5" sqref="I5"/>
    </sheetView>
  </sheetViews>
  <sheetFormatPr defaultRowHeight="14.5"/>
  <cols>
    <col min="1" max="1" width="4.90625" customWidth="1"/>
    <col min="2" max="2" width="28.4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596</v>
      </c>
      <c r="C4" s="140" t="s">
        <v>75</v>
      </c>
      <c r="D4" s="140">
        <v>35</v>
      </c>
      <c r="E4" s="140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9" t="s">
        <v>597</v>
      </c>
      <c r="C5" s="140" t="s">
        <v>76</v>
      </c>
      <c r="D5" s="140">
        <v>25</v>
      </c>
      <c r="E5" s="140">
        <v>9</v>
      </c>
      <c r="F5" s="45">
        <f t="shared" ref="F5:F10" si="0">E5-D5</f>
        <v>-16</v>
      </c>
      <c r="G5" s="48">
        <f t="shared" ref="G5:G10" si="1">E5/D5*100%</f>
        <v>0.36</v>
      </c>
    </row>
    <row r="6" spans="1:7">
      <c r="A6" s="45">
        <v>3</v>
      </c>
      <c r="B6" s="139" t="s">
        <v>598</v>
      </c>
      <c r="C6" s="140" t="s">
        <v>76</v>
      </c>
      <c r="D6" s="140">
        <v>25</v>
      </c>
      <c r="E6" s="140">
        <v>0</v>
      </c>
      <c r="F6" s="45">
        <f t="shared" si="0"/>
        <v>-25</v>
      </c>
      <c r="G6" s="48">
        <f t="shared" si="1"/>
        <v>0</v>
      </c>
    </row>
    <row r="7" spans="1:7">
      <c r="A7" s="45">
        <v>4</v>
      </c>
      <c r="B7" s="139" t="s">
        <v>599</v>
      </c>
      <c r="C7" s="140" t="s">
        <v>76</v>
      </c>
      <c r="D7" s="140">
        <v>25</v>
      </c>
      <c r="E7" s="140">
        <v>13</v>
      </c>
      <c r="F7" s="45">
        <f t="shared" si="0"/>
        <v>-12</v>
      </c>
      <c r="G7" s="48">
        <f t="shared" si="1"/>
        <v>0.52</v>
      </c>
    </row>
    <row r="8" spans="1:7">
      <c r="A8" s="45">
        <v>5</v>
      </c>
      <c r="B8" s="139" t="s">
        <v>600</v>
      </c>
      <c r="C8" s="140" t="s">
        <v>76</v>
      </c>
      <c r="D8" s="140">
        <v>25</v>
      </c>
      <c r="E8" s="140">
        <v>17</v>
      </c>
      <c r="F8" s="45">
        <f t="shared" si="0"/>
        <v>-8</v>
      </c>
      <c r="G8" s="48">
        <f t="shared" si="1"/>
        <v>0.68</v>
      </c>
    </row>
    <row r="9" spans="1:7">
      <c r="A9" s="45">
        <v>6</v>
      </c>
      <c r="B9" s="139" t="s">
        <v>601</v>
      </c>
      <c r="C9" s="140" t="s">
        <v>76</v>
      </c>
      <c r="D9" s="140">
        <v>25</v>
      </c>
      <c r="E9" s="140">
        <v>0</v>
      </c>
      <c r="F9" s="45">
        <f t="shared" si="0"/>
        <v>-25</v>
      </c>
      <c r="G9" s="48">
        <f t="shared" si="1"/>
        <v>0</v>
      </c>
    </row>
    <row r="10" spans="1:7">
      <c r="A10" s="45"/>
      <c r="B10" s="45" t="s">
        <v>50</v>
      </c>
      <c r="C10" s="45"/>
      <c r="D10" s="45">
        <v>150</v>
      </c>
      <c r="E10" s="45">
        <f>SUM(E4:E9)</f>
        <v>39</v>
      </c>
      <c r="F10" s="45">
        <f t="shared" si="0"/>
        <v>-111</v>
      </c>
      <c r="G10" s="48">
        <f t="shared" si="1"/>
        <v>0.26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CAFF-C678-492B-8186-EB03D74B3B99}">
  <dimension ref="A1:G26"/>
  <sheetViews>
    <sheetView topLeftCell="A19" workbookViewId="0">
      <selection activeCell="I19" sqref="I19"/>
    </sheetView>
  </sheetViews>
  <sheetFormatPr defaultRowHeight="14.5"/>
  <cols>
    <col min="1" max="1" width="4.90625" customWidth="1"/>
    <col min="2" max="2" width="25.269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31" t="s">
        <v>361</v>
      </c>
      <c r="C4" s="45" t="s">
        <v>75</v>
      </c>
      <c r="D4" s="132">
        <v>35</v>
      </c>
      <c r="E4" s="132">
        <v>1</v>
      </c>
      <c r="F4" s="45">
        <f>E4-D4</f>
        <v>-34</v>
      </c>
      <c r="G4" s="48">
        <f>E4/D4*100%</f>
        <v>2.8571428571428571E-2</v>
      </c>
    </row>
    <row r="5" spans="1:7">
      <c r="A5" s="45">
        <v>2</v>
      </c>
      <c r="B5" s="131" t="s">
        <v>362</v>
      </c>
      <c r="C5" s="45" t="s">
        <v>76</v>
      </c>
      <c r="D5" s="132">
        <v>25</v>
      </c>
      <c r="E5" s="132">
        <v>52</v>
      </c>
      <c r="F5" s="45">
        <f t="shared" ref="F5:F26" si="0">E5-D5</f>
        <v>27</v>
      </c>
      <c r="G5" s="48">
        <f t="shared" ref="G5:G26" si="1">E5/D5*100%</f>
        <v>2.08</v>
      </c>
    </row>
    <row r="6" spans="1:7">
      <c r="A6" s="45">
        <v>3</v>
      </c>
      <c r="B6" s="131" t="s">
        <v>363</v>
      </c>
      <c r="C6" s="45" t="s">
        <v>76</v>
      </c>
      <c r="D6" s="132">
        <v>25</v>
      </c>
      <c r="E6" s="132">
        <v>18</v>
      </c>
      <c r="F6" s="45">
        <f t="shared" si="0"/>
        <v>-7</v>
      </c>
      <c r="G6" s="48">
        <f t="shared" si="1"/>
        <v>0.72</v>
      </c>
    </row>
    <row r="7" spans="1:7">
      <c r="A7" s="45">
        <v>4</v>
      </c>
      <c r="B7" s="131" t="s">
        <v>364</v>
      </c>
      <c r="C7" s="45" t="s">
        <v>76</v>
      </c>
      <c r="D7" s="132">
        <v>25</v>
      </c>
      <c r="E7" s="132">
        <v>19</v>
      </c>
      <c r="F7" s="45">
        <f t="shared" si="0"/>
        <v>-6</v>
      </c>
      <c r="G7" s="48">
        <f t="shared" si="1"/>
        <v>0.76</v>
      </c>
    </row>
    <row r="8" spans="1:7">
      <c r="A8" s="45">
        <v>5</v>
      </c>
      <c r="B8" s="131" t="s">
        <v>365</v>
      </c>
      <c r="C8" s="45" t="s">
        <v>76</v>
      </c>
      <c r="D8" s="132">
        <v>25</v>
      </c>
      <c r="E8" s="132">
        <v>37</v>
      </c>
      <c r="F8" s="45">
        <f t="shared" si="0"/>
        <v>12</v>
      </c>
      <c r="G8" s="48">
        <f t="shared" si="1"/>
        <v>1.48</v>
      </c>
    </row>
    <row r="9" spans="1:7">
      <c r="A9" s="45">
        <v>6</v>
      </c>
      <c r="B9" s="131" t="s">
        <v>366</v>
      </c>
      <c r="C9" s="45" t="s">
        <v>76</v>
      </c>
      <c r="D9" s="132">
        <v>25</v>
      </c>
      <c r="E9" s="132">
        <v>30</v>
      </c>
      <c r="F9" s="45">
        <f t="shared" si="0"/>
        <v>5</v>
      </c>
      <c r="G9" s="48">
        <f t="shared" si="1"/>
        <v>1.2</v>
      </c>
    </row>
    <row r="10" spans="1:7">
      <c r="A10" s="45">
        <v>7</v>
      </c>
      <c r="B10" s="131" t="s">
        <v>367</v>
      </c>
      <c r="C10" s="45" t="s">
        <v>75</v>
      </c>
      <c r="D10" s="132">
        <v>35</v>
      </c>
      <c r="E10" s="132">
        <v>2</v>
      </c>
      <c r="F10" s="45">
        <f t="shared" si="0"/>
        <v>-33</v>
      </c>
      <c r="G10" s="48">
        <f t="shared" si="1"/>
        <v>5.7142857142857141E-2</v>
      </c>
    </row>
    <row r="11" spans="1:7">
      <c r="A11" s="45">
        <v>8</v>
      </c>
      <c r="B11" s="131" t="s">
        <v>368</v>
      </c>
      <c r="C11" s="45" t="s">
        <v>76</v>
      </c>
      <c r="D11" s="132">
        <v>25</v>
      </c>
      <c r="E11" s="132">
        <v>22</v>
      </c>
      <c r="F11" s="45">
        <f t="shared" si="0"/>
        <v>-3</v>
      </c>
      <c r="G11" s="48">
        <f t="shared" si="1"/>
        <v>0.88</v>
      </c>
    </row>
    <row r="12" spans="1:7">
      <c r="A12" s="45">
        <v>9</v>
      </c>
      <c r="B12" s="131" t="s">
        <v>369</v>
      </c>
      <c r="C12" s="45" t="s">
        <v>76</v>
      </c>
      <c r="D12" s="132">
        <v>25</v>
      </c>
      <c r="E12" s="132">
        <v>15</v>
      </c>
      <c r="F12" s="45">
        <f t="shared" si="0"/>
        <v>-10</v>
      </c>
      <c r="G12" s="48">
        <f t="shared" si="1"/>
        <v>0.6</v>
      </c>
    </row>
    <row r="13" spans="1:7">
      <c r="A13" s="45">
        <v>10</v>
      </c>
      <c r="B13" s="131" t="s">
        <v>370</v>
      </c>
      <c r="C13" s="45" t="s">
        <v>76</v>
      </c>
      <c r="D13" s="132">
        <v>25</v>
      </c>
      <c r="E13" s="132">
        <v>25</v>
      </c>
      <c r="F13" s="45">
        <f t="shared" si="0"/>
        <v>0</v>
      </c>
      <c r="G13" s="48">
        <f t="shared" si="1"/>
        <v>1</v>
      </c>
    </row>
    <row r="14" spans="1:7">
      <c r="A14" s="45">
        <v>11</v>
      </c>
      <c r="B14" s="131" t="s">
        <v>371</v>
      </c>
      <c r="C14" s="45" t="s">
        <v>76</v>
      </c>
      <c r="D14" s="132">
        <v>25</v>
      </c>
      <c r="E14" s="132">
        <v>26</v>
      </c>
      <c r="F14" s="45">
        <f t="shared" si="0"/>
        <v>1</v>
      </c>
      <c r="G14" s="48">
        <f t="shared" si="1"/>
        <v>1.04</v>
      </c>
    </row>
    <row r="15" spans="1:7">
      <c r="A15" s="45">
        <v>12</v>
      </c>
      <c r="B15" s="131" t="s">
        <v>372</v>
      </c>
      <c r="C15" s="45" t="s">
        <v>76</v>
      </c>
      <c r="D15" s="132">
        <v>25</v>
      </c>
      <c r="E15" s="132">
        <v>17</v>
      </c>
      <c r="F15" s="45">
        <f t="shared" si="0"/>
        <v>-8</v>
      </c>
      <c r="G15" s="48">
        <f t="shared" si="1"/>
        <v>0.68</v>
      </c>
    </row>
    <row r="16" spans="1:7">
      <c r="A16" s="45">
        <v>13</v>
      </c>
      <c r="B16" s="131" t="s">
        <v>373</v>
      </c>
      <c r="C16" s="45" t="s">
        <v>75</v>
      </c>
      <c r="D16" s="132">
        <v>35</v>
      </c>
      <c r="E16" s="132">
        <v>2</v>
      </c>
      <c r="F16" s="45">
        <f t="shared" si="0"/>
        <v>-33</v>
      </c>
      <c r="G16" s="48">
        <f t="shared" si="1"/>
        <v>5.7142857142857141E-2</v>
      </c>
    </row>
    <row r="17" spans="1:7">
      <c r="A17" s="45">
        <v>14</v>
      </c>
      <c r="B17" s="131" t="s">
        <v>374</v>
      </c>
      <c r="C17" s="45" t="s">
        <v>76</v>
      </c>
      <c r="D17" s="132">
        <v>25</v>
      </c>
      <c r="E17" s="132">
        <v>20</v>
      </c>
      <c r="F17" s="45">
        <f t="shared" si="0"/>
        <v>-5</v>
      </c>
      <c r="G17" s="48">
        <f t="shared" si="1"/>
        <v>0.8</v>
      </c>
    </row>
    <row r="18" spans="1:7">
      <c r="A18" s="45">
        <v>15</v>
      </c>
      <c r="B18" s="131" t="s">
        <v>375</v>
      </c>
      <c r="C18" s="45" t="s">
        <v>76</v>
      </c>
      <c r="D18" s="132">
        <v>25</v>
      </c>
      <c r="E18" s="132">
        <v>31</v>
      </c>
      <c r="F18" s="45">
        <f t="shared" si="0"/>
        <v>6</v>
      </c>
      <c r="G18" s="48">
        <f t="shared" si="1"/>
        <v>1.24</v>
      </c>
    </row>
    <row r="19" spans="1:7">
      <c r="A19" s="45">
        <v>16</v>
      </c>
      <c r="B19" s="131" t="s">
        <v>376</v>
      </c>
      <c r="C19" s="45" t="s">
        <v>76</v>
      </c>
      <c r="D19" s="132">
        <v>25</v>
      </c>
      <c r="E19" s="132">
        <v>27</v>
      </c>
      <c r="F19" s="45">
        <f t="shared" si="0"/>
        <v>2</v>
      </c>
      <c r="G19" s="48">
        <f t="shared" si="1"/>
        <v>1.08</v>
      </c>
    </row>
    <row r="20" spans="1:7">
      <c r="A20" s="45">
        <v>17</v>
      </c>
      <c r="B20" s="131" t="s">
        <v>377</v>
      </c>
      <c r="C20" s="45" t="s">
        <v>76</v>
      </c>
      <c r="D20" s="132">
        <v>25</v>
      </c>
      <c r="E20" s="132">
        <v>26</v>
      </c>
      <c r="F20" s="45">
        <f t="shared" si="0"/>
        <v>1</v>
      </c>
      <c r="G20" s="48">
        <f t="shared" si="1"/>
        <v>1.04</v>
      </c>
    </row>
    <row r="21" spans="1:7">
      <c r="A21" s="45">
        <v>18</v>
      </c>
      <c r="B21" s="131" t="s">
        <v>378</v>
      </c>
      <c r="C21" s="45" t="s">
        <v>76</v>
      </c>
      <c r="D21" s="132">
        <v>25</v>
      </c>
      <c r="E21" s="132">
        <v>20</v>
      </c>
      <c r="F21" s="45">
        <f t="shared" si="0"/>
        <v>-5</v>
      </c>
      <c r="G21" s="48">
        <f t="shared" si="1"/>
        <v>0.8</v>
      </c>
    </row>
    <row r="22" spans="1:7">
      <c r="A22" s="45">
        <v>19</v>
      </c>
      <c r="B22" s="131" t="s">
        <v>379</v>
      </c>
      <c r="C22" s="45" t="s">
        <v>76</v>
      </c>
      <c r="D22" s="132">
        <v>25</v>
      </c>
      <c r="E22" s="132">
        <v>20</v>
      </c>
      <c r="F22" s="45">
        <f t="shared" si="0"/>
        <v>-5</v>
      </c>
      <c r="G22" s="48">
        <f t="shared" si="1"/>
        <v>0.8</v>
      </c>
    </row>
    <row r="23" spans="1:7">
      <c r="A23" s="45">
        <v>20</v>
      </c>
      <c r="B23" s="131" t="s">
        <v>380</v>
      </c>
      <c r="C23" s="45" t="s">
        <v>76</v>
      </c>
      <c r="D23" s="132">
        <v>25</v>
      </c>
      <c r="E23" s="132">
        <v>20</v>
      </c>
      <c r="F23" s="45">
        <f t="shared" si="0"/>
        <v>-5</v>
      </c>
      <c r="G23" s="48">
        <f t="shared" si="1"/>
        <v>0.8</v>
      </c>
    </row>
    <row r="24" spans="1:7">
      <c r="A24" s="45">
        <v>21</v>
      </c>
      <c r="B24" s="131" t="s">
        <v>381</v>
      </c>
      <c r="C24" s="45" t="s">
        <v>76</v>
      </c>
      <c r="D24" s="132">
        <v>25</v>
      </c>
      <c r="E24" s="132">
        <v>25</v>
      </c>
      <c r="F24" s="45">
        <f t="shared" si="0"/>
        <v>0</v>
      </c>
      <c r="G24" s="48">
        <f t="shared" si="1"/>
        <v>1</v>
      </c>
    </row>
    <row r="25" spans="1:7">
      <c r="A25" s="45">
        <v>22</v>
      </c>
      <c r="B25" s="131" t="s">
        <v>382</v>
      </c>
      <c r="C25" s="45" t="s">
        <v>76</v>
      </c>
      <c r="D25" s="132">
        <v>25</v>
      </c>
      <c r="E25" s="132">
        <v>20</v>
      </c>
      <c r="F25" s="45">
        <f t="shared" si="0"/>
        <v>-5</v>
      </c>
      <c r="G25" s="48">
        <f t="shared" si="1"/>
        <v>0.8</v>
      </c>
    </row>
    <row r="26" spans="1:7">
      <c r="A26" s="45"/>
      <c r="B26" s="50" t="s">
        <v>50</v>
      </c>
      <c r="C26" s="50"/>
      <c r="D26" s="133">
        <v>530</v>
      </c>
      <c r="E26" s="50">
        <f>SUM(E4:E25)</f>
        <v>475</v>
      </c>
      <c r="F26" s="50">
        <f t="shared" si="0"/>
        <v>-55</v>
      </c>
      <c r="G26" s="58">
        <f t="shared" si="1"/>
        <v>0.89622641509433965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844C-7AE3-4970-B645-E6D7985C85F3}">
  <dimension ref="A1:G12"/>
  <sheetViews>
    <sheetView workbookViewId="0">
      <selection activeCell="I9" sqref="I9"/>
    </sheetView>
  </sheetViews>
  <sheetFormatPr defaultRowHeight="14.5"/>
  <cols>
    <col min="1" max="1" width="5.1796875" customWidth="1"/>
    <col min="2" max="2" width="40.542968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34" t="s">
        <v>383</v>
      </c>
      <c r="C4" s="45" t="s">
        <v>75</v>
      </c>
      <c r="D4" s="135">
        <v>35</v>
      </c>
      <c r="E4" s="135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4" t="s">
        <v>384</v>
      </c>
      <c r="C5" s="45" t="s">
        <v>76</v>
      </c>
      <c r="D5" s="135">
        <v>25</v>
      </c>
      <c r="E5" s="135">
        <v>25</v>
      </c>
      <c r="F5" s="45">
        <f t="shared" ref="F5:F12" si="0">E5-D5</f>
        <v>0</v>
      </c>
      <c r="G5" s="48">
        <f t="shared" ref="G5:G12" si="1">E5/D5*100%</f>
        <v>1</v>
      </c>
    </row>
    <row r="6" spans="1:7">
      <c r="A6" s="45">
        <v>3</v>
      </c>
      <c r="B6" s="134" t="s">
        <v>385</v>
      </c>
      <c r="C6" s="45" t="s">
        <v>76</v>
      </c>
      <c r="D6" s="135">
        <v>25</v>
      </c>
      <c r="E6" s="135">
        <v>24</v>
      </c>
      <c r="F6" s="45">
        <f t="shared" si="0"/>
        <v>-1</v>
      </c>
      <c r="G6" s="48">
        <f t="shared" si="1"/>
        <v>0.96</v>
      </c>
    </row>
    <row r="7" spans="1:7">
      <c r="A7" s="45">
        <v>4</v>
      </c>
      <c r="B7" s="134" t="s">
        <v>386</v>
      </c>
      <c r="C7" s="45" t="s">
        <v>76</v>
      </c>
      <c r="D7" s="135">
        <v>25</v>
      </c>
      <c r="E7" s="135">
        <v>29</v>
      </c>
      <c r="F7" s="45">
        <f t="shared" si="0"/>
        <v>4</v>
      </c>
      <c r="G7" s="48">
        <f t="shared" si="1"/>
        <v>1.1599999999999999</v>
      </c>
    </row>
    <row r="8" spans="1:7">
      <c r="A8" s="45">
        <v>5</v>
      </c>
      <c r="B8" s="134" t="s">
        <v>387</v>
      </c>
      <c r="C8" s="45" t="s">
        <v>76</v>
      </c>
      <c r="D8" s="135">
        <v>25</v>
      </c>
      <c r="E8" s="135">
        <v>26</v>
      </c>
      <c r="F8" s="45">
        <f t="shared" si="0"/>
        <v>1</v>
      </c>
      <c r="G8" s="48">
        <f t="shared" si="1"/>
        <v>1.04</v>
      </c>
    </row>
    <row r="9" spans="1:7">
      <c r="A9" s="45">
        <v>6</v>
      </c>
      <c r="B9" s="134" t="s">
        <v>388</v>
      </c>
      <c r="C9" s="45" t="s">
        <v>76</v>
      </c>
      <c r="D9" s="135">
        <v>25</v>
      </c>
      <c r="E9" s="135">
        <v>6</v>
      </c>
      <c r="F9" s="45">
        <f t="shared" si="0"/>
        <v>-19</v>
      </c>
      <c r="G9" s="48">
        <f t="shared" si="1"/>
        <v>0.24</v>
      </c>
    </row>
    <row r="10" spans="1:7">
      <c r="A10" s="45">
        <v>7</v>
      </c>
      <c r="B10" s="134" t="s">
        <v>389</v>
      </c>
      <c r="C10" s="45" t="s">
        <v>76</v>
      </c>
      <c r="D10" s="135">
        <v>25</v>
      </c>
      <c r="E10" s="135">
        <v>1</v>
      </c>
      <c r="F10" s="45">
        <f t="shared" si="0"/>
        <v>-24</v>
      </c>
      <c r="G10" s="48">
        <f t="shared" si="1"/>
        <v>0.04</v>
      </c>
    </row>
    <row r="11" spans="1:7">
      <c r="A11" s="45">
        <v>8</v>
      </c>
      <c r="B11" s="134" t="s">
        <v>390</v>
      </c>
      <c r="C11" s="45" t="s">
        <v>76</v>
      </c>
      <c r="D11" s="135">
        <v>25</v>
      </c>
      <c r="E11" s="135">
        <v>3</v>
      </c>
      <c r="F11" s="45">
        <f t="shared" si="0"/>
        <v>-22</v>
      </c>
      <c r="G11" s="48">
        <f t="shared" si="1"/>
        <v>0.12</v>
      </c>
    </row>
    <row r="12" spans="1:7">
      <c r="A12" s="45"/>
      <c r="B12" s="50" t="s">
        <v>50</v>
      </c>
      <c r="C12" s="50"/>
      <c r="D12" s="50">
        <v>190</v>
      </c>
      <c r="E12" s="50">
        <f>SUM(E4:E11)</f>
        <v>114</v>
      </c>
      <c r="F12" s="50">
        <f t="shared" si="0"/>
        <v>-76</v>
      </c>
      <c r="G12" s="58">
        <f t="shared" si="1"/>
        <v>0.6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D765-F780-4172-86C1-813ED5A6D4EE}">
  <dimension ref="A1:G24"/>
  <sheetViews>
    <sheetView workbookViewId="0">
      <selection activeCell="I6" sqref="I6"/>
    </sheetView>
  </sheetViews>
  <sheetFormatPr defaultRowHeight="14.5"/>
  <cols>
    <col min="1" max="1" width="6.08984375" customWidth="1"/>
    <col min="2" max="2" width="23.269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8">
        <v>1</v>
      </c>
      <c r="B4" s="136" t="s">
        <v>391</v>
      </c>
      <c r="C4" s="8" t="s">
        <v>75</v>
      </c>
      <c r="D4" s="137">
        <v>35</v>
      </c>
      <c r="E4" s="137">
        <v>1</v>
      </c>
      <c r="F4" s="8">
        <f>E4-D4</f>
        <v>-34</v>
      </c>
      <c r="G4" s="19">
        <f>E4/D4*100%</f>
        <v>2.8571428571428571E-2</v>
      </c>
    </row>
    <row r="5" spans="1:7">
      <c r="A5" s="8">
        <v>2</v>
      </c>
      <c r="B5" s="136" t="s">
        <v>392</v>
      </c>
      <c r="C5" s="8" t="s">
        <v>76</v>
      </c>
      <c r="D5" s="137">
        <v>25</v>
      </c>
      <c r="E5" s="137">
        <v>29</v>
      </c>
      <c r="F5" s="8">
        <f t="shared" ref="F5:F24" si="0">E5-D5</f>
        <v>4</v>
      </c>
      <c r="G5" s="19">
        <f t="shared" ref="G5:G24" si="1">E5/D5*100%</f>
        <v>1.1599999999999999</v>
      </c>
    </row>
    <row r="6" spans="1:7">
      <c r="A6" s="8">
        <v>3</v>
      </c>
      <c r="B6" s="136" t="s">
        <v>393</v>
      </c>
      <c r="C6" s="8" t="s">
        <v>76</v>
      </c>
      <c r="D6" s="137">
        <v>25</v>
      </c>
      <c r="E6" s="137">
        <v>20</v>
      </c>
      <c r="F6" s="8">
        <f t="shared" si="0"/>
        <v>-5</v>
      </c>
      <c r="G6" s="19">
        <f t="shared" si="1"/>
        <v>0.8</v>
      </c>
    </row>
    <row r="7" spans="1:7">
      <c r="A7" s="8">
        <v>4</v>
      </c>
      <c r="B7" s="136" t="s">
        <v>394</v>
      </c>
      <c r="C7" s="8" t="s">
        <v>76</v>
      </c>
      <c r="D7" s="137">
        <v>25</v>
      </c>
      <c r="E7" s="137">
        <v>21</v>
      </c>
      <c r="F7" s="8">
        <f t="shared" si="0"/>
        <v>-4</v>
      </c>
      <c r="G7" s="19">
        <f t="shared" si="1"/>
        <v>0.84</v>
      </c>
    </row>
    <row r="8" spans="1:7">
      <c r="A8" s="8">
        <v>5</v>
      </c>
      <c r="B8" s="136" t="s">
        <v>395</v>
      </c>
      <c r="C8" s="8" t="s">
        <v>76</v>
      </c>
      <c r="D8" s="137">
        <v>25</v>
      </c>
      <c r="E8" s="137">
        <v>13</v>
      </c>
      <c r="F8" s="8">
        <f t="shared" si="0"/>
        <v>-12</v>
      </c>
      <c r="G8" s="19">
        <f t="shared" si="1"/>
        <v>0.52</v>
      </c>
    </row>
    <row r="9" spans="1:7">
      <c r="A9" s="8">
        <v>6</v>
      </c>
      <c r="B9" s="136" t="s">
        <v>396</v>
      </c>
      <c r="C9" s="8" t="s">
        <v>76</v>
      </c>
      <c r="D9" s="137">
        <v>25</v>
      </c>
      <c r="E9" s="137">
        <v>29</v>
      </c>
      <c r="F9" s="8">
        <f t="shared" si="0"/>
        <v>4</v>
      </c>
      <c r="G9" s="19">
        <f t="shared" si="1"/>
        <v>1.1599999999999999</v>
      </c>
    </row>
    <row r="10" spans="1:7">
      <c r="A10" s="8">
        <v>7</v>
      </c>
      <c r="B10" s="136" t="s">
        <v>397</v>
      </c>
      <c r="C10" s="8" t="s">
        <v>76</v>
      </c>
      <c r="D10" s="137">
        <v>25</v>
      </c>
      <c r="E10" s="137">
        <v>10</v>
      </c>
      <c r="F10" s="8">
        <f t="shared" si="0"/>
        <v>-15</v>
      </c>
      <c r="G10" s="19">
        <f t="shared" si="1"/>
        <v>0.4</v>
      </c>
    </row>
    <row r="11" spans="1:7">
      <c r="A11" s="8">
        <v>8</v>
      </c>
      <c r="B11" s="136" t="s">
        <v>398</v>
      </c>
      <c r="C11" s="8" t="s">
        <v>76</v>
      </c>
      <c r="D11" s="137">
        <v>25</v>
      </c>
      <c r="E11" s="137">
        <v>29</v>
      </c>
      <c r="F11" s="8">
        <f t="shared" si="0"/>
        <v>4</v>
      </c>
      <c r="G11" s="19">
        <f t="shared" si="1"/>
        <v>1.1599999999999999</v>
      </c>
    </row>
    <row r="12" spans="1:7">
      <c r="A12" s="8">
        <v>9</v>
      </c>
      <c r="B12" s="136" t="s">
        <v>399</v>
      </c>
      <c r="C12" s="8" t="s">
        <v>75</v>
      </c>
      <c r="D12" s="137">
        <v>35</v>
      </c>
      <c r="E12" s="137">
        <v>0</v>
      </c>
      <c r="F12" s="8">
        <f t="shared" si="0"/>
        <v>-35</v>
      </c>
      <c r="G12" s="19">
        <f t="shared" si="1"/>
        <v>0</v>
      </c>
    </row>
    <row r="13" spans="1:7">
      <c r="A13" s="8">
        <v>10</v>
      </c>
      <c r="B13" s="136" t="s">
        <v>400</v>
      </c>
      <c r="C13" s="8" t="s">
        <v>76</v>
      </c>
      <c r="D13" s="137">
        <v>25</v>
      </c>
      <c r="E13" s="137">
        <v>18</v>
      </c>
      <c r="F13" s="8">
        <f t="shared" si="0"/>
        <v>-7</v>
      </c>
      <c r="G13" s="19">
        <f t="shared" si="1"/>
        <v>0.72</v>
      </c>
    </row>
    <row r="14" spans="1:7">
      <c r="A14" s="8">
        <v>11</v>
      </c>
      <c r="B14" s="136" t="s">
        <v>401</v>
      </c>
      <c r="C14" s="8" t="s">
        <v>76</v>
      </c>
      <c r="D14" s="137">
        <v>25</v>
      </c>
      <c r="E14" s="137">
        <v>28</v>
      </c>
      <c r="F14" s="8">
        <f t="shared" si="0"/>
        <v>3</v>
      </c>
      <c r="G14" s="19">
        <f t="shared" si="1"/>
        <v>1.1200000000000001</v>
      </c>
    </row>
    <row r="15" spans="1:7">
      <c r="A15" s="8">
        <v>12</v>
      </c>
      <c r="B15" s="136" t="s">
        <v>402</v>
      </c>
      <c r="C15" s="8" t="s">
        <v>76</v>
      </c>
      <c r="D15" s="137">
        <v>25</v>
      </c>
      <c r="E15" s="137">
        <v>34</v>
      </c>
      <c r="F15" s="8">
        <f t="shared" si="0"/>
        <v>9</v>
      </c>
      <c r="G15" s="19">
        <f t="shared" si="1"/>
        <v>1.36</v>
      </c>
    </row>
    <row r="16" spans="1:7">
      <c r="A16" s="8">
        <v>13</v>
      </c>
      <c r="B16" s="136" t="s">
        <v>403</v>
      </c>
      <c r="C16" s="8" t="s">
        <v>76</v>
      </c>
      <c r="D16" s="137">
        <v>25</v>
      </c>
      <c r="E16" s="137">
        <v>22</v>
      </c>
      <c r="F16" s="8">
        <f t="shared" si="0"/>
        <v>-3</v>
      </c>
      <c r="G16" s="19">
        <f t="shared" si="1"/>
        <v>0.88</v>
      </c>
    </row>
    <row r="17" spans="1:7">
      <c r="A17" s="8">
        <v>14</v>
      </c>
      <c r="B17" s="136" t="s">
        <v>404</v>
      </c>
      <c r="C17" s="8" t="s">
        <v>76</v>
      </c>
      <c r="D17" s="137">
        <v>25</v>
      </c>
      <c r="E17" s="137">
        <v>17</v>
      </c>
      <c r="F17" s="8">
        <f t="shared" si="0"/>
        <v>-8</v>
      </c>
      <c r="G17" s="19">
        <f t="shared" si="1"/>
        <v>0.68</v>
      </c>
    </row>
    <row r="18" spans="1:7">
      <c r="A18" s="8">
        <v>15</v>
      </c>
      <c r="B18" s="136" t="s">
        <v>405</v>
      </c>
      <c r="C18" s="8" t="s">
        <v>75</v>
      </c>
      <c r="D18" s="137">
        <v>35</v>
      </c>
      <c r="E18" s="137">
        <v>1</v>
      </c>
      <c r="F18" s="8">
        <f t="shared" si="0"/>
        <v>-34</v>
      </c>
      <c r="G18" s="19">
        <f t="shared" si="1"/>
        <v>2.8571428571428571E-2</v>
      </c>
    </row>
    <row r="19" spans="1:7">
      <c r="A19" s="8">
        <v>16</v>
      </c>
      <c r="B19" s="136" t="s">
        <v>406</v>
      </c>
      <c r="C19" s="8" t="s">
        <v>76</v>
      </c>
      <c r="D19" s="137">
        <v>25</v>
      </c>
      <c r="E19" s="137">
        <v>13</v>
      </c>
      <c r="F19" s="8">
        <f t="shared" si="0"/>
        <v>-12</v>
      </c>
      <c r="G19" s="19">
        <f t="shared" si="1"/>
        <v>0.52</v>
      </c>
    </row>
    <row r="20" spans="1:7">
      <c r="A20" s="8">
        <v>17</v>
      </c>
      <c r="B20" s="136" t="s">
        <v>407</v>
      </c>
      <c r="C20" s="8" t="s">
        <v>76</v>
      </c>
      <c r="D20" s="137">
        <v>25</v>
      </c>
      <c r="E20" s="137">
        <v>22</v>
      </c>
      <c r="F20" s="8">
        <f t="shared" si="0"/>
        <v>-3</v>
      </c>
      <c r="G20" s="19">
        <f t="shared" si="1"/>
        <v>0.88</v>
      </c>
    </row>
    <row r="21" spans="1:7">
      <c r="A21" s="8">
        <v>18</v>
      </c>
      <c r="B21" s="136" t="s">
        <v>408</v>
      </c>
      <c r="C21" s="8" t="s">
        <v>76</v>
      </c>
      <c r="D21" s="137">
        <v>25</v>
      </c>
      <c r="E21" s="137">
        <v>25</v>
      </c>
      <c r="F21" s="8">
        <f t="shared" si="0"/>
        <v>0</v>
      </c>
      <c r="G21" s="19">
        <f t="shared" si="1"/>
        <v>1</v>
      </c>
    </row>
    <row r="22" spans="1:7">
      <c r="A22" s="8">
        <v>19</v>
      </c>
      <c r="B22" s="136" t="s">
        <v>409</v>
      </c>
      <c r="C22" s="8" t="s">
        <v>76</v>
      </c>
      <c r="D22" s="137">
        <v>25</v>
      </c>
      <c r="E22" s="137">
        <v>22</v>
      </c>
      <c r="F22" s="8">
        <f t="shared" si="0"/>
        <v>-3</v>
      </c>
      <c r="G22" s="19">
        <f t="shared" si="1"/>
        <v>0.88</v>
      </c>
    </row>
    <row r="23" spans="1:7">
      <c r="A23" s="8">
        <v>20</v>
      </c>
      <c r="B23" s="136" t="s">
        <v>410</v>
      </c>
      <c r="C23" s="8" t="s">
        <v>76</v>
      </c>
      <c r="D23" s="137">
        <v>25</v>
      </c>
      <c r="E23" s="137">
        <v>24</v>
      </c>
      <c r="F23" s="8">
        <f t="shared" si="0"/>
        <v>-1</v>
      </c>
      <c r="G23" s="19">
        <f t="shared" si="1"/>
        <v>0.96</v>
      </c>
    </row>
    <row r="24" spans="1:7">
      <c r="A24" s="8"/>
      <c r="B24" s="11" t="s">
        <v>50</v>
      </c>
      <c r="C24" s="11"/>
      <c r="D24" s="138">
        <v>490</v>
      </c>
      <c r="E24" s="11">
        <f>SUM(E4:E23)</f>
        <v>378</v>
      </c>
      <c r="F24" s="11">
        <f t="shared" si="0"/>
        <v>-112</v>
      </c>
      <c r="G24" s="21">
        <f t="shared" si="1"/>
        <v>0.77142857142857146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C829-9101-4BC6-9D82-03DAC5F8E296}">
  <dimension ref="A1:G24"/>
  <sheetViews>
    <sheetView workbookViewId="0">
      <selection activeCell="I8" sqref="I8"/>
    </sheetView>
  </sheetViews>
  <sheetFormatPr defaultRowHeight="14.5"/>
  <cols>
    <col min="1" max="1" width="5.81640625" customWidth="1"/>
    <col min="2" max="2" width="32.089843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411</v>
      </c>
      <c r="C4" s="45" t="s">
        <v>75</v>
      </c>
      <c r="D4" s="140">
        <v>35</v>
      </c>
      <c r="E4" s="140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9" t="s">
        <v>412</v>
      </c>
      <c r="C5" s="45" t="s">
        <v>76</v>
      </c>
      <c r="D5" s="140">
        <v>25</v>
      </c>
      <c r="E5" s="140">
        <v>16</v>
      </c>
      <c r="F5" s="45">
        <f t="shared" ref="F5:F24" si="0">E5-D5</f>
        <v>-9</v>
      </c>
      <c r="G5" s="48">
        <f t="shared" ref="G5:G24" si="1">E5/D5*100%</f>
        <v>0.64</v>
      </c>
    </row>
    <row r="6" spans="1:7">
      <c r="A6" s="45">
        <v>3</v>
      </c>
      <c r="B6" s="139" t="s">
        <v>413</v>
      </c>
      <c r="C6" s="45" t="s">
        <v>76</v>
      </c>
      <c r="D6" s="140">
        <v>25</v>
      </c>
      <c r="E6" s="140">
        <v>18</v>
      </c>
      <c r="F6" s="45">
        <f t="shared" si="0"/>
        <v>-7</v>
      </c>
      <c r="G6" s="48">
        <f t="shared" si="1"/>
        <v>0.72</v>
      </c>
    </row>
    <row r="7" spans="1:7">
      <c r="A7" s="45">
        <v>4</v>
      </c>
      <c r="B7" s="139" t="s">
        <v>414</v>
      </c>
      <c r="C7" s="45" t="s">
        <v>76</v>
      </c>
      <c r="D7" s="140">
        <v>25</v>
      </c>
      <c r="E7" s="140">
        <v>28</v>
      </c>
      <c r="F7" s="45">
        <f t="shared" si="0"/>
        <v>3</v>
      </c>
      <c r="G7" s="48">
        <f t="shared" si="1"/>
        <v>1.1200000000000001</v>
      </c>
    </row>
    <row r="8" spans="1:7">
      <c r="A8" s="45">
        <v>5</v>
      </c>
      <c r="B8" s="139" t="s">
        <v>415</v>
      </c>
      <c r="C8" s="45" t="s">
        <v>76</v>
      </c>
      <c r="D8" s="140">
        <v>25</v>
      </c>
      <c r="E8" s="140">
        <v>17</v>
      </c>
      <c r="F8" s="45">
        <f t="shared" si="0"/>
        <v>-8</v>
      </c>
      <c r="G8" s="48">
        <f t="shared" si="1"/>
        <v>0.68</v>
      </c>
    </row>
    <row r="9" spans="1:7">
      <c r="A9" s="45">
        <v>6</v>
      </c>
      <c r="B9" s="139" t="s">
        <v>416</v>
      </c>
      <c r="C9" s="45" t="s">
        <v>76</v>
      </c>
      <c r="D9" s="140">
        <v>25</v>
      </c>
      <c r="E9" s="140">
        <v>10</v>
      </c>
      <c r="F9" s="45">
        <f t="shared" si="0"/>
        <v>-15</v>
      </c>
      <c r="G9" s="48">
        <f t="shared" si="1"/>
        <v>0.4</v>
      </c>
    </row>
    <row r="10" spans="1:7">
      <c r="A10" s="45">
        <v>7</v>
      </c>
      <c r="B10" s="139" t="s">
        <v>417</v>
      </c>
      <c r="C10" s="45" t="s">
        <v>76</v>
      </c>
      <c r="D10" s="140">
        <v>25</v>
      </c>
      <c r="E10" s="140">
        <v>3</v>
      </c>
      <c r="F10" s="45">
        <f t="shared" si="0"/>
        <v>-22</v>
      </c>
      <c r="G10" s="48">
        <f t="shared" si="1"/>
        <v>0.12</v>
      </c>
    </row>
    <row r="11" spans="1:7">
      <c r="A11" s="45">
        <v>8</v>
      </c>
      <c r="B11" s="139" t="s">
        <v>418</v>
      </c>
      <c r="C11" s="45" t="s">
        <v>76</v>
      </c>
      <c r="D11" s="140">
        <v>25</v>
      </c>
      <c r="E11" s="140">
        <v>16</v>
      </c>
      <c r="F11" s="45">
        <f t="shared" si="0"/>
        <v>-9</v>
      </c>
      <c r="G11" s="48">
        <f t="shared" si="1"/>
        <v>0.64</v>
      </c>
    </row>
    <row r="12" spans="1:7">
      <c r="A12" s="45">
        <v>9</v>
      </c>
      <c r="B12" s="139" t="s">
        <v>419</v>
      </c>
      <c r="C12" s="45" t="s">
        <v>75</v>
      </c>
      <c r="D12" s="140">
        <v>35</v>
      </c>
      <c r="E12" s="140">
        <v>0</v>
      </c>
      <c r="F12" s="45">
        <f t="shared" si="0"/>
        <v>-35</v>
      </c>
      <c r="G12" s="48">
        <f t="shared" si="1"/>
        <v>0</v>
      </c>
    </row>
    <row r="13" spans="1:7">
      <c r="A13" s="45">
        <v>10</v>
      </c>
      <c r="B13" s="139" t="s">
        <v>420</v>
      </c>
      <c r="C13" s="45" t="s">
        <v>76</v>
      </c>
      <c r="D13" s="140">
        <v>25</v>
      </c>
      <c r="E13" s="140">
        <v>19</v>
      </c>
      <c r="F13" s="45">
        <f t="shared" si="0"/>
        <v>-6</v>
      </c>
      <c r="G13" s="48">
        <f t="shared" si="1"/>
        <v>0.76</v>
      </c>
    </row>
    <row r="14" spans="1:7">
      <c r="A14" s="45">
        <v>11</v>
      </c>
      <c r="B14" s="139" t="s">
        <v>421</v>
      </c>
      <c r="C14" s="45" t="s">
        <v>76</v>
      </c>
      <c r="D14" s="140">
        <v>25</v>
      </c>
      <c r="E14" s="140">
        <v>26</v>
      </c>
      <c r="F14" s="45">
        <f t="shared" si="0"/>
        <v>1</v>
      </c>
      <c r="G14" s="48">
        <f t="shared" si="1"/>
        <v>1.04</v>
      </c>
    </row>
    <row r="15" spans="1:7">
      <c r="A15" s="45">
        <v>12</v>
      </c>
      <c r="B15" s="139" t="s">
        <v>422</v>
      </c>
      <c r="C15" s="45" t="s">
        <v>76</v>
      </c>
      <c r="D15" s="140">
        <v>25</v>
      </c>
      <c r="E15" s="140">
        <v>19</v>
      </c>
      <c r="F15" s="45">
        <f t="shared" si="0"/>
        <v>-6</v>
      </c>
      <c r="G15" s="48">
        <f t="shared" si="1"/>
        <v>0.76</v>
      </c>
    </row>
    <row r="16" spans="1:7">
      <c r="A16" s="45">
        <v>13</v>
      </c>
      <c r="B16" s="139" t="s">
        <v>423</v>
      </c>
      <c r="C16" s="45" t="s">
        <v>76</v>
      </c>
      <c r="D16" s="140">
        <v>25</v>
      </c>
      <c r="E16" s="140">
        <v>21</v>
      </c>
      <c r="F16" s="45">
        <f t="shared" si="0"/>
        <v>-4</v>
      </c>
      <c r="G16" s="48">
        <f t="shared" si="1"/>
        <v>0.84</v>
      </c>
    </row>
    <row r="17" spans="1:7">
      <c r="A17" s="45">
        <v>14</v>
      </c>
      <c r="B17" s="139" t="s">
        <v>424</v>
      </c>
      <c r="C17" s="45" t="s">
        <v>76</v>
      </c>
      <c r="D17" s="140">
        <v>25</v>
      </c>
      <c r="E17" s="140">
        <v>19</v>
      </c>
      <c r="F17" s="45">
        <f t="shared" si="0"/>
        <v>-6</v>
      </c>
      <c r="G17" s="48">
        <f t="shared" si="1"/>
        <v>0.76</v>
      </c>
    </row>
    <row r="18" spans="1:7">
      <c r="A18" s="45">
        <v>15</v>
      </c>
      <c r="B18" s="139" t="s">
        <v>425</v>
      </c>
      <c r="C18" s="45" t="s">
        <v>75</v>
      </c>
      <c r="D18" s="140">
        <v>35</v>
      </c>
      <c r="E18" s="140">
        <v>0</v>
      </c>
      <c r="F18" s="45">
        <f t="shared" si="0"/>
        <v>-35</v>
      </c>
      <c r="G18" s="48">
        <f t="shared" si="1"/>
        <v>0</v>
      </c>
    </row>
    <row r="19" spans="1:7">
      <c r="A19" s="45">
        <v>16</v>
      </c>
      <c r="B19" s="139" t="s">
        <v>426</v>
      </c>
      <c r="C19" s="45" t="s">
        <v>76</v>
      </c>
      <c r="D19" s="140">
        <v>25</v>
      </c>
      <c r="E19" s="140">
        <v>27</v>
      </c>
      <c r="F19" s="45">
        <f t="shared" si="0"/>
        <v>2</v>
      </c>
      <c r="G19" s="48">
        <f t="shared" si="1"/>
        <v>1.08</v>
      </c>
    </row>
    <row r="20" spans="1:7">
      <c r="A20" s="45">
        <v>17</v>
      </c>
      <c r="B20" s="139" t="s">
        <v>427</v>
      </c>
      <c r="C20" s="45" t="s">
        <v>76</v>
      </c>
      <c r="D20" s="140">
        <v>25</v>
      </c>
      <c r="E20" s="140">
        <v>12</v>
      </c>
      <c r="F20" s="45">
        <f t="shared" si="0"/>
        <v>-13</v>
      </c>
      <c r="G20" s="48">
        <f t="shared" si="1"/>
        <v>0.48</v>
      </c>
    </row>
    <row r="21" spans="1:7">
      <c r="A21" s="45">
        <v>18</v>
      </c>
      <c r="B21" s="139" t="s">
        <v>428</v>
      </c>
      <c r="C21" s="45" t="s">
        <v>76</v>
      </c>
      <c r="D21" s="140">
        <v>25</v>
      </c>
      <c r="E21" s="140">
        <v>16</v>
      </c>
      <c r="F21" s="45">
        <f t="shared" si="0"/>
        <v>-9</v>
      </c>
      <c r="G21" s="48">
        <f t="shared" si="1"/>
        <v>0.64</v>
      </c>
    </row>
    <row r="22" spans="1:7">
      <c r="A22" s="45">
        <v>19</v>
      </c>
      <c r="B22" s="139" t="s">
        <v>429</v>
      </c>
      <c r="C22" s="45" t="s">
        <v>76</v>
      </c>
      <c r="D22" s="140">
        <v>25</v>
      </c>
      <c r="E22" s="140">
        <v>10</v>
      </c>
      <c r="F22" s="45">
        <f t="shared" si="0"/>
        <v>-15</v>
      </c>
      <c r="G22" s="48">
        <f t="shared" si="1"/>
        <v>0.4</v>
      </c>
    </row>
    <row r="23" spans="1:7">
      <c r="A23" s="45">
        <v>20</v>
      </c>
      <c r="B23" s="139" t="s">
        <v>430</v>
      </c>
      <c r="C23" s="45" t="s">
        <v>76</v>
      </c>
      <c r="D23" s="140">
        <v>25</v>
      </c>
      <c r="E23" s="140">
        <v>19</v>
      </c>
      <c r="F23" s="45">
        <f t="shared" si="0"/>
        <v>-6</v>
      </c>
      <c r="G23" s="48">
        <f t="shared" si="1"/>
        <v>0.76</v>
      </c>
    </row>
    <row r="24" spans="1:7">
      <c r="A24" s="45"/>
      <c r="B24" s="50" t="s">
        <v>50</v>
      </c>
      <c r="C24" s="50"/>
      <c r="D24" s="50">
        <v>490</v>
      </c>
      <c r="E24" s="50">
        <f>SUM(E4:E23)</f>
        <v>296</v>
      </c>
      <c r="F24" s="50">
        <f t="shared" si="0"/>
        <v>-194</v>
      </c>
      <c r="G24" s="58">
        <f t="shared" si="1"/>
        <v>0.60408163265306125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264B-60E6-445E-824A-DED3ACC11713}">
  <dimension ref="A1:G18"/>
  <sheetViews>
    <sheetView workbookViewId="0">
      <selection activeCell="K6" sqref="K6"/>
    </sheetView>
  </sheetViews>
  <sheetFormatPr defaultRowHeight="14.5"/>
  <cols>
    <col min="1" max="1" width="4.54296875" customWidth="1"/>
    <col min="2" max="2" width="23.1796875" customWidth="1"/>
    <col min="3" max="3" width="7.17968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431</v>
      </c>
      <c r="C4" s="45" t="s">
        <v>75</v>
      </c>
      <c r="D4" s="140">
        <v>35</v>
      </c>
      <c r="E4" s="140">
        <v>1</v>
      </c>
      <c r="F4" s="45">
        <f>E4-D4</f>
        <v>-34</v>
      </c>
      <c r="G4" s="48">
        <f>E4/D4*100%</f>
        <v>2.8571428571428571E-2</v>
      </c>
    </row>
    <row r="5" spans="1:7">
      <c r="A5" s="45">
        <v>2</v>
      </c>
      <c r="B5" s="139" t="s">
        <v>432</v>
      </c>
      <c r="C5" s="45" t="s">
        <v>76</v>
      </c>
      <c r="D5" s="140">
        <v>25</v>
      </c>
      <c r="E5" s="140">
        <v>31</v>
      </c>
      <c r="F5" s="45">
        <f t="shared" ref="F5:F18" si="0">E5-D5</f>
        <v>6</v>
      </c>
      <c r="G5" s="48">
        <f t="shared" ref="G5:G18" si="1">E5/D5*100%</f>
        <v>1.24</v>
      </c>
    </row>
    <row r="6" spans="1:7">
      <c r="A6" s="45">
        <v>3</v>
      </c>
      <c r="B6" s="139" t="s">
        <v>433</v>
      </c>
      <c r="C6" s="45" t="s">
        <v>76</v>
      </c>
      <c r="D6" s="140">
        <v>25</v>
      </c>
      <c r="E6" s="140">
        <v>32</v>
      </c>
      <c r="F6" s="45">
        <f t="shared" si="0"/>
        <v>7</v>
      </c>
      <c r="G6" s="48">
        <f t="shared" si="1"/>
        <v>1.28</v>
      </c>
    </row>
    <row r="7" spans="1:7">
      <c r="A7" s="45">
        <v>4</v>
      </c>
      <c r="B7" s="139" t="s">
        <v>434</v>
      </c>
      <c r="C7" s="45" t="s">
        <v>76</v>
      </c>
      <c r="D7" s="140">
        <v>25</v>
      </c>
      <c r="E7" s="140">
        <v>29</v>
      </c>
      <c r="F7" s="45">
        <f t="shared" si="0"/>
        <v>4</v>
      </c>
      <c r="G7" s="48">
        <f t="shared" si="1"/>
        <v>1.1599999999999999</v>
      </c>
    </row>
    <row r="8" spans="1:7">
      <c r="A8" s="45">
        <v>5</v>
      </c>
      <c r="B8" s="139" t="s">
        <v>435</v>
      </c>
      <c r="C8" s="45" t="s">
        <v>76</v>
      </c>
      <c r="D8" s="140">
        <v>25</v>
      </c>
      <c r="E8" s="140">
        <v>14</v>
      </c>
      <c r="F8" s="45">
        <f t="shared" si="0"/>
        <v>-11</v>
      </c>
      <c r="G8" s="48">
        <f t="shared" si="1"/>
        <v>0.56000000000000005</v>
      </c>
    </row>
    <row r="9" spans="1:7">
      <c r="A9" s="45">
        <v>6</v>
      </c>
      <c r="B9" s="139" t="s">
        <v>436</v>
      </c>
      <c r="C9" s="45" t="s">
        <v>76</v>
      </c>
      <c r="D9" s="140">
        <v>25</v>
      </c>
      <c r="E9" s="140">
        <v>12</v>
      </c>
      <c r="F9" s="45">
        <f t="shared" si="0"/>
        <v>-13</v>
      </c>
      <c r="G9" s="48">
        <f t="shared" si="1"/>
        <v>0.48</v>
      </c>
    </row>
    <row r="10" spans="1:7">
      <c r="A10" s="45">
        <v>7</v>
      </c>
      <c r="B10" s="139" t="s">
        <v>437</v>
      </c>
      <c r="C10" s="45" t="s">
        <v>76</v>
      </c>
      <c r="D10" s="140">
        <v>25</v>
      </c>
      <c r="E10" s="140">
        <v>16</v>
      </c>
      <c r="F10" s="45">
        <f t="shared" si="0"/>
        <v>-9</v>
      </c>
      <c r="G10" s="48">
        <f t="shared" si="1"/>
        <v>0.64</v>
      </c>
    </row>
    <row r="11" spans="1:7">
      <c r="A11" s="45">
        <v>8</v>
      </c>
      <c r="B11" s="139" t="s">
        <v>438</v>
      </c>
      <c r="C11" s="45" t="s">
        <v>76</v>
      </c>
      <c r="D11" s="140">
        <v>25</v>
      </c>
      <c r="E11" s="140">
        <v>8</v>
      </c>
      <c r="F11" s="45">
        <f t="shared" si="0"/>
        <v>-17</v>
      </c>
      <c r="G11" s="48">
        <f t="shared" si="1"/>
        <v>0.32</v>
      </c>
    </row>
    <row r="12" spans="1:7">
      <c r="A12" s="45">
        <v>9</v>
      </c>
      <c r="B12" s="139" t="s">
        <v>439</v>
      </c>
      <c r="C12" s="45" t="s">
        <v>75</v>
      </c>
      <c r="D12" s="140">
        <v>35</v>
      </c>
      <c r="E12" s="140">
        <v>3</v>
      </c>
      <c r="F12" s="45">
        <f t="shared" si="0"/>
        <v>-32</v>
      </c>
      <c r="G12" s="48">
        <f t="shared" si="1"/>
        <v>8.5714285714285715E-2</v>
      </c>
    </row>
    <row r="13" spans="1:7">
      <c r="A13" s="45">
        <v>10</v>
      </c>
      <c r="B13" s="139" t="s">
        <v>440</v>
      </c>
      <c r="C13" s="45" t="s">
        <v>76</v>
      </c>
      <c r="D13" s="140">
        <v>25</v>
      </c>
      <c r="E13" s="140">
        <v>23</v>
      </c>
      <c r="F13" s="45">
        <f t="shared" si="0"/>
        <v>-2</v>
      </c>
      <c r="G13" s="48">
        <f t="shared" si="1"/>
        <v>0.92</v>
      </c>
    </row>
    <row r="14" spans="1:7">
      <c r="A14" s="45">
        <v>11</v>
      </c>
      <c r="B14" s="139" t="s">
        <v>441</v>
      </c>
      <c r="C14" s="45" t="s">
        <v>76</v>
      </c>
      <c r="D14" s="140">
        <v>25</v>
      </c>
      <c r="E14" s="140">
        <v>30</v>
      </c>
      <c r="F14" s="45">
        <f t="shared" si="0"/>
        <v>5</v>
      </c>
      <c r="G14" s="48">
        <f t="shared" si="1"/>
        <v>1.2</v>
      </c>
    </row>
    <row r="15" spans="1:7">
      <c r="A15" s="45">
        <v>12</v>
      </c>
      <c r="B15" s="139" t="s">
        <v>442</v>
      </c>
      <c r="C15" s="45" t="s">
        <v>76</v>
      </c>
      <c r="D15" s="140">
        <v>25</v>
      </c>
      <c r="E15" s="140">
        <v>22</v>
      </c>
      <c r="F15" s="45">
        <f t="shared" si="0"/>
        <v>-3</v>
      </c>
      <c r="G15" s="48">
        <f t="shared" si="1"/>
        <v>0.88</v>
      </c>
    </row>
    <row r="16" spans="1:7">
      <c r="A16" s="45">
        <v>13</v>
      </c>
      <c r="B16" s="139" t="s">
        <v>443</v>
      </c>
      <c r="C16" s="45" t="s">
        <v>76</v>
      </c>
      <c r="D16" s="140">
        <v>25</v>
      </c>
      <c r="E16" s="140">
        <v>33</v>
      </c>
      <c r="F16" s="45">
        <f t="shared" si="0"/>
        <v>8</v>
      </c>
      <c r="G16" s="48">
        <f t="shared" si="1"/>
        <v>1.32</v>
      </c>
    </row>
    <row r="17" spans="1:7">
      <c r="A17" s="45">
        <v>14</v>
      </c>
      <c r="B17" s="139" t="s">
        <v>444</v>
      </c>
      <c r="C17" s="45" t="s">
        <v>76</v>
      </c>
      <c r="D17" s="140">
        <v>25</v>
      </c>
      <c r="E17" s="140">
        <v>10</v>
      </c>
      <c r="F17" s="45">
        <f t="shared" si="0"/>
        <v>-15</v>
      </c>
      <c r="G17" s="48">
        <f t="shared" si="1"/>
        <v>0.4</v>
      </c>
    </row>
    <row r="18" spans="1:7">
      <c r="A18" s="45"/>
      <c r="B18" s="50" t="s">
        <v>50</v>
      </c>
      <c r="C18" s="50"/>
      <c r="D18" s="50">
        <v>340</v>
      </c>
      <c r="E18" s="50">
        <f>SUM(E4:E17)</f>
        <v>264</v>
      </c>
      <c r="F18" s="50">
        <f t="shared" si="0"/>
        <v>-76</v>
      </c>
      <c r="G18" s="58">
        <f t="shared" si="1"/>
        <v>0.77647058823529413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C7B0-05B0-416A-B2BA-BA3271E4168A}">
  <dimension ref="A1:G14"/>
  <sheetViews>
    <sheetView workbookViewId="0">
      <selection activeCell="J4" sqref="J4"/>
    </sheetView>
  </sheetViews>
  <sheetFormatPr defaultRowHeight="14.5"/>
  <cols>
    <col min="1" max="1" width="5.7265625" customWidth="1"/>
    <col min="2" max="2" width="31.7265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445</v>
      </c>
      <c r="C4" s="45" t="s">
        <v>75</v>
      </c>
      <c r="D4" s="140">
        <v>35</v>
      </c>
      <c r="E4" s="140">
        <v>1</v>
      </c>
      <c r="F4" s="45">
        <f>E4-D4</f>
        <v>-34</v>
      </c>
      <c r="G4" s="48">
        <f>E4/D4*100%</f>
        <v>2.8571428571428571E-2</v>
      </c>
    </row>
    <row r="5" spans="1:7">
      <c r="A5" s="45">
        <v>2</v>
      </c>
      <c r="B5" s="139" t="s">
        <v>446</v>
      </c>
      <c r="C5" s="45" t="s">
        <v>76</v>
      </c>
      <c r="D5" s="140">
        <v>25</v>
      </c>
      <c r="E5" s="140">
        <v>8</v>
      </c>
      <c r="F5" s="45">
        <f t="shared" ref="F5:F14" si="0">E5-D5</f>
        <v>-17</v>
      </c>
      <c r="G5" s="48">
        <f t="shared" ref="G5:G14" si="1">E5/D5*100%</f>
        <v>0.32</v>
      </c>
    </row>
    <row r="6" spans="1:7">
      <c r="A6" s="45">
        <v>3</v>
      </c>
      <c r="B6" s="139" t="s">
        <v>447</v>
      </c>
      <c r="C6" s="45" t="s">
        <v>76</v>
      </c>
      <c r="D6" s="140">
        <v>25</v>
      </c>
      <c r="E6" s="140">
        <v>8</v>
      </c>
      <c r="F6" s="45">
        <f t="shared" si="0"/>
        <v>-17</v>
      </c>
      <c r="G6" s="48">
        <f t="shared" si="1"/>
        <v>0.32</v>
      </c>
    </row>
    <row r="7" spans="1:7">
      <c r="A7" s="45">
        <v>4</v>
      </c>
      <c r="B7" s="139" t="s">
        <v>448</v>
      </c>
      <c r="C7" s="45" t="s">
        <v>76</v>
      </c>
      <c r="D7" s="140">
        <v>25</v>
      </c>
      <c r="E7" s="140">
        <v>18</v>
      </c>
      <c r="F7" s="45">
        <f t="shared" si="0"/>
        <v>-7</v>
      </c>
      <c r="G7" s="48">
        <f t="shared" si="1"/>
        <v>0.72</v>
      </c>
    </row>
    <row r="8" spans="1:7">
      <c r="A8" s="45">
        <v>5</v>
      </c>
      <c r="B8" s="139" t="s">
        <v>449</v>
      </c>
      <c r="C8" s="45" t="s">
        <v>76</v>
      </c>
      <c r="D8" s="140">
        <v>25</v>
      </c>
      <c r="E8" s="140">
        <v>28</v>
      </c>
      <c r="F8" s="45">
        <f t="shared" si="0"/>
        <v>3</v>
      </c>
      <c r="G8" s="48">
        <f t="shared" si="1"/>
        <v>1.1200000000000001</v>
      </c>
    </row>
    <row r="9" spans="1:7">
      <c r="A9" s="45">
        <v>6</v>
      </c>
      <c r="B9" s="139" t="s">
        <v>450</v>
      </c>
      <c r="C9" s="45" t="s">
        <v>76</v>
      </c>
      <c r="D9" s="140">
        <v>25</v>
      </c>
      <c r="E9" s="140">
        <v>42</v>
      </c>
      <c r="F9" s="45">
        <f t="shared" si="0"/>
        <v>17</v>
      </c>
      <c r="G9" s="48">
        <f t="shared" si="1"/>
        <v>1.68</v>
      </c>
    </row>
    <row r="10" spans="1:7">
      <c r="A10" s="45">
        <v>7</v>
      </c>
      <c r="B10" s="139" t="s">
        <v>451</v>
      </c>
      <c r="C10" s="45" t="s">
        <v>76</v>
      </c>
      <c r="D10" s="140">
        <v>25</v>
      </c>
      <c r="E10" s="140">
        <v>21</v>
      </c>
      <c r="F10" s="45">
        <f t="shared" si="0"/>
        <v>-4</v>
      </c>
      <c r="G10" s="48">
        <f t="shared" si="1"/>
        <v>0.84</v>
      </c>
    </row>
    <row r="11" spans="1:7">
      <c r="A11" s="45">
        <v>8</v>
      </c>
      <c r="B11" s="139" t="s">
        <v>452</v>
      </c>
      <c r="C11" s="45" t="s">
        <v>76</v>
      </c>
      <c r="D11" s="140">
        <v>25</v>
      </c>
      <c r="E11" s="140">
        <v>11</v>
      </c>
      <c r="F11" s="45">
        <f t="shared" si="0"/>
        <v>-14</v>
      </c>
      <c r="G11" s="48">
        <f t="shared" si="1"/>
        <v>0.44</v>
      </c>
    </row>
    <row r="12" spans="1:7">
      <c r="A12" s="45">
        <v>9</v>
      </c>
      <c r="B12" s="139" t="s">
        <v>453</v>
      </c>
      <c r="C12" s="45" t="s">
        <v>76</v>
      </c>
      <c r="D12" s="140">
        <v>25</v>
      </c>
      <c r="E12" s="140">
        <v>13</v>
      </c>
      <c r="F12" s="45">
        <f t="shared" si="0"/>
        <v>-12</v>
      </c>
      <c r="G12" s="48">
        <f t="shared" si="1"/>
        <v>0.52</v>
      </c>
    </row>
    <row r="13" spans="1:7">
      <c r="A13" s="45">
        <v>10</v>
      </c>
      <c r="B13" s="139" t="s">
        <v>454</v>
      </c>
      <c r="C13" s="45" t="s">
        <v>76</v>
      </c>
      <c r="D13" s="140">
        <v>25</v>
      </c>
      <c r="E13" s="140">
        <v>9</v>
      </c>
      <c r="F13" s="45">
        <f t="shared" si="0"/>
        <v>-16</v>
      </c>
      <c r="G13" s="48">
        <f t="shared" si="1"/>
        <v>0.36</v>
      </c>
    </row>
    <row r="14" spans="1:7">
      <c r="A14" s="45"/>
      <c r="B14" s="50" t="s">
        <v>50</v>
      </c>
      <c r="C14" s="50"/>
      <c r="D14" s="50">
        <v>230</v>
      </c>
      <c r="E14" s="50">
        <f>SUM(E4:E13)</f>
        <v>159</v>
      </c>
      <c r="F14" s="50">
        <f t="shared" si="0"/>
        <v>-71</v>
      </c>
      <c r="G14" s="58">
        <f t="shared" si="1"/>
        <v>0.69130434782608696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B59C-6CD0-49B2-80A3-27C9894A12B0}">
  <dimension ref="A1:G28"/>
  <sheetViews>
    <sheetView topLeftCell="A19" workbookViewId="0">
      <selection activeCell="I21" sqref="I21"/>
    </sheetView>
  </sheetViews>
  <sheetFormatPr defaultRowHeight="14.5"/>
  <cols>
    <col min="1" max="1" width="5.1796875" customWidth="1"/>
    <col min="2" max="2" width="32.17968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455</v>
      </c>
      <c r="C4" s="45" t="s">
        <v>75</v>
      </c>
      <c r="D4" s="140">
        <v>35</v>
      </c>
      <c r="E4" s="140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9" t="s">
        <v>456</v>
      </c>
      <c r="C5" s="45" t="s">
        <v>76</v>
      </c>
      <c r="D5" s="140">
        <v>25</v>
      </c>
      <c r="E5" s="140">
        <v>31</v>
      </c>
      <c r="F5" s="45">
        <f t="shared" ref="F5:F28" si="0">E5-D5</f>
        <v>6</v>
      </c>
      <c r="G5" s="48">
        <f t="shared" ref="G5:G28" si="1">E5/D5*100%</f>
        <v>1.24</v>
      </c>
    </row>
    <row r="6" spans="1:7">
      <c r="A6" s="45">
        <v>3</v>
      </c>
      <c r="B6" s="139" t="s">
        <v>457</v>
      </c>
      <c r="C6" s="45" t="s">
        <v>76</v>
      </c>
      <c r="D6" s="140">
        <v>25</v>
      </c>
      <c r="E6" s="140">
        <v>27</v>
      </c>
      <c r="F6" s="45">
        <f t="shared" si="0"/>
        <v>2</v>
      </c>
      <c r="G6" s="48">
        <f t="shared" si="1"/>
        <v>1.08</v>
      </c>
    </row>
    <row r="7" spans="1:7">
      <c r="A7" s="45">
        <v>4</v>
      </c>
      <c r="B7" s="139" t="s">
        <v>458</v>
      </c>
      <c r="C7" s="45" t="s">
        <v>76</v>
      </c>
      <c r="D7" s="140">
        <v>25</v>
      </c>
      <c r="E7" s="140">
        <v>15</v>
      </c>
      <c r="F7" s="45">
        <f t="shared" si="0"/>
        <v>-10</v>
      </c>
      <c r="G7" s="48">
        <f t="shared" si="1"/>
        <v>0.6</v>
      </c>
    </row>
    <row r="8" spans="1:7">
      <c r="A8" s="45">
        <v>5</v>
      </c>
      <c r="B8" s="139" t="s">
        <v>459</v>
      </c>
      <c r="C8" s="45" t="s">
        <v>76</v>
      </c>
      <c r="D8" s="140">
        <v>25</v>
      </c>
      <c r="E8" s="140">
        <v>15</v>
      </c>
      <c r="F8" s="45">
        <f t="shared" si="0"/>
        <v>-10</v>
      </c>
      <c r="G8" s="48">
        <f t="shared" si="1"/>
        <v>0.6</v>
      </c>
    </row>
    <row r="9" spans="1:7">
      <c r="A9" s="45">
        <v>6</v>
      </c>
      <c r="B9" s="139" t="s">
        <v>460</v>
      </c>
      <c r="C9" s="45" t="s">
        <v>76</v>
      </c>
      <c r="D9" s="140">
        <v>25</v>
      </c>
      <c r="E9" s="140">
        <v>11</v>
      </c>
      <c r="F9" s="45">
        <f t="shared" si="0"/>
        <v>-14</v>
      </c>
      <c r="G9" s="48">
        <f t="shared" si="1"/>
        <v>0.44</v>
      </c>
    </row>
    <row r="10" spans="1:7">
      <c r="A10" s="45">
        <v>7</v>
      </c>
      <c r="B10" s="139" t="s">
        <v>461</v>
      </c>
      <c r="C10" s="45" t="s">
        <v>75</v>
      </c>
      <c r="D10" s="140">
        <v>25</v>
      </c>
      <c r="E10" s="140">
        <v>0</v>
      </c>
      <c r="F10" s="45">
        <f t="shared" si="0"/>
        <v>-25</v>
      </c>
      <c r="G10" s="48">
        <f t="shared" si="1"/>
        <v>0</v>
      </c>
    </row>
    <row r="11" spans="1:7">
      <c r="A11" s="45">
        <v>8</v>
      </c>
      <c r="B11" s="139" t="s">
        <v>462</v>
      </c>
      <c r="C11" s="45" t="s">
        <v>76</v>
      </c>
      <c r="D11" s="140">
        <v>25</v>
      </c>
      <c r="E11" s="140">
        <v>6</v>
      </c>
      <c r="F11" s="45">
        <f t="shared" si="0"/>
        <v>-19</v>
      </c>
      <c r="G11" s="48">
        <f t="shared" si="1"/>
        <v>0.24</v>
      </c>
    </row>
    <row r="12" spans="1:7">
      <c r="A12" s="45">
        <v>9</v>
      </c>
      <c r="B12" s="139" t="s">
        <v>463</v>
      </c>
      <c r="C12" s="45" t="s">
        <v>76</v>
      </c>
      <c r="D12" s="140">
        <v>25</v>
      </c>
      <c r="E12" s="140">
        <v>15</v>
      </c>
      <c r="F12" s="45">
        <f t="shared" si="0"/>
        <v>-10</v>
      </c>
      <c r="G12" s="48">
        <f t="shared" si="1"/>
        <v>0.6</v>
      </c>
    </row>
    <row r="13" spans="1:7">
      <c r="A13" s="45">
        <v>10</v>
      </c>
      <c r="B13" s="139" t="s">
        <v>464</v>
      </c>
      <c r="C13" s="45" t="s">
        <v>76</v>
      </c>
      <c r="D13" s="140">
        <v>25</v>
      </c>
      <c r="E13" s="140">
        <v>5</v>
      </c>
      <c r="F13" s="45">
        <f t="shared" si="0"/>
        <v>-20</v>
      </c>
      <c r="G13" s="48">
        <f t="shared" si="1"/>
        <v>0.2</v>
      </c>
    </row>
    <row r="14" spans="1:7">
      <c r="A14" s="45">
        <v>11</v>
      </c>
      <c r="B14" s="139" t="s">
        <v>465</v>
      </c>
      <c r="C14" s="45" t="s">
        <v>76</v>
      </c>
      <c r="D14" s="140">
        <v>25</v>
      </c>
      <c r="E14" s="140">
        <v>5</v>
      </c>
      <c r="F14" s="45">
        <f t="shared" si="0"/>
        <v>-20</v>
      </c>
      <c r="G14" s="48">
        <f t="shared" si="1"/>
        <v>0.2</v>
      </c>
    </row>
    <row r="15" spans="1:7">
      <c r="A15" s="45">
        <v>12</v>
      </c>
      <c r="B15" s="139" t="s">
        <v>466</v>
      </c>
      <c r="C15" s="45" t="s">
        <v>76</v>
      </c>
      <c r="D15" s="140">
        <v>25</v>
      </c>
      <c r="E15" s="140">
        <v>10</v>
      </c>
      <c r="F15" s="45">
        <f t="shared" si="0"/>
        <v>-15</v>
      </c>
      <c r="G15" s="48">
        <f t="shared" si="1"/>
        <v>0.4</v>
      </c>
    </row>
    <row r="16" spans="1:7">
      <c r="A16" s="45">
        <v>13</v>
      </c>
      <c r="B16" s="139" t="s">
        <v>467</v>
      </c>
      <c r="C16" s="45" t="s">
        <v>75</v>
      </c>
      <c r="D16" s="140">
        <v>35</v>
      </c>
      <c r="E16" s="140">
        <v>4</v>
      </c>
      <c r="F16" s="45">
        <f t="shared" si="0"/>
        <v>-31</v>
      </c>
      <c r="G16" s="48">
        <f t="shared" si="1"/>
        <v>0.11428571428571428</v>
      </c>
    </row>
    <row r="17" spans="1:7">
      <c r="A17" s="45">
        <v>14</v>
      </c>
      <c r="B17" s="139" t="s">
        <v>468</v>
      </c>
      <c r="C17" s="45" t="s">
        <v>76</v>
      </c>
      <c r="D17" s="140">
        <v>25</v>
      </c>
      <c r="E17" s="140">
        <v>11</v>
      </c>
      <c r="F17" s="45">
        <f t="shared" si="0"/>
        <v>-14</v>
      </c>
      <c r="G17" s="48">
        <f t="shared" si="1"/>
        <v>0.44</v>
      </c>
    </row>
    <row r="18" spans="1:7">
      <c r="A18" s="45">
        <v>15</v>
      </c>
      <c r="B18" s="139" t="s">
        <v>469</v>
      </c>
      <c r="C18" s="45" t="s">
        <v>76</v>
      </c>
      <c r="D18" s="140">
        <v>25</v>
      </c>
      <c r="E18" s="140">
        <v>3</v>
      </c>
      <c r="F18" s="45">
        <f t="shared" si="0"/>
        <v>-22</v>
      </c>
      <c r="G18" s="48">
        <f t="shared" si="1"/>
        <v>0.12</v>
      </c>
    </row>
    <row r="19" spans="1:7">
      <c r="A19" s="45">
        <v>16</v>
      </c>
      <c r="B19" s="139" t="s">
        <v>470</v>
      </c>
      <c r="C19" s="45" t="s">
        <v>76</v>
      </c>
      <c r="D19" s="140">
        <v>25</v>
      </c>
      <c r="E19" s="140">
        <v>12</v>
      </c>
      <c r="F19" s="45">
        <f t="shared" si="0"/>
        <v>-13</v>
      </c>
      <c r="G19" s="48">
        <f t="shared" si="1"/>
        <v>0.48</v>
      </c>
    </row>
    <row r="20" spans="1:7">
      <c r="A20" s="45">
        <v>17</v>
      </c>
      <c r="B20" s="139" t="s">
        <v>471</v>
      </c>
      <c r="C20" s="45" t="s">
        <v>76</v>
      </c>
      <c r="D20" s="140">
        <v>25</v>
      </c>
      <c r="E20" s="140">
        <v>5</v>
      </c>
      <c r="F20" s="45">
        <f t="shared" si="0"/>
        <v>-20</v>
      </c>
      <c r="G20" s="48">
        <f t="shared" si="1"/>
        <v>0.2</v>
      </c>
    </row>
    <row r="21" spans="1:7">
      <c r="A21" s="45">
        <v>18</v>
      </c>
      <c r="B21" s="139" t="s">
        <v>472</v>
      </c>
      <c r="C21" s="45" t="s">
        <v>76</v>
      </c>
      <c r="D21" s="140">
        <v>25</v>
      </c>
      <c r="E21" s="140">
        <v>17</v>
      </c>
      <c r="F21" s="45">
        <f t="shared" si="0"/>
        <v>-8</v>
      </c>
      <c r="G21" s="48">
        <f t="shared" si="1"/>
        <v>0.68</v>
      </c>
    </row>
    <row r="22" spans="1:7">
      <c r="A22" s="45">
        <v>19</v>
      </c>
      <c r="B22" s="139" t="s">
        <v>473</v>
      </c>
      <c r="C22" s="45" t="s">
        <v>75</v>
      </c>
      <c r="D22" s="140">
        <v>35</v>
      </c>
      <c r="E22" s="140">
        <v>2</v>
      </c>
      <c r="F22" s="45">
        <f t="shared" si="0"/>
        <v>-33</v>
      </c>
      <c r="G22" s="48">
        <f t="shared" si="1"/>
        <v>5.7142857142857141E-2</v>
      </c>
    </row>
    <row r="23" spans="1:7">
      <c r="A23" s="45">
        <v>20</v>
      </c>
      <c r="B23" s="139" t="s">
        <v>474</v>
      </c>
      <c r="C23" s="45" t="s">
        <v>76</v>
      </c>
      <c r="D23" s="140">
        <v>25</v>
      </c>
      <c r="E23" s="140">
        <v>10</v>
      </c>
      <c r="F23" s="45">
        <f t="shared" si="0"/>
        <v>-15</v>
      </c>
      <c r="G23" s="48">
        <f t="shared" si="1"/>
        <v>0.4</v>
      </c>
    </row>
    <row r="24" spans="1:7">
      <c r="A24" s="45">
        <v>21</v>
      </c>
      <c r="B24" s="139" t="s">
        <v>475</v>
      </c>
      <c r="C24" s="45" t="s">
        <v>76</v>
      </c>
      <c r="D24" s="140">
        <v>25</v>
      </c>
      <c r="E24" s="140">
        <v>11</v>
      </c>
      <c r="F24" s="45">
        <f t="shared" si="0"/>
        <v>-14</v>
      </c>
      <c r="G24" s="48">
        <f t="shared" si="1"/>
        <v>0.44</v>
      </c>
    </row>
    <row r="25" spans="1:7">
      <c r="A25" s="45">
        <v>22</v>
      </c>
      <c r="B25" s="139" t="s">
        <v>476</v>
      </c>
      <c r="C25" s="45" t="s">
        <v>76</v>
      </c>
      <c r="D25" s="140">
        <v>25</v>
      </c>
      <c r="E25" s="140">
        <v>14</v>
      </c>
      <c r="F25" s="45">
        <f t="shared" si="0"/>
        <v>-11</v>
      </c>
      <c r="G25" s="48">
        <f t="shared" si="1"/>
        <v>0.56000000000000005</v>
      </c>
    </row>
    <row r="26" spans="1:7">
      <c r="A26" s="45">
        <v>23</v>
      </c>
      <c r="B26" s="139" t="s">
        <v>477</v>
      </c>
      <c r="C26" s="45" t="s">
        <v>76</v>
      </c>
      <c r="D26" s="140">
        <v>25</v>
      </c>
      <c r="E26" s="140">
        <v>3</v>
      </c>
      <c r="F26" s="45">
        <f t="shared" si="0"/>
        <v>-22</v>
      </c>
      <c r="G26" s="48">
        <f t="shared" si="1"/>
        <v>0.12</v>
      </c>
    </row>
    <row r="27" spans="1:7">
      <c r="A27" s="45">
        <v>24</v>
      </c>
      <c r="B27" s="139" t="s">
        <v>478</v>
      </c>
      <c r="C27" s="45" t="s">
        <v>76</v>
      </c>
      <c r="D27" s="140">
        <v>25</v>
      </c>
      <c r="E27" s="140">
        <v>23</v>
      </c>
      <c r="F27" s="45">
        <f t="shared" si="0"/>
        <v>-2</v>
      </c>
      <c r="G27" s="48">
        <f t="shared" si="1"/>
        <v>0.92</v>
      </c>
    </row>
    <row r="28" spans="1:7">
      <c r="A28" s="45"/>
      <c r="B28" s="50" t="s">
        <v>50</v>
      </c>
      <c r="C28" s="50"/>
      <c r="D28" s="50">
        <v>600</v>
      </c>
      <c r="E28" s="50">
        <f>SUM(E4:E27)</f>
        <v>255</v>
      </c>
      <c r="F28" s="50">
        <f t="shared" si="0"/>
        <v>-345</v>
      </c>
      <c r="G28" s="58">
        <f t="shared" si="1"/>
        <v>0.42499999999999999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B543-607E-47E0-BC82-2803EEA53590}">
  <dimension ref="A1:G9"/>
  <sheetViews>
    <sheetView workbookViewId="0">
      <selection activeCell="F12" sqref="F12"/>
    </sheetView>
  </sheetViews>
  <sheetFormatPr defaultRowHeight="14.5"/>
  <cols>
    <col min="1" max="1" width="4.26953125" customWidth="1"/>
    <col min="2" max="2" width="28.269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9"/>
      <c r="B3" s="180"/>
      <c r="C3" s="181"/>
      <c r="D3" s="181"/>
      <c r="E3" s="181"/>
      <c r="F3" s="181"/>
      <c r="G3" s="182"/>
    </row>
    <row r="4" spans="1:7">
      <c r="A4" s="45">
        <v>1</v>
      </c>
      <c r="B4" s="139" t="s">
        <v>479</v>
      </c>
      <c r="C4" s="45" t="s">
        <v>75</v>
      </c>
      <c r="D4" s="140">
        <v>35</v>
      </c>
      <c r="E4" s="140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39" t="s">
        <v>480</v>
      </c>
      <c r="C5" s="45" t="s">
        <v>76</v>
      </c>
      <c r="D5" s="140">
        <v>25</v>
      </c>
      <c r="E5" s="140">
        <v>15</v>
      </c>
      <c r="F5" s="45">
        <f t="shared" ref="F5:F9" si="0">E5-D5</f>
        <v>-10</v>
      </c>
      <c r="G5" s="48">
        <f t="shared" ref="G5:G9" si="1">E5/D5*100%</f>
        <v>0.6</v>
      </c>
    </row>
    <row r="6" spans="1:7">
      <c r="A6" s="45">
        <v>3</v>
      </c>
      <c r="B6" s="139" t="s">
        <v>481</v>
      </c>
      <c r="C6" s="45" t="s">
        <v>76</v>
      </c>
      <c r="D6" s="140">
        <v>25</v>
      </c>
      <c r="E6" s="140">
        <v>25</v>
      </c>
      <c r="F6" s="45">
        <f t="shared" si="0"/>
        <v>0</v>
      </c>
      <c r="G6" s="48">
        <f t="shared" si="1"/>
        <v>1</v>
      </c>
    </row>
    <row r="7" spans="1:7">
      <c r="A7" s="45">
        <v>4</v>
      </c>
      <c r="B7" s="139" t="s">
        <v>482</v>
      </c>
      <c r="C7" s="45" t="s">
        <v>76</v>
      </c>
      <c r="D7" s="140">
        <v>25</v>
      </c>
      <c r="E7" s="140">
        <v>14</v>
      </c>
      <c r="F7" s="45">
        <f t="shared" si="0"/>
        <v>-11</v>
      </c>
      <c r="G7" s="48">
        <f t="shared" si="1"/>
        <v>0.56000000000000005</v>
      </c>
    </row>
    <row r="8" spans="1:7">
      <c r="A8" s="45">
        <v>5</v>
      </c>
      <c r="B8" s="139" t="s">
        <v>483</v>
      </c>
      <c r="C8" s="45" t="s">
        <v>76</v>
      </c>
      <c r="D8" s="140">
        <v>25</v>
      </c>
      <c r="E8" s="140">
        <v>13</v>
      </c>
      <c r="F8" s="45">
        <f t="shared" si="0"/>
        <v>-12</v>
      </c>
      <c r="G8" s="48">
        <f t="shared" si="1"/>
        <v>0.52</v>
      </c>
    </row>
    <row r="9" spans="1:7">
      <c r="A9" s="45"/>
      <c r="B9" s="50" t="s">
        <v>50</v>
      </c>
      <c r="C9" s="50"/>
      <c r="D9" s="50">
        <v>150</v>
      </c>
      <c r="E9" s="50">
        <f>SUM(E4:E8)</f>
        <v>67</v>
      </c>
      <c r="F9" s="50">
        <f t="shared" si="0"/>
        <v>-83</v>
      </c>
      <c r="G9" s="58">
        <f t="shared" si="1"/>
        <v>0.44666666666666666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4244-B569-4C7B-8611-D399751AA899}">
  <dimension ref="A1:G54"/>
  <sheetViews>
    <sheetView topLeftCell="A43" workbookViewId="0">
      <selection activeCell="B43" sqref="B43"/>
    </sheetView>
  </sheetViews>
  <sheetFormatPr defaultRowHeight="14.5"/>
  <cols>
    <col min="1" max="1" width="4.08984375" customWidth="1"/>
    <col min="2" max="2" width="31.08984375" customWidth="1"/>
    <col min="4" max="4" width="9.36328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6">
        <v>1</v>
      </c>
      <c r="B4" s="156" t="s">
        <v>602</v>
      </c>
      <c r="C4" s="110" t="s">
        <v>75</v>
      </c>
      <c r="D4" s="110">
        <v>35</v>
      </c>
      <c r="E4" s="110">
        <v>0</v>
      </c>
      <c r="F4" s="46">
        <f>E4-D4</f>
        <v>-35</v>
      </c>
      <c r="G4" s="47">
        <f>E4/D4*100%</f>
        <v>0</v>
      </c>
    </row>
    <row r="5" spans="1:7">
      <c r="A5" s="46">
        <v>2</v>
      </c>
      <c r="B5" s="109" t="s">
        <v>603</v>
      </c>
      <c r="C5" s="110" t="s">
        <v>76</v>
      </c>
      <c r="D5" s="110">
        <v>25</v>
      </c>
      <c r="E5" s="110">
        <v>60</v>
      </c>
      <c r="F5" s="46">
        <f t="shared" ref="F5:F54" si="0">E5-D5</f>
        <v>35</v>
      </c>
      <c r="G5" s="47">
        <f t="shared" ref="G5:G54" si="1">E5/D5*100%</f>
        <v>2.4</v>
      </c>
    </row>
    <row r="6" spans="1:7">
      <c r="A6" s="46">
        <v>3</v>
      </c>
      <c r="B6" s="46" t="s">
        <v>604</v>
      </c>
      <c r="C6" s="110" t="s">
        <v>76</v>
      </c>
      <c r="D6" s="110">
        <v>25</v>
      </c>
      <c r="E6" s="110">
        <v>25</v>
      </c>
      <c r="F6" s="46">
        <f t="shared" si="0"/>
        <v>0</v>
      </c>
      <c r="G6" s="47">
        <f t="shared" si="1"/>
        <v>1</v>
      </c>
    </row>
    <row r="7" spans="1:7">
      <c r="A7" s="46">
        <v>4</v>
      </c>
      <c r="B7" s="109" t="s">
        <v>605</v>
      </c>
      <c r="C7" s="110" t="s">
        <v>76</v>
      </c>
      <c r="D7" s="110">
        <v>25</v>
      </c>
      <c r="E7" s="110">
        <v>33</v>
      </c>
      <c r="F7" s="46">
        <f t="shared" si="0"/>
        <v>8</v>
      </c>
      <c r="G7" s="47">
        <f t="shared" si="1"/>
        <v>1.32</v>
      </c>
    </row>
    <row r="8" spans="1:7">
      <c r="A8" s="46">
        <v>5</v>
      </c>
      <c r="B8" s="46" t="s">
        <v>606</v>
      </c>
      <c r="C8" s="110" t="s">
        <v>76</v>
      </c>
      <c r="D8" s="110">
        <v>25</v>
      </c>
      <c r="E8" s="110">
        <v>25</v>
      </c>
      <c r="F8" s="46">
        <f t="shared" si="0"/>
        <v>0</v>
      </c>
      <c r="G8" s="47">
        <f t="shared" si="1"/>
        <v>1</v>
      </c>
    </row>
    <row r="9" spans="1:7">
      <c r="A9" s="46">
        <v>6</v>
      </c>
      <c r="B9" s="46" t="s">
        <v>607</v>
      </c>
      <c r="C9" s="110" t="s">
        <v>76</v>
      </c>
      <c r="D9" s="110">
        <v>25</v>
      </c>
      <c r="E9" s="110">
        <v>25</v>
      </c>
      <c r="F9" s="46">
        <f t="shared" si="0"/>
        <v>0</v>
      </c>
      <c r="G9" s="47">
        <f t="shared" si="1"/>
        <v>1</v>
      </c>
    </row>
    <row r="10" spans="1:7">
      <c r="A10" s="46">
        <v>7</v>
      </c>
      <c r="B10" s="156" t="s">
        <v>608</v>
      </c>
      <c r="C10" s="110" t="s">
        <v>75</v>
      </c>
      <c r="D10" s="110">
        <v>35</v>
      </c>
      <c r="E10" s="5">
        <v>11</v>
      </c>
      <c r="F10" s="46">
        <f t="shared" si="0"/>
        <v>-24</v>
      </c>
      <c r="G10" s="47">
        <f t="shared" si="1"/>
        <v>0.31428571428571428</v>
      </c>
    </row>
    <row r="11" spans="1:7">
      <c r="A11" s="46">
        <v>8</v>
      </c>
      <c r="B11" s="46" t="s">
        <v>609</v>
      </c>
      <c r="C11" s="110" t="s">
        <v>76</v>
      </c>
      <c r="D11" s="110">
        <v>25</v>
      </c>
      <c r="E11" s="5">
        <v>31</v>
      </c>
      <c r="F11" s="46">
        <f t="shared" si="0"/>
        <v>6</v>
      </c>
      <c r="G11" s="47">
        <f t="shared" si="1"/>
        <v>1.24</v>
      </c>
    </row>
    <row r="12" spans="1:7">
      <c r="A12" s="46">
        <v>9</v>
      </c>
      <c r="B12" s="46" t="s">
        <v>610</v>
      </c>
      <c r="C12" s="110" t="s">
        <v>76</v>
      </c>
      <c r="D12" s="110">
        <v>25</v>
      </c>
      <c r="E12" s="5">
        <v>22</v>
      </c>
      <c r="F12" s="46">
        <f t="shared" si="0"/>
        <v>-3</v>
      </c>
      <c r="G12" s="47">
        <f t="shared" si="1"/>
        <v>0.88</v>
      </c>
    </row>
    <row r="13" spans="1:7">
      <c r="A13" s="46">
        <v>10</v>
      </c>
      <c r="B13" s="156" t="s">
        <v>611</v>
      </c>
      <c r="C13" s="110" t="s">
        <v>76</v>
      </c>
      <c r="D13" s="110">
        <v>25</v>
      </c>
      <c r="E13" s="5">
        <v>28</v>
      </c>
      <c r="F13" s="46">
        <f t="shared" si="0"/>
        <v>3</v>
      </c>
      <c r="G13" s="47">
        <f t="shared" si="1"/>
        <v>1.1200000000000001</v>
      </c>
    </row>
    <row r="14" spans="1:7">
      <c r="A14" s="46">
        <v>11</v>
      </c>
      <c r="B14" s="46" t="s">
        <v>612</v>
      </c>
      <c r="C14" s="110" t="s">
        <v>76</v>
      </c>
      <c r="D14" s="110">
        <v>25</v>
      </c>
      <c r="E14" s="5">
        <v>21</v>
      </c>
      <c r="F14" s="46">
        <f t="shared" si="0"/>
        <v>-4</v>
      </c>
      <c r="G14" s="47">
        <f t="shared" si="1"/>
        <v>0.84</v>
      </c>
    </row>
    <row r="15" spans="1:7">
      <c r="A15" s="46">
        <v>12</v>
      </c>
      <c r="B15" s="157" t="s">
        <v>613</v>
      </c>
      <c r="C15" s="110" t="s">
        <v>75</v>
      </c>
      <c r="D15" s="110">
        <v>35</v>
      </c>
      <c r="E15" s="5">
        <v>22</v>
      </c>
      <c r="F15" s="46">
        <f t="shared" si="0"/>
        <v>-13</v>
      </c>
      <c r="G15" s="47">
        <f t="shared" si="1"/>
        <v>0.62857142857142856</v>
      </c>
    </row>
    <row r="16" spans="1:7">
      <c r="A16" s="46">
        <v>13</v>
      </c>
      <c r="B16" s="157" t="s">
        <v>614</v>
      </c>
      <c r="C16" s="110" t="s">
        <v>76</v>
      </c>
      <c r="D16" s="110">
        <v>25</v>
      </c>
      <c r="E16" s="5">
        <v>35</v>
      </c>
      <c r="F16" s="46">
        <f t="shared" si="0"/>
        <v>10</v>
      </c>
      <c r="G16" s="47">
        <f t="shared" si="1"/>
        <v>1.4</v>
      </c>
    </row>
    <row r="17" spans="1:7">
      <c r="A17" s="46">
        <v>14</v>
      </c>
      <c r="B17" s="157" t="s">
        <v>615</v>
      </c>
      <c r="C17" s="110" t="s">
        <v>76</v>
      </c>
      <c r="D17" s="110">
        <v>25</v>
      </c>
      <c r="E17" s="110">
        <v>29</v>
      </c>
      <c r="F17" s="46">
        <f t="shared" si="0"/>
        <v>4</v>
      </c>
      <c r="G17" s="47">
        <f t="shared" si="1"/>
        <v>1.1599999999999999</v>
      </c>
    </row>
    <row r="18" spans="1:7">
      <c r="A18" s="46">
        <v>15</v>
      </c>
      <c r="B18" s="157" t="s">
        <v>616</v>
      </c>
      <c r="C18" s="110" t="s">
        <v>76</v>
      </c>
      <c r="D18" s="110">
        <v>25</v>
      </c>
      <c r="E18" s="5">
        <v>34</v>
      </c>
      <c r="F18" s="46">
        <f t="shared" si="0"/>
        <v>9</v>
      </c>
      <c r="G18" s="47">
        <f t="shared" si="1"/>
        <v>1.36</v>
      </c>
    </row>
    <row r="19" spans="1:7">
      <c r="A19" s="46">
        <v>16</v>
      </c>
      <c r="B19" s="157" t="s">
        <v>617</v>
      </c>
      <c r="C19" s="110" t="s">
        <v>76</v>
      </c>
      <c r="D19" s="110">
        <v>25</v>
      </c>
      <c r="E19" s="5">
        <v>17</v>
      </c>
      <c r="F19" s="46">
        <f t="shared" si="0"/>
        <v>-8</v>
      </c>
      <c r="G19" s="47">
        <f t="shared" si="1"/>
        <v>0.68</v>
      </c>
    </row>
    <row r="20" spans="1:7">
      <c r="A20" s="46">
        <v>17</v>
      </c>
      <c r="B20" s="46" t="s">
        <v>618</v>
      </c>
      <c r="C20" s="110" t="s">
        <v>76</v>
      </c>
      <c r="D20" s="110">
        <v>25</v>
      </c>
      <c r="E20" s="5">
        <v>1</v>
      </c>
      <c r="F20" s="46">
        <f t="shared" si="0"/>
        <v>-24</v>
      </c>
      <c r="G20" s="47">
        <f t="shared" si="1"/>
        <v>0.04</v>
      </c>
    </row>
    <row r="21" spans="1:7">
      <c r="A21" s="46">
        <v>18</v>
      </c>
      <c r="B21" s="156" t="s">
        <v>619</v>
      </c>
      <c r="C21" s="110" t="s">
        <v>75</v>
      </c>
      <c r="D21" s="110">
        <v>35</v>
      </c>
      <c r="E21" s="5">
        <v>13</v>
      </c>
      <c r="F21" s="46">
        <f t="shared" si="0"/>
        <v>-22</v>
      </c>
      <c r="G21" s="47">
        <f t="shared" si="1"/>
        <v>0.37142857142857144</v>
      </c>
    </row>
    <row r="22" spans="1:7">
      <c r="A22" s="46">
        <v>19</v>
      </c>
      <c r="B22" s="109" t="s">
        <v>620</v>
      </c>
      <c r="C22" s="110" t="s">
        <v>76</v>
      </c>
      <c r="D22" s="110">
        <v>25</v>
      </c>
      <c r="E22" s="5">
        <v>25</v>
      </c>
      <c r="F22" s="46">
        <f t="shared" si="0"/>
        <v>0</v>
      </c>
      <c r="G22" s="47">
        <f t="shared" si="1"/>
        <v>1</v>
      </c>
    </row>
    <row r="23" spans="1:7">
      <c r="A23" s="46">
        <v>20</v>
      </c>
      <c r="B23" s="109" t="s">
        <v>621</v>
      </c>
      <c r="C23" s="110" t="s">
        <v>76</v>
      </c>
      <c r="D23" s="110">
        <v>25</v>
      </c>
      <c r="E23" s="5">
        <v>31</v>
      </c>
      <c r="F23" s="46">
        <f t="shared" si="0"/>
        <v>6</v>
      </c>
      <c r="G23" s="47">
        <f t="shared" si="1"/>
        <v>1.24</v>
      </c>
    </row>
    <row r="24" spans="1:7">
      <c r="A24" s="46">
        <v>21</v>
      </c>
      <c r="B24" s="109" t="s">
        <v>622</v>
      </c>
      <c r="C24" s="110" t="s">
        <v>76</v>
      </c>
      <c r="D24" s="110">
        <v>25</v>
      </c>
      <c r="E24" s="5">
        <v>19</v>
      </c>
      <c r="F24" s="46">
        <f t="shared" si="0"/>
        <v>-6</v>
      </c>
      <c r="G24" s="47">
        <f t="shared" si="1"/>
        <v>0.76</v>
      </c>
    </row>
    <row r="25" spans="1:7">
      <c r="A25" s="46">
        <v>22</v>
      </c>
      <c r="B25" s="109" t="s">
        <v>623</v>
      </c>
      <c r="C25" s="110" t="s">
        <v>76</v>
      </c>
      <c r="D25" s="110">
        <v>25</v>
      </c>
      <c r="E25" s="5">
        <v>31</v>
      </c>
      <c r="F25" s="46">
        <f t="shared" si="0"/>
        <v>6</v>
      </c>
      <c r="G25" s="47">
        <f t="shared" si="1"/>
        <v>1.24</v>
      </c>
    </row>
    <row r="26" spans="1:7">
      <c r="A26" s="46">
        <v>23</v>
      </c>
      <c r="B26" s="109" t="s">
        <v>624</v>
      </c>
      <c r="C26" s="110" t="s">
        <v>76</v>
      </c>
      <c r="D26" s="110">
        <v>25</v>
      </c>
      <c r="E26" s="5">
        <v>18</v>
      </c>
      <c r="F26" s="46">
        <f t="shared" si="0"/>
        <v>-7</v>
      </c>
      <c r="G26" s="47">
        <f t="shared" si="1"/>
        <v>0.72</v>
      </c>
    </row>
    <row r="27" spans="1:7">
      <c r="A27" s="46">
        <v>24</v>
      </c>
      <c r="B27" s="156" t="s">
        <v>625</v>
      </c>
      <c r="C27" s="110" t="s">
        <v>75</v>
      </c>
      <c r="D27" s="110">
        <v>35</v>
      </c>
      <c r="E27" s="5">
        <v>11</v>
      </c>
      <c r="F27" s="46">
        <f t="shared" si="0"/>
        <v>-24</v>
      </c>
      <c r="G27" s="47">
        <f t="shared" si="1"/>
        <v>0.31428571428571428</v>
      </c>
    </row>
    <row r="28" spans="1:7">
      <c r="A28" s="46">
        <v>25</v>
      </c>
      <c r="B28" s="109" t="s">
        <v>626</v>
      </c>
      <c r="C28" s="110" t="s">
        <v>76</v>
      </c>
      <c r="D28" s="110">
        <v>25</v>
      </c>
      <c r="E28" s="5">
        <v>18</v>
      </c>
      <c r="F28" s="46">
        <f t="shared" si="0"/>
        <v>-7</v>
      </c>
      <c r="G28" s="47">
        <f t="shared" si="1"/>
        <v>0.72</v>
      </c>
    </row>
    <row r="29" spans="1:7">
      <c r="A29" s="46">
        <v>26</v>
      </c>
      <c r="B29" s="109" t="s">
        <v>627</v>
      </c>
      <c r="C29" s="110" t="s">
        <v>76</v>
      </c>
      <c r="D29" s="110">
        <v>25</v>
      </c>
      <c r="E29" s="5">
        <v>25</v>
      </c>
      <c r="F29" s="46">
        <f t="shared" si="0"/>
        <v>0</v>
      </c>
      <c r="G29" s="47">
        <f t="shared" si="1"/>
        <v>1</v>
      </c>
    </row>
    <row r="30" spans="1:7">
      <c r="A30" s="46">
        <v>27</v>
      </c>
      <c r="B30" s="109" t="s">
        <v>628</v>
      </c>
      <c r="C30" s="110" t="s">
        <v>76</v>
      </c>
      <c r="D30" s="110">
        <v>25</v>
      </c>
      <c r="E30" s="5">
        <v>18</v>
      </c>
      <c r="F30" s="46">
        <f t="shared" si="0"/>
        <v>-7</v>
      </c>
      <c r="G30" s="47">
        <f t="shared" si="1"/>
        <v>0.72</v>
      </c>
    </row>
    <row r="31" spans="1:7">
      <c r="A31" s="46">
        <v>28</v>
      </c>
      <c r="B31" s="46" t="s">
        <v>629</v>
      </c>
      <c r="C31" s="110" t="s">
        <v>76</v>
      </c>
      <c r="D31" s="110">
        <v>25</v>
      </c>
      <c r="E31" s="158">
        <v>25</v>
      </c>
      <c r="F31" s="46">
        <f t="shared" si="0"/>
        <v>0</v>
      </c>
      <c r="G31" s="47">
        <f t="shared" si="1"/>
        <v>1</v>
      </c>
    </row>
    <row r="32" spans="1:7">
      <c r="A32" s="46">
        <v>29</v>
      </c>
      <c r="B32" s="46" t="s">
        <v>630</v>
      </c>
      <c r="C32" s="110" t="s">
        <v>76</v>
      </c>
      <c r="D32" s="110">
        <v>25</v>
      </c>
      <c r="E32" s="158">
        <v>8</v>
      </c>
      <c r="F32" s="46">
        <f t="shared" si="0"/>
        <v>-17</v>
      </c>
      <c r="G32" s="47">
        <f t="shared" si="1"/>
        <v>0.32</v>
      </c>
    </row>
    <row r="33" spans="1:7">
      <c r="A33" s="46">
        <v>30</v>
      </c>
      <c r="B33" s="156" t="s">
        <v>631</v>
      </c>
      <c r="C33" s="110" t="s">
        <v>75</v>
      </c>
      <c r="D33" s="110">
        <v>35</v>
      </c>
      <c r="E33" s="158">
        <v>0</v>
      </c>
      <c r="F33" s="46">
        <f t="shared" si="0"/>
        <v>-35</v>
      </c>
      <c r="G33" s="47">
        <f t="shared" si="1"/>
        <v>0</v>
      </c>
    </row>
    <row r="34" spans="1:7">
      <c r="A34" s="46">
        <v>31</v>
      </c>
      <c r="B34" s="109" t="s">
        <v>632</v>
      </c>
      <c r="C34" s="110" t="s">
        <v>76</v>
      </c>
      <c r="D34" s="110">
        <v>25</v>
      </c>
      <c r="E34" s="158">
        <v>36</v>
      </c>
      <c r="F34" s="46">
        <f t="shared" si="0"/>
        <v>11</v>
      </c>
      <c r="G34" s="47">
        <f t="shared" si="1"/>
        <v>1.44</v>
      </c>
    </row>
    <row r="35" spans="1:7">
      <c r="A35" s="46">
        <v>32</v>
      </c>
      <c r="B35" s="109" t="s">
        <v>633</v>
      </c>
      <c r="C35" s="110" t="s">
        <v>76</v>
      </c>
      <c r="D35" s="110">
        <v>25</v>
      </c>
      <c r="E35" s="158">
        <v>47</v>
      </c>
      <c r="F35" s="46">
        <f t="shared" si="0"/>
        <v>22</v>
      </c>
      <c r="G35" s="47">
        <f t="shared" si="1"/>
        <v>1.88</v>
      </c>
    </row>
    <row r="36" spans="1:7">
      <c r="A36" s="46">
        <v>33</v>
      </c>
      <c r="B36" s="109" t="s">
        <v>634</v>
      </c>
      <c r="C36" s="110" t="s">
        <v>76</v>
      </c>
      <c r="D36" s="110">
        <v>25</v>
      </c>
      <c r="E36" s="158">
        <v>29</v>
      </c>
      <c r="F36" s="46">
        <f t="shared" si="0"/>
        <v>4</v>
      </c>
      <c r="G36" s="47">
        <f t="shared" si="1"/>
        <v>1.1599999999999999</v>
      </c>
    </row>
    <row r="37" spans="1:7">
      <c r="A37" s="46">
        <v>34</v>
      </c>
      <c r="B37" s="109" t="s">
        <v>635</v>
      </c>
      <c r="C37" s="110" t="s">
        <v>76</v>
      </c>
      <c r="D37" s="110">
        <v>25</v>
      </c>
      <c r="E37" s="158">
        <v>25</v>
      </c>
      <c r="F37" s="46">
        <f t="shared" si="0"/>
        <v>0</v>
      </c>
      <c r="G37" s="47">
        <f t="shared" si="1"/>
        <v>1</v>
      </c>
    </row>
    <row r="38" spans="1:7">
      <c r="A38" s="46">
        <v>35</v>
      </c>
      <c r="B38" s="109" t="s">
        <v>636</v>
      </c>
      <c r="C38" s="110" t="s">
        <v>76</v>
      </c>
      <c r="D38" s="110">
        <v>25</v>
      </c>
      <c r="E38" s="158">
        <v>25</v>
      </c>
      <c r="F38" s="46">
        <f t="shared" si="0"/>
        <v>0</v>
      </c>
      <c r="G38" s="47">
        <f t="shared" si="1"/>
        <v>1</v>
      </c>
    </row>
    <row r="39" spans="1:7">
      <c r="A39" s="46">
        <v>36</v>
      </c>
      <c r="B39" s="156" t="s">
        <v>637</v>
      </c>
      <c r="C39" s="110" t="s">
        <v>75</v>
      </c>
      <c r="D39" s="110">
        <v>35</v>
      </c>
      <c r="E39" s="158">
        <v>0</v>
      </c>
      <c r="F39" s="46">
        <f t="shared" si="0"/>
        <v>-35</v>
      </c>
      <c r="G39" s="47">
        <f t="shared" si="1"/>
        <v>0</v>
      </c>
    </row>
    <row r="40" spans="1:7">
      <c r="A40" s="46">
        <v>37</v>
      </c>
      <c r="B40" s="109" t="s">
        <v>638</v>
      </c>
      <c r="C40" s="110" t="s">
        <v>76</v>
      </c>
      <c r="D40" s="110">
        <v>25</v>
      </c>
      <c r="E40" s="158">
        <v>66</v>
      </c>
      <c r="F40" s="46">
        <f t="shared" si="0"/>
        <v>41</v>
      </c>
      <c r="G40" s="47">
        <f t="shared" si="1"/>
        <v>2.64</v>
      </c>
    </row>
    <row r="41" spans="1:7">
      <c r="A41" s="46">
        <v>38</v>
      </c>
      <c r="B41" s="109" t="s">
        <v>639</v>
      </c>
      <c r="C41" s="110" t="s">
        <v>76</v>
      </c>
      <c r="D41" s="110">
        <v>25</v>
      </c>
      <c r="E41" s="158">
        <v>24</v>
      </c>
      <c r="F41" s="46">
        <f t="shared" si="0"/>
        <v>-1</v>
      </c>
      <c r="G41" s="47">
        <f t="shared" si="1"/>
        <v>0.96</v>
      </c>
    </row>
    <row r="42" spans="1:7">
      <c r="A42" s="46">
        <v>39</v>
      </c>
      <c r="B42" s="109" t="s">
        <v>640</v>
      </c>
      <c r="C42" s="110" t="s">
        <v>76</v>
      </c>
      <c r="D42" s="110">
        <v>25</v>
      </c>
      <c r="E42" s="158">
        <v>19</v>
      </c>
      <c r="F42" s="46">
        <f t="shared" si="0"/>
        <v>-6</v>
      </c>
      <c r="G42" s="47">
        <f t="shared" si="1"/>
        <v>0.76</v>
      </c>
    </row>
    <row r="43" spans="1:7">
      <c r="A43" s="46">
        <v>40</v>
      </c>
      <c r="B43" s="109" t="s">
        <v>641</v>
      </c>
      <c r="C43" s="110" t="s">
        <v>76</v>
      </c>
      <c r="D43" s="110">
        <v>25</v>
      </c>
      <c r="E43" s="158">
        <v>82</v>
      </c>
      <c r="F43" s="46">
        <f t="shared" si="0"/>
        <v>57</v>
      </c>
      <c r="G43" s="47">
        <f t="shared" si="1"/>
        <v>3.28</v>
      </c>
    </row>
    <row r="44" spans="1:7">
      <c r="A44" s="46">
        <v>41</v>
      </c>
      <c r="B44" s="46" t="s">
        <v>642</v>
      </c>
      <c r="C44" s="110" t="s">
        <v>76</v>
      </c>
      <c r="D44" s="110">
        <v>25</v>
      </c>
      <c r="E44" s="158">
        <v>23</v>
      </c>
      <c r="F44" s="46">
        <f t="shared" si="0"/>
        <v>-2</v>
      </c>
      <c r="G44" s="47">
        <f t="shared" si="1"/>
        <v>0.92</v>
      </c>
    </row>
    <row r="45" spans="1:7">
      <c r="A45" s="46">
        <v>42</v>
      </c>
      <c r="B45" s="46" t="s">
        <v>643</v>
      </c>
      <c r="C45" s="110" t="s">
        <v>76</v>
      </c>
      <c r="D45" s="110">
        <v>25</v>
      </c>
      <c r="E45" s="158">
        <v>20</v>
      </c>
      <c r="F45" s="46">
        <f t="shared" si="0"/>
        <v>-5</v>
      </c>
      <c r="G45" s="47">
        <f t="shared" si="1"/>
        <v>0.8</v>
      </c>
    </row>
    <row r="46" spans="1:7">
      <c r="A46" s="46">
        <v>43</v>
      </c>
      <c r="B46" s="159" t="s">
        <v>644</v>
      </c>
      <c r="C46" s="110" t="s">
        <v>75</v>
      </c>
      <c r="D46" s="110">
        <v>35</v>
      </c>
      <c r="E46" s="158">
        <v>0</v>
      </c>
      <c r="F46" s="46">
        <f t="shared" si="0"/>
        <v>-35</v>
      </c>
      <c r="G46" s="47">
        <f t="shared" si="1"/>
        <v>0</v>
      </c>
    </row>
    <row r="47" spans="1:7">
      <c r="A47" s="46">
        <v>44</v>
      </c>
      <c r="B47" s="109" t="s">
        <v>645</v>
      </c>
      <c r="C47" s="110" t="s">
        <v>76</v>
      </c>
      <c r="D47" s="110">
        <v>25</v>
      </c>
      <c r="E47" s="158">
        <v>72</v>
      </c>
      <c r="F47" s="46">
        <f t="shared" si="0"/>
        <v>47</v>
      </c>
      <c r="G47" s="47">
        <f t="shared" si="1"/>
        <v>2.88</v>
      </c>
    </row>
    <row r="48" spans="1:7">
      <c r="A48" s="46">
        <v>45</v>
      </c>
      <c r="B48" s="109" t="s">
        <v>646</v>
      </c>
      <c r="C48" s="110" t="s">
        <v>76</v>
      </c>
      <c r="D48" s="110">
        <v>25</v>
      </c>
      <c r="E48" s="158">
        <v>43</v>
      </c>
      <c r="F48" s="46">
        <f t="shared" si="0"/>
        <v>18</v>
      </c>
      <c r="G48" s="47">
        <f t="shared" si="1"/>
        <v>1.72</v>
      </c>
    </row>
    <row r="49" spans="1:7">
      <c r="A49" s="46">
        <v>46</v>
      </c>
      <c r="B49" s="109" t="s">
        <v>647</v>
      </c>
      <c r="C49" s="110" t="s">
        <v>76</v>
      </c>
      <c r="D49" s="110">
        <v>25</v>
      </c>
      <c r="E49" s="158">
        <v>26</v>
      </c>
      <c r="F49" s="46">
        <f t="shared" si="0"/>
        <v>1</v>
      </c>
      <c r="G49" s="47">
        <f t="shared" si="1"/>
        <v>1.04</v>
      </c>
    </row>
    <row r="50" spans="1:7">
      <c r="A50" s="46">
        <v>47</v>
      </c>
      <c r="B50" s="109" t="s">
        <v>648</v>
      </c>
      <c r="C50" s="110" t="s">
        <v>76</v>
      </c>
      <c r="D50" s="110">
        <v>25</v>
      </c>
      <c r="E50" s="158">
        <v>26</v>
      </c>
      <c r="F50" s="46">
        <f t="shared" si="0"/>
        <v>1</v>
      </c>
      <c r="G50" s="47">
        <f t="shared" si="1"/>
        <v>1.04</v>
      </c>
    </row>
    <row r="51" spans="1:7">
      <c r="A51" s="46">
        <v>48</v>
      </c>
      <c r="B51" s="109" t="s">
        <v>649</v>
      </c>
      <c r="C51" s="110" t="s">
        <v>76</v>
      </c>
      <c r="D51" s="110">
        <v>25</v>
      </c>
      <c r="E51" s="158">
        <v>22</v>
      </c>
      <c r="F51" s="46">
        <f t="shared" si="0"/>
        <v>-3</v>
      </c>
      <c r="G51" s="47">
        <f t="shared" si="1"/>
        <v>0.88</v>
      </c>
    </row>
    <row r="52" spans="1:7">
      <c r="A52" s="46">
        <v>49</v>
      </c>
      <c r="B52" s="109" t="s">
        <v>650</v>
      </c>
      <c r="C52" s="110" t="s">
        <v>76</v>
      </c>
      <c r="D52" s="110">
        <v>25</v>
      </c>
      <c r="E52" s="158">
        <v>25</v>
      </c>
      <c r="F52" s="46">
        <f t="shared" si="0"/>
        <v>0</v>
      </c>
      <c r="G52" s="47">
        <f t="shared" si="1"/>
        <v>1</v>
      </c>
    </row>
    <row r="53" spans="1:7">
      <c r="A53" s="46">
        <v>50</v>
      </c>
      <c r="B53" s="109" t="s">
        <v>651</v>
      </c>
      <c r="C53" s="110" t="s">
        <v>76</v>
      </c>
      <c r="D53" s="110">
        <v>25</v>
      </c>
      <c r="E53" s="158">
        <v>10</v>
      </c>
      <c r="F53" s="46">
        <f t="shared" si="0"/>
        <v>-15</v>
      </c>
      <c r="G53" s="47">
        <f t="shared" si="1"/>
        <v>0.4</v>
      </c>
    </row>
    <row r="54" spans="1:7">
      <c r="A54" s="46"/>
      <c r="B54" s="46" t="s">
        <v>50</v>
      </c>
      <c r="C54" s="46"/>
      <c r="D54" s="46">
        <v>1280</v>
      </c>
      <c r="E54" s="46">
        <f>SUM(E4:E53)</f>
        <v>1281</v>
      </c>
      <c r="F54" s="46">
        <f t="shared" si="0"/>
        <v>1</v>
      </c>
      <c r="G54" s="47">
        <f t="shared" si="1"/>
        <v>1.00078125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2DA6-D105-4775-97DB-F6B918725114}">
  <dimension ref="A1:G21"/>
  <sheetViews>
    <sheetView topLeftCell="A7" workbookViewId="0">
      <selection activeCell="I6" sqref="I6"/>
    </sheetView>
  </sheetViews>
  <sheetFormatPr defaultRowHeight="14.5"/>
  <cols>
    <col min="1" max="1" width="5.6328125" customWidth="1"/>
    <col min="2" max="2" width="24.089843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07" t="s">
        <v>276</v>
      </c>
      <c r="C4" s="108" t="s">
        <v>75</v>
      </c>
      <c r="D4" s="108">
        <v>35</v>
      </c>
      <c r="E4" s="108">
        <v>18</v>
      </c>
      <c r="F4" s="45">
        <f>E4-D4</f>
        <v>-17</v>
      </c>
      <c r="G4" s="48">
        <f>E4/D4*100%</f>
        <v>0.51428571428571423</v>
      </c>
    </row>
    <row r="5" spans="1:7">
      <c r="A5" s="45">
        <v>2</v>
      </c>
      <c r="B5" s="109" t="s">
        <v>277</v>
      </c>
      <c r="C5" s="110" t="s">
        <v>76</v>
      </c>
      <c r="D5" s="108">
        <v>25</v>
      </c>
      <c r="E5" s="108">
        <v>24</v>
      </c>
      <c r="F5" s="45">
        <f t="shared" ref="F5:F21" si="0">E5-D5</f>
        <v>-1</v>
      </c>
      <c r="G5" s="48">
        <f t="shared" ref="G5:G21" si="1">E5/D5*100%</f>
        <v>0.96</v>
      </c>
    </row>
    <row r="6" spans="1:7">
      <c r="A6" s="45">
        <v>3</v>
      </c>
      <c r="B6" s="109" t="s">
        <v>278</v>
      </c>
      <c r="C6" s="110" t="s">
        <v>76</v>
      </c>
      <c r="D6" s="108">
        <v>25</v>
      </c>
      <c r="E6" s="108">
        <v>30</v>
      </c>
      <c r="F6" s="45">
        <f t="shared" si="0"/>
        <v>5</v>
      </c>
      <c r="G6" s="48">
        <f t="shared" si="1"/>
        <v>1.2</v>
      </c>
    </row>
    <row r="7" spans="1:7">
      <c r="A7" s="45">
        <v>4</v>
      </c>
      <c r="B7" s="109" t="s">
        <v>279</v>
      </c>
      <c r="C7" s="110" t="s">
        <v>76</v>
      </c>
      <c r="D7" s="108">
        <v>25</v>
      </c>
      <c r="E7" s="108">
        <v>10</v>
      </c>
      <c r="F7" s="45">
        <f t="shared" si="0"/>
        <v>-15</v>
      </c>
      <c r="G7" s="48">
        <f t="shared" si="1"/>
        <v>0.4</v>
      </c>
    </row>
    <row r="8" spans="1:7">
      <c r="A8" s="45">
        <v>5</v>
      </c>
      <c r="B8" s="46" t="s">
        <v>280</v>
      </c>
      <c r="C8" s="110" t="s">
        <v>76</v>
      </c>
      <c r="D8" s="108">
        <v>25</v>
      </c>
      <c r="E8" s="108">
        <v>21</v>
      </c>
      <c r="F8" s="45">
        <f t="shared" si="0"/>
        <v>-4</v>
      </c>
      <c r="G8" s="48">
        <f t="shared" si="1"/>
        <v>0.84</v>
      </c>
    </row>
    <row r="9" spans="1:7">
      <c r="A9" s="45">
        <v>6</v>
      </c>
      <c r="B9" s="46" t="s">
        <v>281</v>
      </c>
      <c r="C9" s="110" t="s">
        <v>76</v>
      </c>
      <c r="D9" s="108">
        <v>25</v>
      </c>
      <c r="E9" s="108">
        <v>24</v>
      </c>
      <c r="F9" s="45">
        <f t="shared" si="0"/>
        <v>-1</v>
      </c>
      <c r="G9" s="48">
        <f t="shared" si="1"/>
        <v>0.96</v>
      </c>
    </row>
    <row r="10" spans="1:7">
      <c r="A10" s="45">
        <v>7</v>
      </c>
      <c r="B10" s="46" t="s">
        <v>282</v>
      </c>
      <c r="C10" s="110" t="s">
        <v>76</v>
      </c>
      <c r="D10" s="108">
        <v>25</v>
      </c>
      <c r="E10" s="108">
        <v>8</v>
      </c>
      <c r="F10" s="45">
        <f t="shared" si="0"/>
        <v>-17</v>
      </c>
      <c r="G10" s="48">
        <f t="shared" si="1"/>
        <v>0.32</v>
      </c>
    </row>
    <row r="11" spans="1:7">
      <c r="A11" s="45">
        <v>8</v>
      </c>
      <c r="B11" s="46" t="s">
        <v>283</v>
      </c>
      <c r="C11" s="110" t="s">
        <v>76</v>
      </c>
      <c r="D11" s="108">
        <v>25</v>
      </c>
      <c r="E11" s="108">
        <v>18</v>
      </c>
      <c r="F11" s="45">
        <f t="shared" si="0"/>
        <v>-7</v>
      </c>
      <c r="G11" s="48">
        <f t="shared" si="1"/>
        <v>0.72</v>
      </c>
    </row>
    <row r="12" spans="1:7">
      <c r="A12" s="45">
        <v>9</v>
      </c>
      <c r="B12" s="46" t="s">
        <v>284</v>
      </c>
      <c r="C12" s="110" t="s">
        <v>76</v>
      </c>
      <c r="D12" s="108">
        <v>25</v>
      </c>
      <c r="E12" s="108">
        <v>10</v>
      </c>
      <c r="F12" s="45">
        <f t="shared" si="0"/>
        <v>-15</v>
      </c>
      <c r="G12" s="48">
        <f t="shared" si="1"/>
        <v>0.4</v>
      </c>
    </row>
    <row r="13" spans="1:7">
      <c r="A13" s="45">
        <v>10</v>
      </c>
      <c r="B13" s="46" t="s">
        <v>285</v>
      </c>
      <c r="C13" s="110" t="s">
        <v>76</v>
      </c>
      <c r="D13" s="108">
        <v>25</v>
      </c>
      <c r="E13" s="108">
        <v>4</v>
      </c>
      <c r="F13" s="45">
        <f t="shared" si="0"/>
        <v>-21</v>
      </c>
      <c r="G13" s="48">
        <f t="shared" si="1"/>
        <v>0.16</v>
      </c>
    </row>
    <row r="14" spans="1:7">
      <c r="A14" s="45">
        <v>11</v>
      </c>
      <c r="B14" s="107" t="s">
        <v>286</v>
      </c>
      <c r="C14" s="108" t="s">
        <v>75</v>
      </c>
      <c r="D14" s="108">
        <v>35</v>
      </c>
      <c r="E14" s="108">
        <v>21</v>
      </c>
      <c r="F14" s="45">
        <f t="shared" si="0"/>
        <v>-14</v>
      </c>
      <c r="G14" s="48">
        <f t="shared" si="1"/>
        <v>0.6</v>
      </c>
    </row>
    <row r="15" spans="1:7">
      <c r="A15" s="45">
        <v>12</v>
      </c>
      <c r="B15" s="109" t="s">
        <v>287</v>
      </c>
      <c r="C15" s="110" t="s">
        <v>76</v>
      </c>
      <c r="D15" s="108">
        <v>25</v>
      </c>
      <c r="E15" s="108">
        <v>12</v>
      </c>
      <c r="F15" s="45">
        <f t="shared" si="0"/>
        <v>-13</v>
      </c>
      <c r="G15" s="48">
        <f t="shared" si="1"/>
        <v>0.48</v>
      </c>
    </row>
    <row r="16" spans="1:7">
      <c r="A16" s="45">
        <v>13</v>
      </c>
      <c r="B16" s="109" t="s">
        <v>288</v>
      </c>
      <c r="C16" s="110" t="s">
        <v>76</v>
      </c>
      <c r="D16" s="108">
        <v>25</v>
      </c>
      <c r="E16" s="108">
        <v>19</v>
      </c>
      <c r="F16" s="45">
        <f t="shared" si="0"/>
        <v>-6</v>
      </c>
      <c r="G16" s="48">
        <f t="shared" si="1"/>
        <v>0.76</v>
      </c>
    </row>
    <row r="17" spans="1:7">
      <c r="A17" s="45">
        <v>14</v>
      </c>
      <c r="B17" s="111" t="s">
        <v>289</v>
      </c>
      <c r="C17" s="110" t="s">
        <v>76</v>
      </c>
      <c r="D17" s="108">
        <v>25</v>
      </c>
      <c r="E17" s="108">
        <v>19</v>
      </c>
      <c r="F17" s="45">
        <f t="shared" si="0"/>
        <v>-6</v>
      </c>
      <c r="G17" s="48">
        <f t="shared" si="1"/>
        <v>0.76</v>
      </c>
    </row>
    <row r="18" spans="1:7">
      <c r="A18" s="45">
        <v>15</v>
      </c>
      <c r="B18" s="111" t="s">
        <v>290</v>
      </c>
      <c r="C18" s="110" t="s">
        <v>76</v>
      </c>
      <c r="D18" s="108">
        <v>25</v>
      </c>
      <c r="E18" s="108">
        <v>8</v>
      </c>
      <c r="F18" s="45">
        <f t="shared" si="0"/>
        <v>-17</v>
      </c>
      <c r="G18" s="48">
        <f t="shared" si="1"/>
        <v>0.32</v>
      </c>
    </row>
    <row r="19" spans="1:7">
      <c r="A19" s="45">
        <v>16</v>
      </c>
      <c r="B19" s="45" t="s">
        <v>291</v>
      </c>
      <c r="C19" s="110" t="s">
        <v>76</v>
      </c>
      <c r="D19" s="108">
        <v>25</v>
      </c>
      <c r="E19" s="108">
        <v>7</v>
      </c>
      <c r="F19" s="45">
        <f t="shared" si="0"/>
        <v>-18</v>
      </c>
      <c r="G19" s="48">
        <f t="shared" si="1"/>
        <v>0.28000000000000003</v>
      </c>
    </row>
    <row r="20" spans="1:7">
      <c r="A20" s="45">
        <v>17</v>
      </c>
      <c r="B20" s="45" t="s">
        <v>292</v>
      </c>
      <c r="C20" s="110" t="s">
        <v>76</v>
      </c>
      <c r="D20" s="108">
        <v>25</v>
      </c>
      <c r="E20" s="108">
        <v>6</v>
      </c>
      <c r="F20" s="45">
        <f t="shared" si="0"/>
        <v>-19</v>
      </c>
      <c r="G20" s="48">
        <f t="shared" si="1"/>
        <v>0.24</v>
      </c>
    </row>
    <row r="21" spans="1:7">
      <c r="A21" s="45"/>
      <c r="B21" s="50" t="s">
        <v>50</v>
      </c>
      <c r="C21" s="50"/>
      <c r="D21" s="50">
        <v>420</v>
      </c>
      <c r="E21" s="50">
        <f>SUM(E4:E20)</f>
        <v>259</v>
      </c>
      <c r="F21" s="50">
        <f t="shared" si="0"/>
        <v>-161</v>
      </c>
      <c r="G21" s="58">
        <f t="shared" si="1"/>
        <v>0.6166666666666667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3207-D699-4E8A-9167-6CBCCC253F41}">
  <dimension ref="A1:G18"/>
  <sheetViews>
    <sheetView topLeftCell="A4" workbookViewId="0">
      <selection activeCell="J7" sqref="J7"/>
    </sheetView>
  </sheetViews>
  <sheetFormatPr defaultRowHeight="14.5"/>
  <cols>
    <col min="1" max="1" width="5.36328125" customWidth="1"/>
    <col min="2" max="2" width="36.089843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07" t="s">
        <v>262</v>
      </c>
      <c r="C4" s="108" t="s">
        <v>75</v>
      </c>
      <c r="D4" s="108">
        <v>35</v>
      </c>
      <c r="E4" s="108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109" t="s">
        <v>263</v>
      </c>
      <c r="C5" s="110" t="s">
        <v>76</v>
      </c>
      <c r="D5" s="108">
        <v>25</v>
      </c>
      <c r="E5" s="108">
        <v>35</v>
      </c>
      <c r="F5" s="45">
        <f t="shared" ref="F5:F17" si="0">E5-D5</f>
        <v>10</v>
      </c>
      <c r="G5" s="48">
        <f t="shared" ref="G5:G18" si="1">E5/D5*100%</f>
        <v>1.4</v>
      </c>
    </row>
    <row r="6" spans="1:7">
      <c r="A6" s="45">
        <v>3</v>
      </c>
      <c r="B6" s="109" t="s">
        <v>264</v>
      </c>
      <c r="C6" s="110" t="s">
        <v>76</v>
      </c>
      <c r="D6" s="108">
        <v>25</v>
      </c>
      <c r="E6" s="108">
        <v>24</v>
      </c>
      <c r="F6" s="45">
        <f t="shared" si="0"/>
        <v>-1</v>
      </c>
      <c r="G6" s="48">
        <f t="shared" si="1"/>
        <v>0.96</v>
      </c>
    </row>
    <row r="7" spans="1:7">
      <c r="A7" s="45">
        <v>4</v>
      </c>
      <c r="B7" s="109" t="s">
        <v>265</v>
      </c>
      <c r="C7" s="110" t="s">
        <v>76</v>
      </c>
      <c r="D7" s="108">
        <v>25</v>
      </c>
      <c r="E7" s="108">
        <v>33</v>
      </c>
      <c r="F7" s="45">
        <f t="shared" si="0"/>
        <v>8</v>
      </c>
      <c r="G7" s="48">
        <f t="shared" si="1"/>
        <v>1.32</v>
      </c>
    </row>
    <row r="8" spans="1:7">
      <c r="A8" s="45">
        <v>5</v>
      </c>
      <c r="B8" s="109" t="s">
        <v>266</v>
      </c>
      <c r="C8" s="110" t="s">
        <v>76</v>
      </c>
      <c r="D8" s="108">
        <v>25</v>
      </c>
      <c r="E8" s="108">
        <v>25</v>
      </c>
      <c r="F8" s="45">
        <f t="shared" si="0"/>
        <v>0</v>
      </c>
      <c r="G8" s="48">
        <f t="shared" si="1"/>
        <v>1</v>
      </c>
    </row>
    <row r="9" spans="1:7">
      <c r="A9" s="45">
        <v>6</v>
      </c>
      <c r="B9" s="45" t="s">
        <v>267</v>
      </c>
      <c r="C9" s="110" t="s">
        <v>76</v>
      </c>
      <c r="D9" s="108">
        <v>25</v>
      </c>
      <c r="E9" s="108">
        <v>26</v>
      </c>
      <c r="F9" s="45">
        <f t="shared" si="0"/>
        <v>1</v>
      </c>
      <c r="G9" s="48">
        <f t="shared" si="1"/>
        <v>1.04</v>
      </c>
    </row>
    <row r="10" spans="1:7">
      <c r="A10" s="45">
        <v>7</v>
      </c>
      <c r="B10" s="45" t="s">
        <v>268</v>
      </c>
      <c r="C10" s="110" t="s">
        <v>76</v>
      </c>
      <c r="D10" s="108">
        <v>25</v>
      </c>
      <c r="E10" s="108">
        <v>32</v>
      </c>
      <c r="F10" s="45">
        <f t="shared" si="0"/>
        <v>7</v>
      </c>
      <c r="G10" s="48">
        <f t="shared" si="1"/>
        <v>1.28</v>
      </c>
    </row>
    <row r="11" spans="1:7">
      <c r="A11" s="45">
        <v>8</v>
      </c>
      <c r="B11" s="45" t="s">
        <v>269</v>
      </c>
      <c r="C11" s="110" t="s">
        <v>76</v>
      </c>
      <c r="D11" s="108">
        <v>25</v>
      </c>
      <c r="E11" s="108">
        <v>13</v>
      </c>
      <c r="F11" s="45">
        <f t="shared" si="0"/>
        <v>-12</v>
      </c>
      <c r="G11" s="48">
        <f t="shared" si="1"/>
        <v>0.52</v>
      </c>
    </row>
    <row r="12" spans="1:7">
      <c r="A12" s="45">
        <v>9</v>
      </c>
      <c r="B12" s="107" t="s">
        <v>270</v>
      </c>
      <c r="C12" s="108" t="s">
        <v>75</v>
      </c>
      <c r="D12" s="108">
        <v>35</v>
      </c>
      <c r="E12" s="108">
        <v>0</v>
      </c>
      <c r="F12" s="45">
        <f t="shared" si="0"/>
        <v>-35</v>
      </c>
      <c r="G12" s="48">
        <f t="shared" si="1"/>
        <v>0</v>
      </c>
    </row>
    <row r="13" spans="1:7">
      <c r="A13" s="45">
        <v>10</v>
      </c>
      <c r="B13" s="109" t="s">
        <v>271</v>
      </c>
      <c r="C13" s="110" t="s">
        <v>76</v>
      </c>
      <c r="D13" s="108">
        <v>25</v>
      </c>
      <c r="E13" s="108">
        <v>25</v>
      </c>
      <c r="F13" s="45">
        <f t="shared" si="0"/>
        <v>0</v>
      </c>
      <c r="G13" s="48">
        <f t="shared" si="1"/>
        <v>1</v>
      </c>
    </row>
    <row r="14" spans="1:7">
      <c r="A14" s="45">
        <v>11</v>
      </c>
      <c r="B14" s="109" t="s">
        <v>272</v>
      </c>
      <c r="C14" s="110" t="s">
        <v>76</v>
      </c>
      <c r="D14" s="108">
        <v>25</v>
      </c>
      <c r="E14" s="108">
        <v>38</v>
      </c>
      <c r="F14" s="45">
        <f t="shared" si="0"/>
        <v>13</v>
      </c>
      <c r="G14" s="48">
        <f t="shared" si="1"/>
        <v>1.52</v>
      </c>
    </row>
    <row r="15" spans="1:7">
      <c r="A15" s="45">
        <v>12</v>
      </c>
      <c r="B15" s="109" t="s">
        <v>273</v>
      </c>
      <c r="C15" s="110" t="s">
        <v>76</v>
      </c>
      <c r="D15" s="108">
        <v>25</v>
      </c>
      <c r="E15" s="108">
        <v>25</v>
      </c>
      <c r="F15" s="45">
        <f t="shared" si="0"/>
        <v>0</v>
      </c>
      <c r="G15" s="48">
        <f t="shared" si="1"/>
        <v>1</v>
      </c>
    </row>
    <row r="16" spans="1:7">
      <c r="A16" s="45">
        <v>13</v>
      </c>
      <c r="B16" s="45" t="s">
        <v>274</v>
      </c>
      <c r="C16" s="110" t="s">
        <v>76</v>
      </c>
      <c r="D16" s="108">
        <v>25</v>
      </c>
      <c r="E16" s="108">
        <v>33</v>
      </c>
      <c r="F16" s="45">
        <f t="shared" si="0"/>
        <v>8</v>
      </c>
      <c r="G16" s="48">
        <f t="shared" si="1"/>
        <v>1.32</v>
      </c>
    </row>
    <row r="17" spans="1:7">
      <c r="A17" s="45">
        <v>14</v>
      </c>
      <c r="B17" s="109" t="s">
        <v>275</v>
      </c>
      <c r="C17" s="110" t="s">
        <v>76</v>
      </c>
      <c r="D17" s="108">
        <v>25</v>
      </c>
      <c r="E17" s="108">
        <v>29</v>
      </c>
      <c r="F17" s="45">
        <f t="shared" si="0"/>
        <v>4</v>
      </c>
      <c r="G17" s="48">
        <f t="shared" si="1"/>
        <v>1.1599999999999999</v>
      </c>
    </row>
    <row r="18" spans="1:7">
      <c r="A18" s="45"/>
      <c r="B18" s="50" t="s">
        <v>50</v>
      </c>
      <c r="C18" s="50"/>
      <c r="D18" s="50">
        <v>340</v>
      </c>
      <c r="E18" s="50">
        <f>SUM(E4:E17)</f>
        <v>338</v>
      </c>
      <c r="F18" s="50"/>
      <c r="G18" s="58">
        <f t="shared" si="1"/>
        <v>0.99411764705882355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BBA9-FEDD-4137-806D-2C84CDFD2058}">
  <dimension ref="A1:G6"/>
  <sheetViews>
    <sheetView workbookViewId="0">
      <selection activeCell="J5" sqref="J5"/>
    </sheetView>
  </sheetViews>
  <sheetFormatPr defaultRowHeight="14.5"/>
  <cols>
    <col min="1" max="1" width="4.7265625" customWidth="1"/>
    <col min="2" max="2" width="35.269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12" t="s">
        <v>293</v>
      </c>
      <c r="C4" s="113" t="s">
        <v>75</v>
      </c>
      <c r="D4" s="113">
        <v>35</v>
      </c>
      <c r="E4" s="113">
        <v>16</v>
      </c>
      <c r="F4" s="45">
        <f>E4-D4</f>
        <v>-19</v>
      </c>
      <c r="G4" s="48">
        <f>E4/D4*100%</f>
        <v>0.45714285714285713</v>
      </c>
    </row>
    <row r="5" spans="1:7">
      <c r="A5" s="45">
        <v>2</v>
      </c>
      <c r="B5" s="114" t="s">
        <v>294</v>
      </c>
      <c r="C5" s="115" t="s">
        <v>76</v>
      </c>
      <c r="D5" s="113">
        <v>25</v>
      </c>
      <c r="E5" s="113">
        <v>4</v>
      </c>
      <c r="F5" s="45">
        <f t="shared" ref="F5:F6" si="0">E5-D5</f>
        <v>-21</v>
      </c>
      <c r="G5" s="48">
        <f t="shared" ref="G5:G6" si="1">E5/D5*100%</f>
        <v>0.16</v>
      </c>
    </row>
    <row r="6" spans="1:7">
      <c r="A6" s="45"/>
      <c r="B6" s="50" t="s">
        <v>50</v>
      </c>
      <c r="C6" s="50"/>
      <c r="D6" s="116">
        <v>150</v>
      </c>
      <c r="E6" s="50">
        <f>SUM(E4:E5)</f>
        <v>20</v>
      </c>
      <c r="F6" s="50">
        <f t="shared" si="0"/>
        <v>-130</v>
      </c>
      <c r="G6" s="58">
        <f t="shared" si="1"/>
        <v>0.13333333333333333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500E-DF75-4657-BEEC-40F66BE687BE}">
  <dimension ref="A1:G16"/>
  <sheetViews>
    <sheetView workbookViewId="0">
      <selection activeCell="I12" sqref="I12"/>
    </sheetView>
  </sheetViews>
  <sheetFormatPr defaultRowHeight="14.5"/>
  <cols>
    <col min="1" max="1" width="5.08984375" customWidth="1"/>
    <col min="2" max="2" width="21.81640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25" t="s">
        <v>328</v>
      </c>
      <c r="C4" s="126" t="s">
        <v>75</v>
      </c>
      <c r="D4" s="126">
        <v>35</v>
      </c>
      <c r="E4" s="126">
        <v>4</v>
      </c>
      <c r="F4" s="45">
        <f>E4-D4</f>
        <v>-31</v>
      </c>
      <c r="G4" s="48">
        <f>E4/D4*100%</f>
        <v>0.11428571428571428</v>
      </c>
    </row>
    <row r="5" spans="1:7">
      <c r="A5" s="45">
        <v>2</v>
      </c>
      <c r="B5" s="127" t="s">
        <v>318</v>
      </c>
      <c r="C5" s="128" t="s">
        <v>76</v>
      </c>
      <c r="D5" s="126">
        <v>25</v>
      </c>
      <c r="E5" s="126">
        <v>42</v>
      </c>
      <c r="F5" s="45">
        <f t="shared" ref="F5:F16" si="0">E5-D5</f>
        <v>17</v>
      </c>
      <c r="G5" s="48">
        <f t="shared" ref="G5:G16" si="1">E5/D5*100%</f>
        <v>1.68</v>
      </c>
    </row>
    <row r="6" spans="1:7">
      <c r="A6" s="45">
        <v>3</v>
      </c>
      <c r="B6" s="127" t="s">
        <v>319</v>
      </c>
      <c r="C6" s="128" t="s">
        <v>76</v>
      </c>
      <c r="D6" s="128">
        <v>25</v>
      </c>
      <c r="E6" s="126">
        <v>20</v>
      </c>
      <c r="F6" s="45">
        <f t="shared" si="0"/>
        <v>-5</v>
      </c>
      <c r="G6" s="48">
        <f t="shared" si="1"/>
        <v>0.8</v>
      </c>
    </row>
    <row r="7" spans="1:7">
      <c r="A7" s="45">
        <v>4</v>
      </c>
      <c r="B7" s="127" t="s">
        <v>320</v>
      </c>
      <c r="C7" s="129" t="s">
        <v>76</v>
      </c>
      <c r="D7" s="129">
        <v>25</v>
      </c>
      <c r="E7" s="126">
        <v>43</v>
      </c>
      <c r="F7" s="45">
        <f t="shared" si="0"/>
        <v>18</v>
      </c>
      <c r="G7" s="48">
        <f t="shared" si="1"/>
        <v>1.72</v>
      </c>
    </row>
    <row r="8" spans="1:7">
      <c r="A8" s="45">
        <v>5</v>
      </c>
      <c r="B8" s="127" t="s">
        <v>321</v>
      </c>
      <c r="C8" s="129" t="s">
        <v>76</v>
      </c>
      <c r="D8" s="129">
        <v>25</v>
      </c>
      <c r="E8" s="126">
        <v>6</v>
      </c>
      <c r="F8" s="45">
        <f t="shared" si="0"/>
        <v>-19</v>
      </c>
      <c r="G8" s="48">
        <f t="shared" si="1"/>
        <v>0.24</v>
      </c>
    </row>
    <row r="9" spans="1:7">
      <c r="A9" s="45">
        <v>6</v>
      </c>
      <c r="B9" s="127" t="s">
        <v>322</v>
      </c>
      <c r="C9" s="129" t="s">
        <v>76</v>
      </c>
      <c r="D9" s="129">
        <v>25</v>
      </c>
      <c r="E9" s="126">
        <v>20</v>
      </c>
      <c r="F9" s="45">
        <f t="shared" si="0"/>
        <v>-5</v>
      </c>
      <c r="G9" s="48">
        <f t="shared" si="1"/>
        <v>0.8</v>
      </c>
    </row>
    <row r="10" spans="1:7">
      <c r="A10" s="45">
        <v>7</v>
      </c>
      <c r="B10" s="125" t="s">
        <v>329</v>
      </c>
      <c r="C10" s="126" t="s">
        <v>75</v>
      </c>
      <c r="D10" s="126">
        <v>35</v>
      </c>
      <c r="E10" s="126">
        <v>5</v>
      </c>
      <c r="F10" s="45">
        <f t="shared" si="0"/>
        <v>-30</v>
      </c>
      <c r="G10" s="48">
        <f t="shared" si="1"/>
        <v>0.14285714285714285</v>
      </c>
    </row>
    <row r="11" spans="1:7">
      <c r="A11" s="45">
        <v>8</v>
      </c>
      <c r="B11" s="127" t="s">
        <v>323</v>
      </c>
      <c r="C11" s="128" t="s">
        <v>76</v>
      </c>
      <c r="D11" s="126">
        <v>25</v>
      </c>
      <c r="E11" s="126">
        <v>50</v>
      </c>
      <c r="F11" s="45">
        <f t="shared" si="0"/>
        <v>25</v>
      </c>
      <c r="G11" s="48">
        <f t="shared" si="1"/>
        <v>2</v>
      </c>
    </row>
    <row r="12" spans="1:7">
      <c r="A12" s="45">
        <v>9</v>
      </c>
      <c r="B12" s="127" t="s">
        <v>324</v>
      </c>
      <c r="C12" s="128" t="s">
        <v>76</v>
      </c>
      <c r="D12" s="128">
        <v>25</v>
      </c>
      <c r="E12" s="126">
        <v>24</v>
      </c>
      <c r="F12" s="45">
        <f t="shared" si="0"/>
        <v>-1</v>
      </c>
      <c r="G12" s="48">
        <f t="shared" si="1"/>
        <v>0.96</v>
      </c>
    </row>
    <row r="13" spans="1:7">
      <c r="A13" s="45">
        <v>10</v>
      </c>
      <c r="B13" s="127" t="s">
        <v>325</v>
      </c>
      <c r="C13" s="129" t="s">
        <v>76</v>
      </c>
      <c r="D13" s="129">
        <v>25</v>
      </c>
      <c r="E13" s="126">
        <v>24</v>
      </c>
      <c r="F13" s="45">
        <f t="shared" si="0"/>
        <v>-1</v>
      </c>
      <c r="G13" s="48">
        <f t="shared" si="1"/>
        <v>0.96</v>
      </c>
    </row>
    <row r="14" spans="1:7">
      <c r="A14" s="45">
        <v>11</v>
      </c>
      <c r="B14" s="127" t="s">
        <v>326</v>
      </c>
      <c r="C14" s="129" t="s">
        <v>76</v>
      </c>
      <c r="D14" s="129">
        <v>25</v>
      </c>
      <c r="E14" s="126">
        <v>25</v>
      </c>
      <c r="F14" s="45">
        <f t="shared" si="0"/>
        <v>0</v>
      </c>
      <c r="G14" s="48">
        <f t="shared" si="1"/>
        <v>1</v>
      </c>
    </row>
    <row r="15" spans="1:7">
      <c r="A15" s="45">
        <v>12</v>
      </c>
      <c r="B15" s="127" t="s">
        <v>327</v>
      </c>
      <c r="C15" s="129" t="s">
        <v>76</v>
      </c>
      <c r="D15" s="129">
        <v>25</v>
      </c>
      <c r="E15" s="126">
        <v>25</v>
      </c>
      <c r="F15" s="45">
        <f t="shared" si="0"/>
        <v>0</v>
      </c>
      <c r="G15" s="48">
        <f t="shared" si="1"/>
        <v>1</v>
      </c>
    </row>
    <row r="16" spans="1:7">
      <c r="A16" s="45"/>
      <c r="B16" s="50" t="s">
        <v>50</v>
      </c>
      <c r="C16" s="50"/>
      <c r="D16" s="50">
        <v>300</v>
      </c>
      <c r="E16" s="50">
        <f>SUM(E4:E15)</f>
        <v>288</v>
      </c>
      <c r="F16" s="50">
        <f t="shared" si="0"/>
        <v>-12</v>
      </c>
      <c r="G16" s="58">
        <f t="shared" si="1"/>
        <v>0.96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4397-6A1A-40B4-AE81-31931AA868D6}">
  <dimension ref="A1:G15"/>
  <sheetViews>
    <sheetView topLeftCell="A7" workbookViewId="0">
      <selection activeCell="I20" sqref="I20"/>
    </sheetView>
  </sheetViews>
  <sheetFormatPr defaultRowHeight="14.5"/>
  <cols>
    <col min="1" max="1" width="5.08984375" customWidth="1"/>
    <col min="2" max="2" width="29.4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6">
        <v>1</v>
      </c>
      <c r="B4" s="127" t="s">
        <v>350</v>
      </c>
      <c r="C4" s="128" t="s">
        <v>75</v>
      </c>
      <c r="D4" s="128">
        <v>35</v>
      </c>
      <c r="E4" s="128">
        <v>0</v>
      </c>
      <c r="F4" s="46">
        <f>E4-D4</f>
        <v>-35</v>
      </c>
      <c r="G4" s="47">
        <f>E4/D4*100%</f>
        <v>0</v>
      </c>
    </row>
    <row r="5" spans="1:7">
      <c r="A5" s="46">
        <v>2</v>
      </c>
      <c r="B5" s="127" t="s">
        <v>351</v>
      </c>
      <c r="C5" s="128" t="s">
        <v>76</v>
      </c>
      <c r="D5" s="128">
        <v>25</v>
      </c>
      <c r="E5" s="128">
        <v>25</v>
      </c>
      <c r="F5" s="46">
        <f t="shared" ref="F5:F15" si="0">E5-D5</f>
        <v>0</v>
      </c>
      <c r="G5" s="47">
        <f t="shared" ref="G5:G15" si="1">E5/D5*100%</f>
        <v>1</v>
      </c>
    </row>
    <row r="6" spans="1:7">
      <c r="A6" s="46">
        <v>3</v>
      </c>
      <c r="B6" s="127" t="s">
        <v>352</v>
      </c>
      <c r="C6" s="128" t="s">
        <v>76</v>
      </c>
      <c r="D6" s="128">
        <v>25</v>
      </c>
      <c r="E6" s="128">
        <v>40</v>
      </c>
      <c r="F6" s="46">
        <f t="shared" si="0"/>
        <v>15</v>
      </c>
      <c r="G6" s="47">
        <f t="shared" si="1"/>
        <v>1.6</v>
      </c>
    </row>
    <row r="7" spans="1:7">
      <c r="A7" s="46">
        <v>4</v>
      </c>
      <c r="B7" s="127" t="s">
        <v>353</v>
      </c>
      <c r="C7" s="128" t="s">
        <v>76</v>
      </c>
      <c r="D7" s="129">
        <v>25</v>
      </c>
      <c r="E7" s="128">
        <v>33</v>
      </c>
      <c r="F7" s="46">
        <f t="shared" si="0"/>
        <v>8</v>
      </c>
      <c r="G7" s="47">
        <f t="shared" si="1"/>
        <v>1.32</v>
      </c>
    </row>
    <row r="8" spans="1:7">
      <c r="A8" s="46">
        <v>5</v>
      </c>
      <c r="B8" s="127" t="s">
        <v>354</v>
      </c>
      <c r="C8" s="128" t="s">
        <v>76</v>
      </c>
      <c r="D8" s="128">
        <v>25</v>
      </c>
      <c r="E8" s="128">
        <v>26</v>
      </c>
      <c r="F8" s="46">
        <f t="shared" si="0"/>
        <v>1</v>
      </c>
      <c r="G8" s="47">
        <f t="shared" si="1"/>
        <v>1.04</v>
      </c>
    </row>
    <row r="9" spans="1:7">
      <c r="A9" s="46">
        <v>6</v>
      </c>
      <c r="B9" s="127" t="s">
        <v>355</v>
      </c>
      <c r="C9" s="128" t="s">
        <v>76</v>
      </c>
      <c r="D9" s="129">
        <v>25</v>
      </c>
      <c r="E9" s="128">
        <v>26</v>
      </c>
      <c r="F9" s="46">
        <f t="shared" si="0"/>
        <v>1</v>
      </c>
      <c r="G9" s="47">
        <f t="shared" si="1"/>
        <v>1.04</v>
      </c>
    </row>
    <row r="10" spans="1:7">
      <c r="A10" s="46">
        <v>7</v>
      </c>
      <c r="B10" s="130" t="s">
        <v>356</v>
      </c>
      <c r="C10" s="128" t="s">
        <v>76</v>
      </c>
      <c r="D10" s="128">
        <v>25</v>
      </c>
      <c r="E10" s="128">
        <v>13</v>
      </c>
      <c r="F10" s="46">
        <f t="shared" si="0"/>
        <v>-12</v>
      </c>
      <c r="G10" s="47">
        <f t="shared" si="1"/>
        <v>0.52</v>
      </c>
    </row>
    <row r="11" spans="1:7">
      <c r="A11" s="46">
        <v>8</v>
      </c>
      <c r="B11" s="130" t="s">
        <v>357</v>
      </c>
      <c r="C11" s="128" t="s">
        <v>76</v>
      </c>
      <c r="D11" s="129">
        <v>25</v>
      </c>
      <c r="E11" s="128">
        <v>12</v>
      </c>
      <c r="F11" s="46">
        <f t="shared" si="0"/>
        <v>-13</v>
      </c>
      <c r="G11" s="47">
        <f t="shared" si="1"/>
        <v>0.48</v>
      </c>
    </row>
    <row r="12" spans="1:7">
      <c r="A12" s="46">
        <v>9</v>
      </c>
      <c r="B12" s="127" t="s">
        <v>358</v>
      </c>
      <c r="C12" s="129" t="s">
        <v>76</v>
      </c>
      <c r="D12" s="129">
        <v>25</v>
      </c>
      <c r="E12" s="128">
        <v>3</v>
      </c>
      <c r="F12" s="46">
        <f t="shared" si="0"/>
        <v>-22</v>
      </c>
      <c r="G12" s="47">
        <f t="shared" si="1"/>
        <v>0.12</v>
      </c>
    </row>
    <row r="13" spans="1:7">
      <c r="A13" s="46">
        <v>10</v>
      </c>
      <c r="B13" s="127" t="s">
        <v>359</v>
      </c>
      <c r="C13" s="128" t="s">
        <v>76</v>
      </c>
      <c r="D13" s="128">
        <v>25</v>
      </c>
      <c r="E13" s="128">
        <v>0</v>
      </c>
      <c r="F13" s="46">
        <f t="shared" si="0"/>
        <v>-25</v>
      </c>
      <c r="G13" s="47">
        <f t="shared" si="1"/>
        <v>0</v>
      </c>
    </row>
    <row r="14" spans="1:7">
      <c r="A14" s="46">
        <v>11</v>
      </c>
      <c r="B14" s="127" t="s">
        <v>360</v>
      </c>
      <c r="C14" s="128" t="s">
        <v>76</v>
      </c>
      <c r="D14" s="128">
        <v>25</v>
      </c>
      <c r="E14" s="128">
        <v>1</v>
      </c>
      <c r="F14" s="46">
        <f t="shared" si="0"/>
        <v>-24</v>
      </c>
      <c r="G14" s="47">
        <f t="shared" si="1"/>
        <v>0.04</v>
      </c>
    </row>
    <row r="15" spans="1:7">
      <c r="A15" s="46"/>
      <c r="B15" s="49" t="s">
        <v>50</v>
      </c>
      <c r="C15" s="49"/>
      <c r="D15" s="49">
        <v>275</v>
      </c>
      <c r="E15" s="49">
        <f>SUM(E4:E14)</f>
        <v>179</v>
      </c>
      <c r="F15" s="49">
        <f t="shared" si="0"/>
        <v>-96</v>
      </c>
      <c r="G15" s="51">
        <f t="shared" si="1"/>
        <v>0.65090909090909088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AA65-90A2-486E-A7AC-61EE94ACE8A1}">
  <dimension ref="A1:G14"/>
  <sheetViews>
    <sheetView workbookViewId="0">
      <selection activeCell="J9" sqref="J9"/>
    </sheetView>
  </sheetViews>
  <sheetFormatPr defaultRowHeight="14.5"/>
  <cols>
    <col min="1" max="1" width="5.08984375" customWidth="1"/>
    <col min="2" max="2" width="31.81640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27" t="s">
        <v>330</v>
      </c>
      <c r="C4" s="128" t="s">
        <v>75</v>
      </c>
      <c r="D4" s="128">
        <v>35</v>
      </c>
      <c r="E4" s="126">
        <v>7</v>
      </c>
      <c r="F4" s="45">
        <f>E4-D4</f>
        <v>-28</v>
      </c>
      <c r="G4" s="48">
        <f>E4/D4*100%</f>
        <v>0.2</v>
      </c>
    </row>
    <row r="5" spans="1:7">
      <c r="A5" s="45">
        <v>2</v>
      </c>
      <c r="B5" s="127" t="s">
        <v>331</v>
      </c>
      <c r="C5" s="126" t="s">
        <v>76</v>
      </c>
      <c r="D5" s="126">
        <v>25</v>
      </c>
      <c r="E5" s="126">
        <v>33</v>
      </c>
      <c r="F5" s="45">
        <f t="shared" ref="F5:F14" si="0">E5-D5</f>
        <v>8</v>
      </c>
      <c r="G5" s="48">
        <f t="shared" ref="G5:G14" si="1">E5/D5*100%</f>
        <v>1.32</v>
      </c>
    </row>
    <row r="6" spans="1:7">
      <c r="A6" s="45">
        <v>3</v>
      </c>
      <c r="B6" s="127" t="s">
        <v>332</v>
      </c>
      <c r="C6" s="128" t="s">
        <v>76</v>
      </c>
      <c r="D6" s="126">
        <v>25</v>
      </c>
      <c r="E6" s="126">
        <v>18</v>
      </c>
      <c r="F6" s="45">
        <f t="shared" si="0"/>
        <v>-7</v>
      </c>
      <c r="G6" s="48">
        <f t="shared" si="1"/>
        <v>0.72</v>
      </c>
    </row>
    <row r="7" spans="1:7">
      <c r="A7" s="45">
        <v>4</v>
      </c>
      <c r="B7" s="127" t="s">
        <v>333</v>
      </c>
      <c r="C7" s="128" t="s">
        <v>76</v>
      </c>
      <c r="D7" s="128">
        <v>25</v>
      </c>
      <c r="E7" s="126">
        <v>16</v>
      </c>
      <c r="F7" s="45">
        <f t="shared" si="0"/>
        <v>-9</v>
      </c>
      <c r="G7" s="48">
        <f t="shared" si="1"/>
        <v>0.64</v>
      </c>
    </row>
    <row r="8" spans="1:7">
      <c r="A8" s="45">
        <v>5</v>
      </c>
      <c r="B8" s="127" t="s">
        <v>334</v>
      </c>
      <c r="C8" s="129" t="s">
        <v>76</v>
      </c>
      <c r="D8" s="129">
        <v>25</v>
      </c>
      <c r="E8" s="126">
        <v>16</v>
      </c>
      <c r="F8" s="45">
        <f t="shared" si="0"/>
        <v>-9</v>
      </c>
      <c r="G8" s="48">
        <f t="shared" si="1"/>
        <v>0.64</v>
      </c>
    </row>
    <row r="9" spans="1:7">
      <c r="A9" s="45">
        <v>6</v>
      </c>
      <c r="B9" s="127" t="s">
        <v>335</v>
      </c>
      <c r="C9" s="129" t="s">
        <v>76</v>
      </c>
      <c r="D9" s="129">
        <v>25</v>
      </c>
      <c r="E9" s="126">
        <v>7</v>
      </c>
      <c r="F9" s="45">
        <f t="shared" si="0"/>
        <v>-18</v>
      </c>
      <c r="G9" s="48">
        <f t="shared" si="1"/>
        <v>0.28000000000000003</v>
      </c>
    </row>
    <row r="10" spans="1:7">
      <c r="A10" s="45">
        <v>7</v>
      </c>
      <c r="B10" s="127" t="s">
        <v>336</v>
      </c>
      <c r="C10" s="128" t="s">
        <v>76</v>
      </c>
      <c r="D10" s="128">
        <v>25</v>
      </c>
      <c r="E10" s="126">
        <v>8</v>
      </c>
      <c r="F10" s="45">
        <f t="shared" si="0"/>
        <v>-17</v>
      </c>
      <c r="G10" s="48">
        <f t="shared" si="1"/>
        <v>0.32</v>
      </c>
    </row>
    <row r="11" spans="1:7">
      <c r="A11" s="45">
        <v>8</v>
      </c>
      <c r="B11" s="127" t="s">
        <v>337</v>
      </c>
      <c r="C11" s="129" t="s">
        <v>76</v>
      </c>
      <c r="D11" s="129">
        <v>25</v>
      </c>
      <c r="E11" s="126">
        <v>5</v>
      </c>
      <c r="F11" s="45">
        <f t="shared" si="0"/>
        <v>-20</v>
      </c>
      <c r="G11" s="48">
        <f t="shared" si="1"/>
        <v>0.2</v>
      </c>
    </row>
    <row r="12" spans="1:7">
      <c r="A12" s="45">
        <v>9</v>
      </c>
      <c r="B12" s="127" t="s">
        <v>338</v>
      </c>
      <c r="C12" s="128" t="s">
        <v>76</v>
      </c>
      <c r="D12" s="126">
        <v>25</v>
      </c>
      <c r="E12" s="126">
        <v>2</v>
      </c>
      <c r="F12" s="45">
        <f t="shared" si="0"/>
        <v>-23</v>
      </c>
      <c r="G12" s="48">
        <f t="shared" si="1"/>
        <v>0.08</v>
      </c>
    </row>
    <row r="13" spans="1:7">
      <c r="A13" s="45">
        <v>10</v>
      </c>
      <c r="B13" s="127" t="s">
        <v>339</v>
      </c>
      <c r="C13" s="129" t="s">
        <v>76</v>
      </c>
      <c r="D13" s="129">
        <v>25</v>
      </c>
      <c r="E13" s="126">
        <v>2</v>
      </c>
      <c r="F13" s="45">
        <f t="shared" si="0"/>
        <v>-23</v>
      </c>
      <c r="G13" s="48">
        <f t="shared" si="1"/>
        <v>0.08</v>
      </c>
    </row>
    <row r="14" spans="1:7">
      <c r="A14" s="45"/>
      <c r="B14" s="50" t="s">
        <v>50</v>
      </c>
      <c r="C14" s="50"/>
      <c r="D14" s="50">
        <v>240</v>
      </c>
      <c r="E14" s="50">
        <f>SUM(E4:E13)</f>
        <v>114</v>
      </c>
      <c r="F14" s="50">
        <f t="shared" si="0"/>
        <v>-126</v>
      </c>
      <c r="G14" s="58">
        <f t="shared" si="1"/>
        <v>0.47499999999999998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18E6-3248-4214-AC8F-7C3A39A9244D}">
  <dimension ref="A1:G14"/>
  <sheetViews>
    <sheetView workbookViewId="0">
      <selection sqref="A1:G3"/>
    </sheetView>
  </sheetViews>
  <sheetFormatPr defaultRowHeight="14.5"/>
  <cols>
    <col min="1" max="1" width="3.7265625" customWidth="1"/>
    <col min="2" max="2" width="31.7265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25" t="s">
        <v>340</v>
      </c>
      <c r="C4" s="126" t="s">
        <v>75</v>
      </c>
      <c r="D4" s="126">
        <v>35</v>
      </c>
      <c r="E4" s="126">
        <v>5</v>
      </c>
      <c r="F4" s="45">
        <f>E4-D4</f>
        <v>-30</v>
      </c>
      <c r="G4" s="48">
        <f>E4/D4*100%</f>
        <v>0.14285714285714285</v>
      </c>
    </row>
    <row r="5" spans="1:7">
      <c r="A5" s="45">
        <v>2</v>
      </c>
      <c r="B5" s="127" t="s">
        <v>341</v>
      </c>
      <c r="C5" s="128" t="s">
        <v>76</v>
      </c>
      <c r="D5" s="126">
        <v>25</v>
      </c>
      <c r="E5" s="126">
        <v>34</v>
      </c>
      <c r="F5" s="45">
        <f t="shared" ref="F5:F13" si="0">E5-D5</f>
        <v>9</v>
      </c>
      <c r="G5" s="48">
        <f t="shared" ref="G5:G14" si="1">E5/D5*100%</f>
        <v>1.36</v>
      </c>
    </row>
    <row r="6" spans="1:7">
      <c r="A6" s="45">
        <v>3</v>
      </c>
      <c r="B6" s="127" t="s">
        <v>342</v>
      </c>
      <c r="C6" s="129" t="s">
        <v>76</v>
      </c>
      <c r="D6" s="129">
        <v>25</v>
      </c>
      <c r="E6" s="126">
        <v>3</v>
      </c>
      <c r="F6" s="45">
        <f t="shared" si="0"/>
        <v>-22</v>
      </c>
      <c r="G6" s="48">
        <f t="shared" si="1"/>
        <v>0.12</v>
      </c>
    </row>
    <row r="7" spans="1:7">
      <c r="A7" s="45">
        <v>4</v>
      </c>
      <c r="B7" s="127" t="s">
        <v>343</v>
      </c>
      <c r="C7" s="129" t="s">
        <v>76</v>
      </c>
      <c r="D7" s="129">
        <v>25</v>
      </c>
      <c r="E7" s="126">
        <v>5</v>
      </c>
      <c r="F7" s="45">
        <f t="shared" si="0"/>
        <v>-20</v>
      </c>
      <c r="G7" s="48">
        <f t="shared" si="1"/>
        <v>0.2</v>
      </c>
    </row>
    <row r="8" spans="1:7">
      <c r="A8" s="45">
        <v>5</v>
      </c>
      <c r="B8" s="125" t="s">
        <v>344</v>
      </c>
      <c r="C8" s="126" t="s">
        <v>75</v>
      </c>
      <c r="D8" s="126">
        <v>35</v>
      </c>
      <c r="E8" s="126">
        <v>15</v>
      </c>
      <c r="F8" s="45">
        <f t="shared" si="0"/>
        <v>-20</v>
      </c>
      <c r="G8" s="48">
        <f t="shared" si="1"/>
        <v>0.42857142857142855</v>
      </c>
    </row>
    <row r="9" spans="1:7">
      <c r="A9" s="45">
        <v>6</v>
      </c>
      <c r="B9" s="127" t="s">
        <v>345</v>
      </c>
      <c r="C9" s="128" t="s">
        <v>76</v>
      </c>
      <c r="D9" s="126">
        <v>25</v>
      </c>
      <c r="E9" s="126">
        <v>3</v>
      </c>
      <c r="F9" s="45">
        <f t="shared" si="0"/>
        <v>-22</v>
      </c>
      <c r="G9" s="48">
        <f t="shared" si="1"/>
        <v>0.12</v>
      </c>
    </row>
    <row r="10" spans="1:7">
      <c r="A10" s="45">
        <v>7</v>
      </c>
      <c r="B10" s="127" t="s">
        <v>346</v>
      </c>
      <c r="C10" s="129" t="s">
        <v>76</v>
      </c>
      <c r="D10" s="129">
        <v>25</v>
      </c>
      <c r="E10" s="126">
        <v>3</v>
      </c>
      <c r="F10" s="45">
        <f t="shared" si="0"/>
        <v>-22</v>
      </c>
      <c r="G10" s="48">
        <f t="shared" si="1"/>
        <v>0.12</v>
      </c>
    </row>
    <row r="11" spans="1:7">
      <c r="A11" s="45">
        <v>8</v>
      </c>
      <c r="B11" s="127" t="s">
        <v>347</v>
      </c>
      <c r="C11" s="129" t="s">
        <v>76</v>
      </c>
      <c r="D11" s="129">
        <v>25</v>
      </c>
      <c r="E11" s="126">
        <v>5</v>
      </c>
      <c r="F11" s="45">
        <f t="shared" si="0"/>
        <v>-20</v>
      </c>
      <c r="G11" s="48">
        <f t="shared" si="1"/>
        <v>0.2</v>
      </c>
    </row>
    <row r="12" spans="1:7">
      <c r="A12" s="45">
        <v>9</v>
      </c>
      <c r="B12" s="127" t="s">
        <v>348</v>
      </c>
      <c r="C12" s="129" t="s">
        <v>76</v>
      </c>
      <c r="D12" s="129">
        <v>25</v>
      </c>
      <c r="E12" s="126">
        <v>0</v>
      </c>
      <c r="F12" s="45">
        <f t="shared" si="0"/>
        <v>-25</v>
      </c>
      <c r="G12" s="48">
        <f t="shared" si="1"/>
        <v>0</v>
      </c>
    </row>
    <row r="13" spans="1:7">
      <c r="A13" s="45">
        <v>10</v>
      </c>
      <c r="B13" s="127" t="s">
        <v>349</v>
      </c>
      <c r="C13" s="129" t="s">
        <v>76</v>
      </c>
      <c r="D13" s="129">
        <v>25</v>
      </c>
      <c r="E13" s="126">
        <v>0</v>
      </c>
      <c r="F13" s="45">
        <f t="shared" si="0"/>
        <v>-25</v>
      </c>
      <c r="G13" s="48">
        <f t="shared" si="1"/>
        <v>0</v>
      </c>
    </row>
    <row r="14" spans="1:7">
      <c r="A14" s="45"/>
      <c r="B14" s="50" t="s">
        <v>50</v>
      </c>
      <c r="C14" s="50"/>
      <c r="D14" s="50">
        <v>300</v>
      </c>
      <c r="E14" s="50">
        <f>SUM(E4:E13)</f>
        <v>73</v>
      </c>
      <c r="F14" s="50"/>
      <c r="G14" s="58">
        <f t="shared" si="1"/>
        <v>0.24333333333333335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C02D-108B-4989-811D-07F99FA82D9B}">
  <dimension ref="A1:G7"/>
  <sheetViews>
    <sheetView workbookViewId="0">
      <selection activeCell="I3" sqref="I3"/>
    </sheetView>
  </sheetViews>
  <sheetFormatPr defaultRowHeight="14.5"/>
  <cols>
    <col min="1" max="1" width="4.26953125" customWidth="1"/>
    <col min="2" max="2" width="26.90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63" t="s">
        <v>705</v>
      </c>
      <c r="C4" s="164" t="s">
        <v>75</v>
      </c>
      <c r="D4" s="164">
        <v>35</v>
      </c>
      <c r="E4" s="164">
        <v>3</v>
      </c>
      <c r="F4" s="45">
        <f>E4-D4</f>
        <v>-32</v>
      </c>
      <c r="G4" s="48">
        <f>E4/D4*100%</f>
        <v>8.5714285714285715E-2</v>
      </c>
    </row>
    <row r="5" spans="1:7">
      <c r="A5" s="45">
        <v>2</v>
      </c>
      <c r="B5" s="163" t="s">
        <v>706</v>
      </c>
      <c r="C5" s="79" t="s">
        <v>76</v>
      </c>
      <c r="D5" s="164">
        <v>25</v>
      </c>
      <c r="E5" s="164">
        <v>9</v>
      </c>
      <c r="F5" s="45">
        <f t="shared" ref="F5:F7" si="0">E5-D5</f>
        <v>-16</v>
      </c>
      <c r="G5" s="48">
        <f t="shared" ref="G5:G7" si="1">E5/D5*100%</f>
        <v>0.36</v>
      </c>
    </row>
    <row r="6" spans="1:7">
      <c r="A6" s="45">
        <v>3</v>
      </c>
      <c r="B6" s="165" t="s">
        <v>704</v>
      </c>
      <c r="C6" s="79" t="s">
        <v>76</v>
      </c>
      <c r="D6" s="79">
        <v>25</v>
      </c>
      <c r="E6" s="164">
        <v>1</v>
      </c>
      <c r="F6" s="45">
        <f t="shared" si="0"/>
        <v>-24</v>
      </c>
      <c r="G6" s="48">
        <f t="shared" si="1"/>
        <v>0.04</v>
      </c>
    </row>
    <row r="7" spans="1:7">
      <c r="A7" s="45"/>
      <c r="B7" s="45" t="s">
        <v>50</v>
      </c>
      <c r="C7" s="45"/>
      <c r="D7" s="45">
        <v>150</v>
      </c>
      <c r="E7" s="45">
        <f>SUM(E4:E6)</f>
        <v>13</v>
      </c>
      <c r="F7" s="45">
        <f t="shared" si="0"/>
        <v>-137</v>
      </c>
      <c r="G7" s="48">
        <f t="shared" si="1"/>
        <v>8.666666666666667E-2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9A0A-72F8-4AD6-A427-B2B9301B92A3}">
  <dimension ref="A1:G26"/>
  <sheetViews>
    <sheetView topLeftCell="A16" workbookViewId="0">
      <selection activeCell="I21" sqref="I21"/>
    </sheetView>
  </sheetViews>
  <sheetFormatPr defaultRowHeight="14.5"/>
  <cols>
    <col min="1" max="1" width="5.26953125" customWidth="1"/>
    <col min="2" max="2" width="32.90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25" t="s">
        <v>484</v>
      </c>
      <c r="C4" s="126" t="s">
        <v>75</v>
      </c>
      <c r="D4" s="126">
        <v>25</v>
      </c>
      <c r="E4" s="126">
        <v>0</v>
      </c>
      <c r="F4" s="45">
        <f>E4-D4</f>
        <v>-25</v>
      </c>
      <c r="G4" s="48">
        <f>E4/D4*100%</f>
        <v>0</v>
      </c>
    </row>
    <row r="5" spans="1:7">
      <c r="A5" s="45">
        <v>2</v>
      </c>
      <c r="B5" s="141" t="s">
        <v>485</v>
      </c>
      <c r="C5" s="128" t="s">
        <v>76</v>
      </c>
      <c r="D5" s="126">
        <v>25</v>
      </c>
      <c r="E5" s="126">
        <v>16</v>
      </c>
      <c r="F5" s="45">
        <f t="shared" ref="F5:F26" si="0">E5-D5</f>
        <v>-9</v>
      </c>
      <c r="G5" s="48">
        <f t="shared" ref="G5:G26" si="1">E5/D5*100%</f>
        <v>0.64</v>
      </c>
    </row>
    <row r="6" spans="1:7">
      <c r="A6" s="45">
        <v>3</v>
      </c>
      <c r="B6" s="141" t="s">
        <v>486</v>
      </c>
      <c r="C6" s="128" t="s">
        <v>76</v>
      </c>
      <c r="D6" s="126">
        <v>25</v>
      </c>
      <c r="E6" s="126">
        <v>14</v>
      </c>
      <c r="F6" s="45">
        <f t="shared" si="0"/>
        <v>-11</v>
      </c>
      <c r="G6" s="48">
        <f t="shared" si="1"/>
        <v>0.56000000000000005</v>
      </c>
    </row>
    <row r="7" spans="1:7">
      <c r="A7" s="45">
        <v>4</v>
      </c>
      <c r="B7" s="141" t="s">
        <v>487</v>
      </c>
      <c r="C7" s="128" t="s">
        <v>76</v>
      </c>
      <c r="D7" s="126">
        <v>25</v>
      </c>
      <c r="E7" s="126">
        <v>14</v>
      </c>
      <c r="F7" s="45">
        <f t="shared" si="0"/>
        <v>-11</v>
      </c>
      <c r="G7" s="48">
        <f t="shared" si="1"/>
        <v>0.56000000000000005</v>
      </c>
    </row>
    <row r="8" spans="1:7">
      <c r="A8" s="45">
        <v>5</v>
      </c>
      <c r="B8" s="141" t="s">
        <v>488</v>
      </c>
      <c r="C8" s="128" t="s">
        <v>76</v>
      </c>
      <c r="D8" s="126">
        <v>25</v>
      </c>
      <c r="E8" s="126">
        <v>26</v>
      </c>
      <c r="F8" s="45">
        <f t="shared" si="0"/>
        <v>1</v>
      </c>
      <c r="G8" s="48">
        <f t="shared" si="1"/>
        <v>1.04</v>
      </c>
    </row>
    <row r="9" spans="1:7">
      <c r="A9" s="45">
        <v>6</v>
      </c>
      <c r="B9" s="141" t="s">
        <v>489</v>
      </c>
      <c r="C9" s="128" t="s">
        <v>76</v>
      </c>
      <c r="D9" s="126">
        <v>25</v>
      </c>
      <c r="E9" s="126">
        <v>15</v>
      </c>
      <c r="F9" s="45">
        <f t="shared" si="0"/>
        <v>-10</v>
      </c>
      <c r="G9" s="48">
        <f t="shared" si="1"/>
        <v>0.6</v>
      </c>
    </row>
    <row r="10" spans="1:7">
      <c r="A10" s="45">
        <v>7</v>
      </c>
      <c r="B10" s="125" t="s">
        <v>490</v>
      </c>
      <c r="C10" s="126" t="s">
        <v>75</v>
      </c>
      <c r="D10" s="126">
        <v>25</v>
      </c>
      <c r="E10" s="126">
        <v>0</v>
      </c>
      <c r="F10" s="45">
        <f t="shared" si="0"/>
        <v>-25</v>
      </c>
      <c r="G10" s="48">
        <f t="shared" si="1"/>
        <v>0</v>
      </c>
    </row>
    <row r="11" spans="1:7">
      <c r="A11" s="45">
        <v>8</v>
      </c>
      <c r="B11" s="127" t="s">
        <v>491</v>
      </c>
      <c r="C11" s="128" t="s">
        <v>76</v>
      </c>
      <c r="D11" s="126">
        <v>25</v>
      </c>
      <c r="E11" s="126">
        <v>10</v>
      </c>
      <c r="F11" s="45">
        <f t="shared" si="0"/>
        <v>-15</v>
      </c>
      <c r="G11" s="48">
        <f t="shared" si="1"/>
        <v>0.4</v>
      </c>
    </row>
    <row r="12" spans="1:7">
      <c r="A12" s="45">
        <v>9</v>
      </c>
      <c r="B12" s="127" t="s">
        <v>492</v>
      </c>
      <c r="C12" s="128" t="s">
        <v>76</v>
      </c>
      <c r="D12" s="126">
        <v>25</v>
      </c>
      <c r="E12" s="126">
        <v>23</v>
      </c>
      <c r="F12" s="45">
        <f t="shared" si="0"/>
        <v>-2</v>
      </c>
      <c r="G12" s="48">
        <f t="shared" si="1"/>
        <v>0.92</v>
      </c>
    </row>
    <row r="13" spans="1:7">
      <c r="A13" s="45">
        <v>10</v>
      </c>
      <c r="B13" s="127" t="s">
        <v>493</v>
      </c>
      <c r="C13" s="128" t="s">
        <v>76</v>
      </c>
      <c r="D13" s="126">
        <v>25</v>
      </c>
      <c r="E13" s="126">
        <v>11</v>
      </c>
      <c r="F13" s="45">
        <f t="shared" si="0"/>
        <v>-14</v>
      </c>
      <c r="G13" s="48">
        <f t="shared" si="1"/>
        <v>0.44</v>
      </c>
    </row>
    <row r="14" spans="1:7">
      <c r="A14" s="45">
        <v>11</v>
      </c>
      <c r="B14" s="130" t="s">
        <v>205</v>
      </c>
      <c r="C14" s="128" t="s">
        <v>76</v>
      </c>
      <c r="D14" s="126">
        <v>25</v>
      </c>
      <c r="E14" s="126">
        <v>7</v>
      </c>
      <c r="F14" s="45">
        <f t="shared" si="0"/>
        <v>-18</v>
      </c>
      <c r="G14" s="48">
        <f t="shared" si="1"/>
        <v>0.28000000000000003</v>
      </c>
    </row>
    <row r="15" spans="1:7">
      <c r="A15" s="45">
        <v>12</v>
      </c>
      <c r="B15" s="130" t="s">
        <v>494</v>
      </c>
      <c r="C15" s="128" t="s">
        <v>76</v>
      </c>
      <c r="D15" s="126">
        <v>25</v>
      </c>
      <c r="E15" s="126">
        <v>4</v>
      </c>
      <c r="F15" s="45">
        <f t="shared" si="0"/>
        <v>-21</v>
      </c>
      <c r="G15" s="48">
        <f t="shared" si="1"/>
        <v>0.16</v>
      </c>
    </row>
    <row r="16" spans="1:7">
      <c r="A16" s="45">
        <v>13</v>
      </c>
      <c r="B16" s="127" t="s">
        <v>495</v>
      </c>
      <c r="C16" s="128" t="s">
        <v>76</v>
      </c>
      <c r="D16" s="126">
        <v>25</v>
      </c>
      <c r="E16" s="126">
        <v>1</v>
      </c>
      <c r="F16" s="45">
        <f t="shared" si="0"/>
        <v>-24</v>
      </c>
      <c r="G16" s="48">
        <f t="shared" si="1"/>
        <v>0.04</v>
      </c>
    </row>
    <row r="17" spans="1:7">
      <c r="A17" s="45">
        <v>14</v>
      </c>
      <c r="B17" s="127" t="s">
        <v>496</v>
      </c>
      <c r="C17" s="128" t="s">
        <v>76</v>
      </c>
      <c r="D17" s="126">
        <v>25</v>
      </c>
      <c r="E17" s="126">
        <v>0</v>
      </c>
      <c r="F17" s="45">
        <f t="shared" si="0"/>
        <v>-25</v>
      </c>
      <c r="G17" s="48">
        <f t="shared" si="1"/>
        <v>0</v>
      </c>
    </row>
    <row r="18" spans="1:7">
      <c r="A18" s="45">
        <v>15</v>
      </c>
      <c r="B18" s="125" t="s">
        <v>497</v>
      </c>
      <c r="C18" s="126" t="s">
        <v>75</v>
      </c>
      <c r="D18" s="126">
        <v>25</v>
      </c>
      <c r="E18" s="126">
        <v>0</v>
      </c>
      <c r="F18" s="45">
        <f t="shared" si="0"/>
        <v>-25</v>
      </c>
      <c r="G18" s="48">
        <f t="shared" si="1"/>
        <v>0</v>
      </c>
    </row>
    <row r="19" spans="1:7">
      <c r="A19" s="45">
        <v>16</v>
      </c>
      <c r="B19" s="141" t="s">
        <v>498</v>
      </c>
      <c r="C19" s="128" t="s">
        <v>76</v>
      </c>
      <c r="D19" s="126">
        <v>25</v>
      </c>
      <c r="E19" s="126">
        <v>29</v>
      </c>
      <c r="F19" s="45">
        <f t="shared" si="0"/>
        <v>4</v>
      </c>
      <c r="G19" s="48">
        <f t="shared" si="1"/>
        <v>1.1599999999999999</v>
      </c>
    </row>
    <row r="20" spans="1:7">
      <c r="A20" s="45">
        <v>17</v>
      </c>
      <c r="B20" s="141" t="s">
        <v>499</v>
      </c>
      <c r="C20" s="128" t="s">
        <v>76</v>
      </c>
      <c r="D20" s="126">
        <v>25</v>
      </c>
      <c r="E20" s="126">
        <v>9</v>
      </c>
      <c r="F20" s="45">
        <f t="shared" si="0"/>
        <v>-16</v>
      </c>
      <c r="G20" s="48">
        <f t="shared" si="1"/>
        <v>0.36</v>
      </c>
    </row>
    <row r="21" spans="1:7">
      <c r="A21" s="45">
        <v>18</v>
      </c>
      <c r="B21" s="141" t="s">
        <v>500</v>
      </c>
      <c r="C21" s="128" t="s">
        <v>76</v>
      </c>
      <c r="D21" s="126">
        <v>25</v>
      </c>
      <c r="E21" s="126">
        <v>16</v>
      </c>
      <c r="F21" s="45">
        <f t="shared" si="0"/>
        <v>-9</v>
      </c>
      <c r="G21" s="48">
        <f t="shared" si="1"/>
        <v>0.64</v>
      </c>
    </row>
    <row r="22" spans="1:7">
      <c r="A22" s="45">
        <v>19</v>
      </c>
      <c r="B22" s="141" t="s">
        <v>501</v>
      </c>
      <c r="C22" s="128" t="s">
        <v>76</v>
      </c>
      <c r="D22" s="126">
        <v>25</v>
      </c>
      <c r="E22" s="126">
        <v>12</v>
      </c>
      <c r="F22" s="45">
        <f t="shared" si="0"/>
        <v>-13</v>
      </c>
      <c r="G22" s="48">
        <f t="shared" si="1"/>
        <v>0.48</v>
      </c>
    </row>
    <row r="23" spans="1:7">
      <c r="A23" s="45">
        <v>20</v>
      </c>
      <c r="B23" s="141" t="s">
        <v>502</v>
      </c>
      <c r="C23" s="128" t="s">
        <v>76</v>
      </c>
      <c r="D23" s="126">
        <v>25</v>
      </c>
      <c r="E23" s="126">
        <v>13</v>
      </c>
      <c r="F23" s="45">
        <f t="shared" si="0"/>
        <v>-12</v>
      </c>
      <c r="G23" s="48">
        <f t="shared" si="1"/>
        <v>0.52</v>
      </c>
    </row>
    <row r="24" spans="1:7">
      <c r="A24" s="45">
        <v>21</v>
      </c>
      <c r="B24" s="141" t="s">
        <v>503</v>
      </c>
      <c r="C24" s="128" t="s">
        <v>76</v>
      </c>
      <c r="D24" s="126">
        <v>25</v>
      </c>
      <c r="E24" s="126">
        <v>10</v>
      </c>
      <c r="F24" s="45">
        <f t="shared" si="0"/>
        <v>-15</v>
      </c>
      <c r="G24" s="48">
        <f t="shared" si="1"/>
        <v>0.4</v>
      </c>
    </row>
    <row r="25" spans="1:7">
      <c r="A25" s="45">
        <v>22</v>
      </c>
      <c r="B25" s="141" t="s">
        <v>504</v>
      </c>
      <c r="C25" s="128" t="s">
        <v>76</v>
      </c>
      <c r="D25" s="126">
        <v>25</v>
      </c>
      <c r="E25" s="126">
        <v>9</v>
      </c>
      <c r="F25" s="45">
        <f t="shared" si="0"/>
        <v>-16</v>
      </c>
      <c r="G25" s="48">
        <f t="shared" si="1"/>
        <v>0.36</v>
      </c>
    </row>
    <row r="26" spans="1:7">
      <c r="A26" s="45"/>
      <c r="B26" s="50" t="s">
        <v>50</v>
      </c>
      <c r="C26" s="50"/>
      <c r="D26" s="50">
        <v>530</v>
      </c>
      <c r="E26" s="50">
        <f>SUM(E4:E25)</f>
        <v>239</v>
      </c>
      <c r="F26" s="50">
        <f t="shared" si="0"/>
        <v>-291</v>
      </c>
      <c r="G26" s="58">
        <f t="shared" si="1"/>
        <v>0.45094339622641511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8A0E-6C47-48C0-B4EB-0C0A174E2287}">
  <dimension ref="A1:G12"/>
  <sheetViews>
    <sheetView workbookViewId="0">
      <selection activeCell="I8" sqref="I8"/>
    </sheetView>
  </sheetViews>
  <sheetFormatPr defaultRowHeight="14.5"/>
  <cols>
    <col min="1" max="1" width="6" customWidth="1"/>
    <col min="2" max="2" width="33.089843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6">
        <v>1</v>
      </c>
      <c r="B4" s="142" t="s">
        <v>505</v>
      </c>
      <c r="C4" s="128" t="s">
        <v>75</v>
      </c>
      <c r="D4" s="128">
        <v>25</v>
      </c>
      <c r="E4" s="128">
        <v>0</v>
      </c>
      <c r="F4" s="46">
        <f>E4-D4</f>
        <v>-25</v>
      </c>
      <c r="G4" s="47">
        <f>E4/D4*100%</f>
        <v>0</v>
      </c>
    </row>
    <row r="5" spans="1:7">
      <c r="A5" s="46">
        <v>2</v>
      </c>
      <c r="B5" s="127" t="s">
        <v>506</v>
      </c>
      <c r="C5" s="128" t="s">
        <v>76</v>
      </c>
      <c r="D5" s="128">
        <v>25</v>
      </c>
      <c r="E5" s="128">
        <v>33</v>
      </c>
      <c r="F5" s="46">
        <f t="shared" ref="F5:F12" si="0">E5-D5</f>
        <v>8</v>
      </c>
      <c r="G5" s="47">
        <f t="shared" ref="G5:G12" si="1">E5/D5*100%</f>
        <v>1.32</v>
      </c>
    </row>
    <row r="6" spans="1:7">
      <c r="A6" s="46">
        <v>3</v>
      </c>
      <c r="B6" s="127" t="s">
        <v>507</v>
      </c>
      <c r="C6" s="128" t="s">
        <v>76</v>
      </c>
      <c r="D6" s="128">
        <v>25</v>
      </c>
      <c r="E6" s="128">
        <v>24</v>
      </c>
      <c r="F6" s="46">
        <f t="shared" si="0"/>
        <v>-1</v>
      </c>
      <c r="G6" s="47">
        <f t="shared" si="1"/>
        <v>0.96</v>
      </c>
    </row>
    <row r="7" spans="1:7">
      <c r="A7" s="46">
        <v>4</v>
      </c>
      <c r="B7" s="127" t="s">
        <v>508</v>
      </c>
      <c r="C7" s="128" t="s">
        <v>76</v>
      </c>
      <c r="D7" s="129">
        <v>25</v>
      </c>
      <c r="E7" s="128">
        <v>11</v>
      </c>
      <c r="F7" s="46">
        <f t="shared" si="0"/>
        <v>-14</v>
      </c>
      <c r="G7" s="47">
        <f t="shared" si="1"/>
        <v>0.44</v>
      </c>
    </row>
    <row r="8" spans="1:7">
      <c r="A8" s="46">
        <v>5</v>
      </c>
      <c r="B8" s="127" t="s">
        <v>509</v>
      </c>
      <c r="C8" s="128" t="s">
        <v>76</v>
      </c>
      <c r="D8" s="129">
        <v>25</v>
      </c>
      <c r="E8" s="128">
        <v>12</v>
      </c>
      <c r="F8" s="46">
        <f t="shared" si="0"/>
        <v>-13</v>
      </c>
      <c r="G8" s="47">
        <f t="shared" si="1"/>
        <v>0.48</v>
      </c>
    </row>
    <row r="9" spans="1:7">
      <c r="A9" s="46">
        <v>6</v>
      </c>
      <c r="B9" s="127" t="s">
        <v>510</v>
      </c>
      <c r="C9" s="128" t="s">
        <v>76</v>
      </c>
      <c r="D9" s="129">
        <v>5</v>
      </c>
      <c r="E9" s="128">
        <v>1</v>
      </c>
      <c r="F9" s="46">
        <f t="shared" si="0"/>
        <v>-4</v>
      </c>
      <c r="G9" s="47">
        <f t="shared" si="1"/>
        <v>0.2</v>
      </c>
    </row>
    <row r="10" spans="1:7">
      <c r="A10" s="46">
        <v>7</v>
      </c>
      <c r="B10" s="127" t="s">
        <v>511</v>
      </c>
      <c r="C10" s="128" t="s">
        <v>76</v>
      </c>
      <c r="D10" s="129">
        <v>10</v>
      </c>
      <c r="E10" s="128">
        <v>2</v>
      </c>
      <c r="F10" s="46">
        <f t="shared" si="0"/>
        <v>-8</v>
      </c>
      <c r="G10" s="47">
        <f t="shared" si="1"/>
        <v>0.2</v>
      </c>
    </row>
    <row r="11" spans="1:7">
      <c r="A11" s="46">
        <v>8</v>
      </c>
      <c r="B11" s="127" t="s">
        <v>512</v>
      </c>
      <c r="C11" s="128" t="s">
        <v>76</v>
      </c>
      <c r="D11" s="129">
        <v>10</v>
      </c>
      <c r="E11" s="128">
        <v>1</v>
      </c>
      <c r="F11" s="46">
        <f t="shared" si="0"/>
        <v>-9</v>
      </c>
      <c r="G11" s="47">
        <f t="shared" si="1"/>
        <v>0.1</v>
      </c>
    </row>
    <row r="12" spans="1:7">
      <c r="A12" s="46"/>
      <c r="B12" s="49" t="s">
        <v>50</v>
      </c>
      <c r="C12" s="49"/>
      <c r="D12" s="49">
        <v>190</v>
      </c>
      <c r="E12" s="49">
        <f>SUM(E4:E11)</f>
        <v>84</v>
      </c>
      <c r="F12" s="49">
        <f t="shared" si="0"/>
        <v>-106</v>
      </c>
      <c r="G12" s="51">
        <f t="shared" si="1"/>
        <v>0.44210526315789472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2482-F2AB-4A8F-BAD0-6CA8BF00272F}">
  <dimension ref="A1:G28"/>
  <sheetViews>
    <sheetView workbookViewId="0">
      <selection activeCell="I27" sqref="I27"/>
    </sheetView>
  </sheetViews>
  <sheetFormatPr defaultRowHeight="14.5"/>
  <cols>
    <col min="1" max="1" width="4.453125" customWidth="1"/>
    <col min="2" max="2" width="34.17968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6">
        <v>1</v>
      </c>
      <c r="B4" s="41" t="s">
        <v>98</v>
      </c>
      <c r="C4" s="42" t="s">
        <v>75</v>
      </c>
      <c r="D4" s="42">
        <v>25</v>
      </c>
      <c r="E4" s="42">
        <v>0</v>
      </c>
      <c r="F4" s="46">
        <f>E4-D4</f>
        <v>-25</v>
      </c>
      <c r="G4" s="47">
        <f>E4/D4*100%</f>
        <v>0</v>
      </c>
    </row>
    <row r="5" spans="1:7">
      <c r="A5" s="46">
        <v>2</v>
      </c>
      <c r="B5" s="41" t="s">
        <v>99</v>
      </c>
      <c r="C5" s="42" t="s">
        <v>76</v>
      </c>
      <c r="D5" s="42">
        <v>25</v>
      </c>
      <c r="E5" s="42">
        <v>38</v>
      </c>
      <c r="F5" s="46">
        <f t="shared" ref="F5:F28" si="0">E5-D5</f>
        <v>13</v>
      </c>
      <c r="G5" s="47">
        <f t="shared" ref="G5:G28" si="1">E5/D5*100%</f>
        <v>1.52</v>
      </c>
    </row>
    <row r="6" spans="1:7">
      <c r="A6" s="46">
        <v>3</v>
      </c>
      <c r="B6" s="41" t="s">
        <v>100</v>
      </c>
      <c r="C6" s="42" t="s">
        <v>76</v>
      </c>
      <c r="D6" s="42">
        <v>25</v>
      </c>
      <c r="E6" s="42">
        <v>17</v>
      </c>
      <c r="F6" s="46">
        <f t="shared" si="0"/>
        <v>-8</v>
      </c>
      <c r="G6" s="47">
        <f t="shared" si="1"/>
        <v>0.68</v>
      </c>
    </row>
    <row r="7" spans="1:7">
      <c r="A7" s="46">
        <v>4</v>
      </c>
      <c r="B7" s="43" t="s">
        <v>101</v>
      </c>
      <c r="C7" s="42" t="s">
        <v>76</v>
      </c>
      <c r="D7" s="42">
        <v>25</v>
      </c>
      <c r="E7" s="42">
        <v>24</v>
      </c>
      <c r="F7" s="46">
        <f t="shared" si="0"/>
        <v>-1</v>
      </c>
      <c r="G7" s="47">
        <f t="shared" si="1"/>
        <v>0.96</v>
      </c>
    </row>
    <row r="8" spans="1:7">
      <c r="A8" s="46">
        <v>5</v>
      </c>
      <c r="B8" s="43" t="s">
        <v>102</v>
      </c>
      <c r="C8" s="42" t="s">
        <v>76</v>
      </c>
      <c r="D8" s="42">
        <v>25</v>
      </c>
      <c r="E8" s="42">
        <v>11</v>
      </c>
      <c r="F8" s="46">
        <f t="shared" si="0"/>
        <v>-14</v>
      </c>
      <c r="G8" s="47">
        <f t="shared" si="1"/>
        <v>0.44</v>
      </c>
    </row>
    <row r="9" spans="1:7">
      <c r="A9" s="46">
        <v>6</v>
      </c>
      <c r="B9" s="43" t="s">
        <v>103</v>
      </c>
      <c r="C9" s="42" t="s">
        <v>76</v>
      </c>
      <c r="D9" s="42">
        <v>25</v>
      </c>
      <c r="E9" s="42">
        <v>7</v>
      </c>
      <c r="F9" s="46">
        <f t="shared" si="0"/>
        <v>-18</v>
      </c>
      <c r="G9" s="47">
        <f t="shared" si="1"/>
        <v>0.28000000000000003</v>
      </c>
    </row>
    <row r="10" spans="1:7">
      <c r="A10" s="46">
        <v>7</v>
      </c>
      <c r="B10" s="43" t="s">
        <v>104</v>
      </c>
      <c r="C10" s="42" t="s">
        <v>75</v>
      </c>
      <c r="D10" s="42">
        <v>25</v>
      </c>
      <c r="E10" s="42">
        <v>3</v>
      </c>
      <c r="F10" s="46">
        <f t="shared" si="0"/>
        <v>-22</v>
      </c>
      <c r="G10" s="47">
        <f t="shared" si="1"/>
        <v>0.12</v>
      </c>
    </row>
    <row r="11" spans="1:7">
      <c r="A11" s="46">
        <v>8</v>
      </c>
      <c r="B11" s="41" t="s">
        <v>105</v>
      </c>
      <c r="C11" s="42" t="s">
        <v>76</v>
      </c>
      <c r="D11" s="42">
        <v>25</v>
      </c>
      <c r="E11" s="42">
        <v>14</v>
      </c>
      <c r="F11" s="46">
        <f t="shared" si="0"/>
        <v>-11</v>
      </c>
      <c r="G11" s="47">
        <f t="shared" si="1"/>
        <v>0.56000000000000005</v>
      </c>
    </row>
    <row r="12" spans="1:7">
      <c r="A12" s="46">
        <v>9</v>
      </c>
      <c r="B12" s="43" t="s">
        <v>106</v>
      </c>
      <c r="C12" s="42" t="s">
        <v>76</v>
      </c>
      <c r="D12" s="42">
        <v>25</v>
      </c>
      <c r="E12" s="42">
        <v>13</v>
      </c>
      <c r="F12" s="46">
        <f t="shared" si="0"/>
        <v>-12</v>
      </c>
      <c r="G12" s="47">
        <f t="shared" si="1"/>
        <v>0.52</v>
      </c>
    </row>
    <row r="13" spans="1:7">
      <c r="A13" s="46">
        <v>10</v>
      </c>
      <c r="B13" s="43" t="s">
        <v>107</v>
      </c>
      <c r="C13" s="44" t="s">
        <v>76</v>
      </c>
      <c r="D13" s="42">
        <v>25</v>
      </c>
      <c r="E13" s="42">
        <v>13</v>
      </c>
      <c r="F13" s="46">
        <f t="shared" si="0"/>
        <v>-12</v>
      </c>
      <c r="G13" s="47">
        <f t="shared" si="1"/>
        <v>0.52</v>
      </c>
    </row>
    <row r="14" spans="1:7">
      <c r="A14" s="46">
        <v>11</v>
      </c>
      <c r="B14" s="43" t="s">
        <v>108</v>
      </c>
      <c r="C14" s="44" t="s">
        <v>76</v>
      </c>
      <c r="D14" s="44">
        <v>25</v>
      </c>
      <c r="E14" s="42">
        <v>26</v>
      </c>
      <c r="F14" s="46">
        <f t="shared" si="0"/>
        <v>1</v>
      </c>
      <c r="G14" s="47">
        <f t="shared" si="1"/>
        <v>1.04</v>
      </c>
    </row>
    <row r="15" spans="1:7">
      <c r="A15" s="46">
        <v>12</v>
      </c>
      <c r="B15" s="41" t="s">
        <v>109</v>
      </c>
      <c r="C15" s="42" t="s">
        <v>75</v>
      </c>
      <c r="D15" s="42">
        <v>25</v>
      </c>
      <c r="E15" s="42">
        <v>0</v>
      </c>
      <c r="F15" s="46">
        <f t="shared" si="0"/>
        <v>-25</v>
      </c>
      <c r="G15" s="47">
        <f t="shared" si="1"/>
        <v>0</v>
      </c>
    </row>
    <row r="16" spans="1:7">
      <c r="A16" s="46">
        <v>13</v>
      </c>
      <c r="B16" s="41" t="s">
        <v>110</v>
      </c>
      <c r="C16" s="42" t="s">
        <v>76</v>
      </c>
      <c r="D16" s="42">
        <v>25</v>
      </c>
      <c r="E16" s="42">
        <v>19</v>
      </c>
      <c r="F16" s="46">
        <f t="shared" si="0"/>
        <v>-6</v>
      </c>
      <c r="G16" s="47">
        <f t="shared" si="1"/>
        <v>0.76</v>
      </c>
    </row>
    <row r="17" spans="1:7">
      <c r="A17" s="46">
        <v>14</v>
      </c>
      <c r="B17" s="41" t="s">
        <v>111</v>
      </c>
      <c r="C17" s="42" t="s">
        <v>76</v>
      </c>
      <c r="D17" s="42">
        <v>25</v>
      </c>
      <c r="E17" s="42">
        <v>15</v>
      </c>
      <c r="F17" s="46">
        <f t="shared" si="0"/>
        <v>-10</v>
      </c>
      <c r="G17" s="47">
        <f t="shared" si="1"/>
        <v>0.6</v>
      </c>
    </row>
    <row r="18" spans="1:7">
      <c r="A18" s="46">
        <v>15</v>
      </c>
      <c r="B18" s="43" t="s">
        <v>112</v>
      </c>
      <c r="C18" s="44" t="s">
        <v>76</v>
      </c>
      <c r="D18" s="44">
        <v>25</v>
      </c>
      <c r="E18" s="42">
        <v>15</v>
      </c>
      <c r="F18" s="46">
        <f t="shared" si="0"/>
        <v>-10</v>
      </c>
      <c r="G18" s="47">
        <f t="shared" si="1"/>
        <v>0.6</v>
      </c>
    </row>
    <row r="19" spans="1:7">
      <c r="A19" s="46">
        <v>16</v>
      </c>
      <c r="B19" s="43" t="s">
        <v>113</v>
      </c>
      <c r="C19" s="44" t="s">
        <v>76</v>
      </c>
      <c r="D19" s="44">
        <v>25</v>
      </c>
      <c r="E19" s="42">
        <v>0</v>
      </c>
      <c r="F19" s="46">
        <f t="shared" si="0"/>
        <v>-25</v>
      </c>
      <c r="G19" s="47">
        <f t="shared" si="1"/>
        <v>0</v>
      </c>
    </row>
    <row r="20" spans="1:7">
      <c r="A20" s="46">
        <v>17</v>
      </c>
      <c r="B20" s="43" t="s">
        <v>114</v>
      </c>
      <c r="C20" s="44" t="s">
        <v>76</v>
      </c>
      <c r="D20" s="44">
        <v>25</v>
      </c>
      <c r="E20" s="42">
        <v>4</v>
      </c>
      <c r="F20" s="46">
        <f t="shared" si="0"/>
        <v>-21</v>
      </c>
      <c r="G20" s="47">
        <f t="shared" si="1"/>
        <v>0.16</v>
      </c>
    </row>
    <row r="21" spans="1:7">
      <c r="A21" s="46">
        <v>18</v>
      </c>
      <c r="B21" s="41" t="s">
        <v>115</v>
      </c>
      <c r="C21" s="42" t="s">
        <v>75</v>
      </c>
      <c r="D21" s="42">
        <v>25</v>
      </c>
      <c r="E21" s="42">
        <v>0</v>
      </c>
      <c r="F21" s="46">
        <f t="shared" si="0"/>
        <v>-25</v>
      </c>
      <c r="G21" s="47">
        <f t="shared" si="1"/>
        <v>0</v>
      </c>
    </row>
    <row r="22" spans="1:7">
      <c r="A22" s="46">
        <v>19</v>
      </c>
      <c r="B22" s="41" t="s">
        <v>116</v>
      </c>
      <c r="C22" s="42" t="s">
        <v>76</v>
      </c>
      <c r="D22" s="42">
        <v>25</v>
      </c>
      <c r="E22" s="42">
        <v>15</v>
      </c>
      <c r="F22" s="46">
        <f t="shared" si="0"/>
        <v>-10</v>
      </c>
      <c r="G22" s="47">
        <f t="shared" si="1"/>
        <v>0.6</v>
      </c>
    </row>
    <row r="23" spans="1:7">
      <c r="A23" s="46">
        <v>20</v>
      </c>
      <c r="B23" s="43" t="s">
        <v>117</v>
      </c>
      <c r="C23" s="44" t="s">
        <v>76</v>
      </c>
      <c r="D23" s="44">
        <v>25</v>
      </c>
      <c r="E23" s="42">
        <v>23</v>
      </c>
      <c r="F23" s="46">
        <f t="shared" si="0"/>
        <v>-2</v>
      </c>
      <c r="G23" s="47">
        <f t="shared" si="1"/>
        <v>0.92</v>
      </c>
    </row>
    <row r="24" spans="1:7">
      <c r="A24" s="46">
        <v>21</v>
      </c>
      <c r="B24" s="43" t="s">
        <v>118</v>
      </c>
      <c r="C24" s="44" t="s">
        <v>76</v>
      </c>
      <c r="D24" s="44">
        <v>25</v>
      </c>
      <c r="E24" s="42">
        <v>4</v>
      </c>
      <c r="F24" s="46">
        <f t="shared" si="0"/>
        <v>-21</v>
      </c>
      <c r="G24" s="47">
        <f t="shared" si="1"/>
        <v>0.16</v>
      </c>
    </row>
    <row r="25" spans="1:7">
      <c r="A25" s="46">
        <v>22</v>
      </c>
      <c r="B25" s="43" t="s">
        <v>119</v>
      </c>
      <c r="C25" s="44" t="s">
        <v>76</v>
      </c>
      <c r="D25" s="44">
        <v>25</v>
      </c>
      <c r="E25" s="42">
        <v>10</v>
      </c>
      <c r="F25" s="46">
        <f t="shared" si="0"/>
        <v>-15</v>
      </c>
      <c r="G25" s="47">
        <f t="shared" si="1"/>
        <v>0.4</v>
      </c>
    </row>
    <row r="26" spans="1:7">
      <c r="A26" s="46">
        <v>23</v>
      </c>
      <c r="B26" s="43" t="s">
        <v>120</v>
      </c>
      <c r="C26" s="44" t="s">
        <v>76</v>
      </c>
      <c r="D26" s="44">
        <v>25</v>
      </c>
      <c r="E26" s="42">
        <v>0</v>
      </c>
      <c r="F26" s="46">
        <f t="shared" si="0"/>
        <v>-25</v>
      </c>
      <c r="G26" s="47">
        <f t="shared" si="1"/>
        <v>0</v>
      </c>
    </row>
    <row r="27" spans="1:7">
      <c r="A27" s="46">
        <v>24</v>
      </c>
      <c r="B27" s="43" t="s">
        <v>121</v>
      </c>
      <c r="C27" s="44" t="s">
        <v>76</v>
      </c>
      <c r="D27" s="44">
        <v>25</v>
      </c>
      <c r="E27" s="42">
        <v>1</v>
      </c>
      <c r="F27" s="46">
        <f t="shared" si="0"/>
        <v>-24</v>
      </c>
      <c r="G27" s="47">
        <f t="shared" si="1"/>
        <v>0.04</v>
      </c>
    </row>
    <row r="28" spans="1:7" ht="19" customHeight="1">
      <c r="A28" s="49"/>
      <c r="B28" s="50" t="s">
        <v>50</v>
      </c>
      <c r="C28" s="50"/>
      <c r="D28" s="50">
        <v>600</v>
      </c>
      <c r="E28" s="50">
        <f>SUM(E4:E27)</f>
        <v>272</v>
      </c>
      <c r="F28" s="49">
        <f t="shared" si="0"/>
        <v>-328</v>
      </c>
      <c r="G28" s="51">
        <f t="shared" si="1"/>
        <v>0.45333333333333331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B680-5E39-4656-9444-EF4B36F37E38}">
  <dimension ref="A1:G11"/>
  <sheetViews>
    <sheetView workbookViewId="0">
      <selection activeCell="D12" sqref="D12"/>
    </sheetView>
  </sheetViews>
  <sheetFormatPr defaultRowHeight="14.5"/>
  <cols>
    <col min="1" max="1" width="6.1796875" customWidth="1"/>
    <col min="2" max="2" width="26.269531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51" t="s">
        <v>517</v>
      </c>
      <c r="C4" s="108" t="s">
        <v>75</v>
      </c>
      <c r="D4" s="108">
        <v>35</v>
      </c>
      <c r="E4" s="108">
        <v>5</v>
      </c>
      <c r="F4" s="45">
        <f>E4-D4</f>
        <v>-30</v>
      </c>
      <c r="G4" s="48">
        <f>E4/D4*100%</f>
        <v>0.14285714285714285</v>
      </c>
    </row>
    <row r="5" spans="1:7">
      <c r="A5" s="45">
        <v>2</v>
      </c>
      <c r="B5" s="149" t="s">
        <v>518</v>
      </c>
      <c r="C5" s="110" t="s">
        <v>76</v>
      </c>
      <c r="D5" s="108">
        <v>25</v>
      </c>
      <c r="E5" s="108">
        <v>10</v>
      </c>
      <c r="F5" s="45">
        <f t="shared" ref="F5:F10" si="0">E5-D5</f>
        <v>-15</v>
      </c>
      <c r="G5" s="48">
        <f t="shared" ref="G5:G11" si="1">E5/D5*100%</f>
        <v>0.4</v>
      </c>
    </row>
    <row r="6" spans="1:7">
      <c r="A6" s="45">
        <v>3</v>
      </c>
      <c r="B6" s="150" t="s">
        <v>519</v>
      </c>
      <c r="C6" s="110" t="s">
        <v>76</v>
      </c>
      <c r="D6" s="108">
        <v>25</v>
      </c>
      <c r="E6" s="108">
        <v>11</v>
      </c>
      <c r="F6" s="45">
        <f t="shared" si="0"/>
        <v>-14</v>
      </c>
      <c r="G6" s="48">
        <f t="shared" si="1"/>
        <v>0.44</v>
      </c>
    </row>
    <row r="7" spans="1:7">
      <c r="A7" s="45">
        <v>4</v>
      </c>
      <c r="B7" s="152" t="s">
        <v>520</v>
      </c>
      <c r="C7" s="110" t="s">
        <v>76</v>
      </c>
      <c r="D7" s="108">
        <v>25</v>
      </c>
      <c r="E7" s="108">
        <v>7</v>
      </c>
      <c r="F7" s="45">
        <f t="shared" si="0"/>
        <v>-18</v>
      </c>
      <c r="G7" s="48">
        <f t="shared" si="1"/>
        <v>0.28000000000000003</v>
      </c>
    </row>
    <row r="8" spans="1:7">
      <c r="A8" s="45">
        <v>5</v>
      </c>
      <c r="B8" s="153" t="s">
        <v>521</v>
      </c>
      <c r="C8" s="108" t="s">
        <v>75</v>
      </c>
      <c r="D8" s="108">
        <v>35</v>
      </c>
      <c r="E8" s="108">
        <v>1</v>
      </c>
      <c r="F8" s="45">
        <f t="shared" si="0"/>
        <v>-34</v>
      </c>
      <c r="G8" s="48">
        <f t="shared" si="1"/>
        <v>2.8571428571428571E-2</v>
      </c>
    </row>
    <row r="9" spans="1:7">
      <c r="A9" s="45">
        <v>6</v>
      </c>
      <c r="B9" s="153" t="s">
        <v>522</v>
      </c>
      <c r="C9" s="110" t="s">
        <v>76</v>
      </c>
      <c r="D9" s="108">
        <v>25</v>
      </c>
      <c r="E9" s="108">
        <v>3</v>
      </c>
      <c r="F9" s="45">
        <f t="shared" si="0"/>
        <v>-22</v>
      </c>
      <c r="G9" s="48">
        <f t="shared" si="1"/>
        <v>0.12</v>
      </c>
    </row>
    <row r="10" spans="1:7">
      <c r="A10" s="45">
        <v>7</v>
      </c>
      <c r="B10" s="153" t="s">
        <v>523</v>
      </c>
      <c r="C10" s="110" t="s">
        <v>76</v>
      </c>
      <c r="D10" s="108">
        <v>25</v>
      </c>
      <c r="E10" s="108">
        <v>5</v>
      </c>
      <c r="F10" s="45">
        <f t="shared" si="0"/>
        <v>-20</v>
      </c>
      <c r="G10" s="48">
        <f t="shared" si="1"/>
        <v>0.2</v>
      </c>
    </row>
    <row r="11" spans="1:7">
      <c r="A11" s="45"/>
      <c r="B11" s="45" t="s">
        <v>50</v>
      </c>
      <c r="C11" s="45"/>
      <c r="D11" s="45">
        <v>300</v>
      </c>
      <c r="E11" s="45">
        <f>SUM(E4:E10)</f>
        <v>42</v>
      </c>
      <c r="F11" s="45"/>
      <c r="G11" s="48">
        <f t="shared" si="1"/>
        <v>0.14000000000000001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9BB7-EE8D-4295-A066-8D7CF30B5AC6}">
  <dimension ref="A1:G9"/>
  <sheetViews>
    <sheetView workbookViewId="0">
      <selection activeCell="I7" sqref="I7"/>
    </sheetView>
  </sheetViews>
  <sheetFormatPr defaultRowHeight="14.5"/>
  <cols>
    <col min="1" max="1" width="4.6328125" customWidth="1"/>
    <col min="2" max="2" width="30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52" t="s">
        <v>524</v>
      </c>
      <c r="C4" s="108" t="s">
        <v>75</v>
      </c>
      <c r="D4" s="108">
        <v>35</v>
      </c>
      <c r="E4" s="108">
        <v>2</v>
      </c>
      <c r="F4" s="45">
        <f>E4-D4</f>
        <v>-33</v>
      </c>
      <c r="G4" s="48">
        <f>E4/D4*100%</f>
        <v>5.7142857142857141E-2</v>
      </c>
    </row>
    <row r="5" spans="1:7">
      <c r="A5" s="45">
        <v>2</v>
      </c>
      <c r="B5" s="153" t="s">
        <v>525</v>
      </c>
      <c r="C5" s="110" t="s">
        <v>76</v>
      </c>
      <c r="D5" s="108">
        <v>25</v>
      </c>
      <c r="E5" s="108">
        <v>1</v>
      </c>
      <c r="F5" s="45">
        <f t="shared" ref="F5:F8" si="0">E5-D5</f>
        <v>-24</v>
      </c>
      <c r="G5" s="48">
        <f t="shared" ref="G5:G9" si="1">E5/D5*100%</f>
        <v>0.04</v>
      </c>
    </row>
    <row r="6" spans="1:7">
      <c r="A6" s="45">
        <v>3</v>
      </c>
      <c r="B6" s="153" t="s">
        <v>526</v>
      </c>
      <c r="C6" s="110" t="s">
        <v>76</v>
      </c>
      <c r="D6" s="108">
        <v>25</v>
      </c>
      <c r="E6" s="108">
        <v>1</v>
      </c>
      <c r="F6" s="45">
        <f t="shared" si="0"/>
        <v>-24</v>
      </c>
      <c r="G6" s="48">
        <f t="shared" si="1"/>
        <v>0.04</v>
      </c>
    </row>
    <row r="7" spans="1:7">
      <c r="A7" s="45">
        <v>4</v>
      </c>
      <c r="B7" s="152" t="s">
        <v>527</v>
      </c>
      <c r="C7" s="110" t="s">
        <v>76</v>
      </c>
      <c r="D7" s="108">
        <v>25</v>
      </c>
      <c r="E7" s="108">
        <v>0</v>
      </c>
      <c r="F7" s="45">
        <f t="shared" si="0"/>
        <v>-25</v>
      </c>
      <c r="G7" s="48">
        <f t="shared" si="1"/>
        <v>0</v>
      </c>
    </row>
    <row r="8" spans="1:7">
      <c r="A8" s="45">
        <v>5</v>
      </c>
      <c r="B8" s="152" t="s">
        <v>528</v>
      </c>
      <c r="C8" s="110" t="s">
        <v>76</v>
      </c>
      <c r="D8" s="108">
        <v>25</v>
      </c>
      <c r="E8" s="108">
        <v>0</v>
      </c>
      <c r="F8" s="45">
        <f t="shared" si="0"/>
        <v>-25</v>
      </c>
      <c r="G8" s="48">
        <f t="shared" si="1"/>
        <v>0</v>
      </c>
    </row>
    <row r="9" spans="1:7">
      <c r="A9" s="45"/>
      <c r="B9" s="45" t="s">
        <v>50</v>
      </c>
      <c r="C9" s="45"/>
      <c r="D9" s="45">
        <v>150</v>
      </c>
      <c r="E9" s="45">
        <f>SUM(E4:E8)</f>
        <v>4</v>
      </c>
      <c r="F9" s="45"/>
      <c r="G9" s="48">
        <f t="shared" si="1"/>
        <v>2.6666666666666668E-2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2289-0915-440E-B5D6-55FDFDA50430}">
  <dimension ref="A1:G20"/>
  <sheetViews>
    <sheetView topLeftCell="A7" workbookViewId="0">
      <selection activeCell="H17" sqref="H17"/>
    </sheetView>
  </sheetViews>
  <sheetFormatPr defaultRowHeight="14.5"/>
  <cols>
    <col min="1" max="1" width="5.36328125" customWidth="1"/>
    <col min="2" max="2" width="33.81640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6">
        <v>1</v>
      </c>
      <c r="B4" s="142" t="s">
        <v>529</v>
      </c>
      <c r="C4" s="128" t="s">
        <v>75</v>
      </c>
      <c r="D4" s="128">
        <v>35</v>
      </c>
      <c r="E4" s="128">
        <v>3</v>
      </c>
      <c r="F4" s="46">
        <f>E4-D4</f>
        <v>-32</v>
      </c>
      <c r="G4" s="47">
        <f>E4/D4*100%</f>
        <v>8.5714285714285715E-2</v>
      </c>
    </row>
    <row r="5" spans="1:7">
      <c r="A5" s="46">
        <v>2</v>
      </c>
      <c r="B5" s="127" t="s">
        <v>530</v>
      </c>
      <c r="C5" s="128" t="s">
        <v>76</v>
      </c>
      <c r="D5" s="128">
        <v>25</v>
      </c>
      <c r="E5" s="128">
        <v>14</v>
      </c>
      <c r="F5" s="46">
        <f t="shared" ref="F5:F20" si="0">E5-D5</f>
        <v>-11</v>
      </c>
      <c r="G5" s="47">
        <f t="shared" ref="G5:G20" si="1">E5/D5*100%</f>
        <v>0.56000000000000005</v>
      </c>
    </row>
    <row r="6" spans="1:7">
      <c r="A6" s="46">
        <v>3</v>
      </c>
      <c r="B6" s="127" t="s">
        <v>531</v>
      </c>
      <c r="C6" s="128" t="s">
        <v>76</v>
      </c>
      <c r="D6" s="128">
        <v>25</v>
      </c>
      <c r="E6" s="128">
        <v>10</v>
      </c>
      <c r="F6" s="46">
        <f t="shared" si="0"/>
        <v>-15</v>
      </c>
      <c r="G6" s="47">
        <f t="shared" si="1"/>
        <v>0.4</v>
      </c>
    </row>
    <row r="7" spans="1:7">
      <c r="A7" s="46">
        <v>4</v>
      </c>
      <c r="B7" s="127" t="s">
        <v>532</v>
      </c>
      <c r="C7" s="129" t="s">
        <v>76</v>
      </c>
      <c r="D7" s="129">
        <v>25</v>
      </c>
      <c r="E7" s="128">
        <v>11</v>
      </c>
      <c r="F7" s="46">
        <f t="shared" si="0"/>
        <v>-14</v>
      </c>
      <c r="G7" s="47">
        <f t="shared" si="1"/>
        <v>0.44</v>
      </c>
    </row>
    <row r="8" spans="1:7">
      <c r="A8" s="46">
        <v>5</v>
      </c>
      <c r="B8" s="142" t="s">
        <v>533</v>
      </c>
      <c r="C8" s="128" t="s">
        <v>76</v>
      </c>
      <c r="D8" s="128">
        <v>25</v>
      </c>
      <c r="E8" s="128">
        <v>14</v>
      </c>
      <c r="F8" s="46">
        <f t="shared" si="0"/>
        <v>-11</v>
      </c>
      <c r="G8" s="47">
        <f t="shared" si="1"/>
        <v>0.56000000000000005</v>
      </c>
    </row>
    <row r="9" spans="1:7">
      <c r="A9" s="46">
        <v>6</v>
      </c>
      <c r="B9" s="127" t="s">
        <v>534</v>
      </c>
      <c r="C9" s="128" t="s">
        <v>76</v>
      </c>
      <c r="D9" s="129">
        <v>25</v>
      </c>
      <c r="E9" s="128">
        <v>5</v>
      </c>
      <c r="F9" s="46">
        <f t="shared" si="0"/>
        <v>-20</v>
      </c>
      <c r="G9" s="47">
        <f t="shared" si="1"/>
        <v>0.2</v>
      </c>
    </row>
    <row r="10" spans="1:7">
      <c r="A10" s="46">
        <v>7</v>
      </c>
      <c r="B10" s="127" t="s">
        <v>535</v>
      </c>
      <c r="C10" s="128" t="s">
        <v>76</v>
      </c>
      <c r="D10" s="128">
        <v>25</v>
      </c>
      <c r="E10" s="128">
        <v>10</v>
      </c>
      <c r="F10" s="46">
        <f t="shared" si="0"/>
        <v>-15</v>
      </c>
      <c r="G10" s="47">
        <f t="shared" si="1"/>
        <v>0.4</v>
      </c>
    </row>
    <row r="11" spans="1:7">
      <c r="A11" s="46">
        <v>8</v>
      </c>
      <c r="B11" s="127" t="s">
        <v>536</v>
      </c>
      <c r="C11" s="128" t="s">
        <v>76</v>
      </c>
      <c r="D11" s="128">
        <v>25</v>
      </c>
      <c r="E11" s="128">
        <v>0</v>
      </c>
      <c r="F11" s="46">
        <f t="shared" si="0"/>
        <v>-25</v>
      </c>
      <c r="G11" s="47">
        <f t="shared" si="1"/>
        <v>0</v>
      </c>
    </row>
    <row r="12" spans="1:7">
      <c r="A12" s="46">
        <v>9</v>
      </c>
      <c r="B12" s="142" t="s">
        <v>537</v>
      </c>
      <c r="C12" s="128" t="s">
        <v>75</v>
      </c>
      <c r="D12" s="128">
        <v>35</v>
      </c>
      <c r="E12" s="128">
        <v>0</v>
      </c>
      <c r="F12" s="46">
        <f t="shared" si="0"/>
        <v>-35</v>
      </c>
      <c r="G12" s="47">
        <f t="shared" si="1"/>
        <v>0</v>
      </c>
    </row>
    <row r="13" spans="1:7">
      <c r="A13" s="46">
        <v>10</v>
      </c>
      <c r="B13" s="127" t="s">
        <v>538</v>
      </c>
      <c r="C13" s="128" t="s">
        <v>76</v>
      </c>
      <c r="D13" s="128">
        <v>25</v>
      </c>
      <c r="E13" s="128">
        <v>10</v>
      </c>
      <c r="F13" s="46">
        <f t="shared" si="0"/>
        <v>-15</v>
      </c>
      <c r="G13" s="47">
        <f t="shared" si="1"/>
        <v>0.4</v>
      </c>
    </row>
    <row r="14" spans="1:7">
      <c r="A14" s="46">
        <v>11</v>
      </c>
      <c r="B14" s="127" t="s">
        <v>539</v>
      </c>
      <c r="C14" s="128" t="s">
        <v>76</v>
      </c>
      <c r="D14" s="128">
        <v>25</v>
      </c>
      <c r="E14" s="128">
        <v>9</v>
      </c>
      <c r="F14" s="46">
        <f t="shared" si="0"/>
        <v>-16</v>
      </c>
      <c r="G14" s="47">
        <f t="shared" si="1"/>
        <v>0.36</v>
      </c>
    </row>
    <row r="15" spans="1:7">
      <c r="A15" s="46">
        <v>12</v>
      </c>
      <c r="B15" s="127" t="s">
        <v>540</v>
      </c>
      <c r="C15" s="129" t="s">
        <v>76</v>
      </c>
      <c r="D15" s="129">
        <v>25</v>
      </c>
      <c r="E15" s="128">
        <v>6</v>
      </c>
      <c r="F15" s="46">
        <f t="shared" si="0"/>
        <v>-19</v>
      </c>
      <c r="G15" s="47">
        <f t="shared" si="1"/>
        <v>0.24</v>
      </c>
    </row>
    <row r="16" spans="1:7">
      <c r="A16" s="46">
        <v>13</v>
      </c>
      <c r="B16" s="142" t="s">
        <v>541</v>
      </c>
      <c r="C16" s="128" t="s">
        <v>76</v>
      </c>
      <c r="D16" s="128">
        <v>25</v>
      </c>
      <c r="E16" s="128">
        <v>8</v>
      </c>
      <c r="F16" s="46">
        <f t="shared" si="0"/>
        <v>-17</v>
      </c>
      <c r="G16" s="47">
        <f t="shared" si="1"/>
        <v>0.32</v>
      </c>
    </row>
    <row r="17" spans="1:7">
      <c r="A17" s="46">
        <v>14</v>
      </c>
      <c r="B17" s="127" t="s">
        <v>542</v>
      </c>
      <c r="C17" s="128" t="s">
        <v>76</v>
      </c>
      <c r="D17" s="128">
        <v>25</v>
      </c>
      <c r="E17" s="128">
        <v>9</v>
      </c>
      <c r="F17" s="46">
        <f t="shared" si="0"/>
        <v>-16</v>
      </c>
      <c r="G17" s="47">
        <f t="shared" si="1"/>
        <v>0.36</v>
      </c>
    </row>
    <row r="18" spans="1:7">
      <c r="A18" s="46">
        <v>15</v>
      </c>
      <c r="B18" s="127" t="s">
        <v>543</v>
      </c>
      <c r="C18" s="128" t="s">
        <v>76</v>
      </c>
      <c r="D18" s="128">
        <v>25</v>
      </c>
      <c r="E18" s="128">
        <v>13</v>
      </c>
      <c r="F18" s="46">
        <f t="shared" si="0"/>
        <v>-12</v>
      </c>
      <c r="G18" s="47">
        <f t="shared" si="1"/>
        <v>0.52</v>
      </c>
    </row>
    <row r="19" spans="1:7">
      <c r="A19" s="46">
        <v>16</v>
      </c>
      <c r="B19" s="127" t="s">
        <v>544</v>
      </c>
      <c r="C19" s="128" t="s">
        <v>76</v>
      </c>
      <c r="D19" s="128">
        <v>25</v>
      </c>
      <c r="E19" s="128">
        <v>13</v>
      </c>
      <c r="F19" s="46">
        <f t="shared" si="0"/>
        <v>-12</v>
      </c>
      <c r="G19" s="47">
        <f t="shared" si="1"/>
        <v>0.52</v>
      </c>
    </row>
    <row r="20" spans="1:7">
      <c r="A20" s="46"/>
      <c r="B20" s="46" t="s">
        <v>50</v>
      </c>
      <c r="C20" s="46"/>
      <c r="D20" s="128">
        <v>380</v>
      </c>
      <c r="E20" s="46">
        <f>SUM(E4:E19)</f>
        <v>135</v>
      </c>
      <c r="F20" s="46">
        <f t="shared" si="0"/>
        <v>-245</v>
      </c>
      <c r="G20" s="47">
        <f t="shared" si="1"/>
        <v>0.35526315789473684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F544-C841-469F-87F9-9A87687858E4}">
  <dimension ref="A1:G8"/>
  <sheetViews>
    <sheetView workbookViewId="0">
      <selection activeCell="I5" sqref="I5"/>
    </sheetView>
  </sheetViews>
  <sheetFormatPr defaultRowHeight="14.5"/>
  <cols>
    <col min="1" max="1" width="4.6328125" customWidth="1"/>
    <col min="2" max="2" width="33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43" t="s">
        <v>513</v>
      </c>
      <c r="C4" s="144" t="s">
        <v>76</v>
      </c>
      <c r="D4" s="145">
        <v>25</v>
      </c>
      <c r="E4" s="145">
        <v>6</v>
      </c>
      <c r="F4" s="45">
        <f>E4-D4</f>
        <v>-19</v>
      </c>
      <c r="G4" s="48">
        <f>E4/D4*100%</f>
        <v>0.24</v>
      </c>
    </row>
    <row r="5" spans="1:7">
      <c r="A5" s="45">
        <v>2</v>
      </c>
      <c r="B5" s="147" t="s">
        <v>514</v>
      </c>
      <c r="C5" s="144" t="s">
        <v>76</v>
      </c>
      <c r="D5" s="145">
        <v>25</v>
      </c>
      <c r="E5" s="145">
        <v>5</v>
      </c>
      <c r="F5" s="45">
        <f t="shared" ref="F5:F7" si="0">E5-D5</f>
        <v>-20</v>
      </c>
      <c r="G5" s="48">
        <f t="shared" ref="G5:G8" si="1">E5/D5*100%</f>
        <v>0.2</v>
      </c>
    </row>
    <row r="6" spans="1:7">
      <c r="A6" s="45">
        <v>3</v>
      </c>
      <c r="B6" s="146" t="s">
        <v>515</v>
      </c>
      <c r="C6" s="144" t="s">
        <v>76</v>
      </c>
      <c r="D6" s="145">
        <v>25</v>
      </c>
      <c r="E6" s="145">
        <v>2</v>
      </c>
      <c r="F6" s="45">
        <f t="shared" si="0"/>
        <v>-23</v>
      </c>
      <c r="G6" s="48">
        <f t="shared" si="1"/>
        <v>0.08</v>
      </c>
    </row>
    <row r="7" spans="1:7">
      <c r="A7" s="45">
        <v>4</v>
      </c>
      <c r="B7" s="146" t="s">
        <v>516</v>
      </c>
      <c r="C7" s="144" t="s">
        <v>76</v>
      </c>
      <c r="D7" s="145">
        <v>25</v>
      </c>
      <c r="E7" s="145">
        <v>1</v>
      </c>
      <c r="F7" s="45">
        <f t="shared" si="0"/>
        <v>-24</v>
      </c>
      <c r="G7" s="48">
        <f t="shared" si="1"/>
        <v>0.04</v>
      </c>
    </row>
    <row r="8" spans="1:7">
      <c r="A8" s="45"/>
      <c r="B8" s="45" t="s">
        <v>50</v>
      </c>
      <c r="C8" s="45"/>
      <c r="D8" s="45">
        <v>100</v>
      </c>
      <c r="E8" s="45">
        <f>SUM(E4:E7)</f>
        <v>14</v>
      </c>
      <c r="F8" s="45"/>
      <c r="G8" s="48">
        <f t="shared" si="1"/>
        <v>0.14000000000000001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5E43-286F-44A7-A258-6D86BB9F17E9}">
  <dimension ref="A1:G20"/>
  <sheetViews>
    <sheetView workbookViewId="0">
      <selection activeCell="I9" sqref="I9"/>
    </sheetView>
  </sheetViews>
  <sheetFormatPr defaultRowHeight="14.5"/>
  <cols>
    <col min="1" max="1" width="4.81640625" customWidth="1"/>
    <col min="2" max="2" width="37.542968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67" t="s">
        <v>193</v>
      </c>
      <c r="C4" s="68" t="s">
        <v>75</v>
      </c>
      <c r="D4" s="68">
        <v>35</v>
      </c>
      <c r="E4" s="82">
        <v>1</v>
      </c>
      <c r="F4" s="45">
        <f>E4-D4</f>
        <v>-34</v>
      </c>
      <c r="G4" s="48">
        <f>E4/D4*100%</f>
        <v>2.8571428571428571E-2</v>
      </c>
    </row>
    <row r="5" spans="1:7">
      <c r="A5" s="45">
        <v>2</v>
      </c>
      <c r="B5" s="43" t="s">
        <v>194</v>
      </c>
      <c r="C5" s="42" t="s">
        <v>76</v>
      </c>
      <c r="D5" s="68">
        <v>25</v>
      </c>
      <c r="E5" s="82">
        <v>23</v>
      </c>
      <c r="F5" s="45">
        <f t="shared" ref="F5:F20" si="0">E5-D5</f>
        <v>-2</v>
      </c>
      <c r="G5" s="48">
        <f t="shared" ref="G5:G20" si="1">E5/D5*100%</f>
        <v>0.92</v>
      </c>
    </row>
    <row r="6" spans="1:7">
      <c r="A6" s="45">
        <v>3</v>
      </c>
      <c r="B6" s="67" t="s">
        <v>195</v>
      </c>
      <c r="C6" s="42" t="s">
        <v>76</v>
      </c>
      <c r="D6" s="68">
        <v>25</v>
      </c>
      <c r="E6" s="82">
        <v>21</v>
      </c>
      <c r="F6" s="45">
        <f t="shared" si="0"/>
        <v>-4</v>
      </c>
      <c r="G6" s="48">
        <f t="shared" si="1"/>
        <v>0.84</v>
      </c>
    </row>
    <row r="7" spans="1:7">
      <c r="A7" s="45">
        <v>4</v>
      </c>
      <c r="B7" s="67" t="s">
        <v>196</v>
      </c>
      <c r="C7" s="42" t="s">
        <v>76</v>
      </c>
      <c r="D7" s="68">
        <v>25</v>
      </c>
      <c r="E7" s="82">
        <v>10</v>
      </c>
      <c r="F7" s="45">
        <f t="shared" si="0"/>
        <v>-15</v>
      </c>
      <c r="G7" s="48">
        <f t="shared" si="1"/>
        <v>0.4</v>
      </c>
    </row>
    <row r="8" spans="1:7">
      <c r="A8" s="45">
        <v>5</v>
      </c>
      <c r="B8" s="67" t="s">
        <v>197</v>
      </c>
      <c r="C8" s="68" t="s">
        <v>75</v>
      </c>
      <c r="D8" s="68">
        <v>35</v>
      </c>
      <c r="E8" s="82">
        <v>0</v>
      </c>
      <c r="F8" s="45">
        <f t="shared" si="0"/>
        <v>-35</v>
      </c>
      <c r="G8" s="48">
        <f t="shared" si="1"/>
        <v>0</v>
      </c>
    </row>
    <row r="9" spans="1:7">
      <c r="A9" s="45">
        <v>6</v>
      </c>
      <c r="B9" s="67" t="s">
        <v>198</v>
      </c>
      <c r="C9" s="42" t="s">
        <v>76</v>
      </c>
      <c r="D9" s="42">
        <v>25</v>
      </c>
      <c r="E9" s="82">
        <v>8</v>
      </c>
      <c r="F9" s="45">
        <f t="shared" si="0"/>
        <v>-17</v>
      </c>
      <c r="G9" s="48">
        <f t="shared" si="1"/>
        <v>0.32</v>
      </c>
    </row>
    <row r="10" spans="1:7">
      <c r="A10" s="45">
        <v>7</v>
      </c>
      <c r="B10" s="43" t="s">
        <v>199</v>
      </c>
      <c r="C10" s="42" t="s">
        <v>76</v>
      </c>
      <c r="D10" s="42">
        <v>25</v>
      </c>
      <c r="E10" s="82">
        <v>16</v>
      </c>
      <c r="F10" s="45">
        <f t="shared" si="0"/>
        <v>-9</v>
      </c>
      <c r="G10" s="48">
        <f t="shared" si="1"/>
        <v>0.64</v>
      </c>
    </row>
    <row r="11" spans="1:7">
      <c r="A11" s="45">
        <v>8</v>
      </c>
      <c r="B11" s="43" t="s">
        <v>200</v>
      </c>
      <c r="C11" s="42" t="s">
        <v>76</v>
      </c>
      <c r="D11" s="42">
        <v>25</v>
      </c>
      <c r="E11" s="82">
        <v>12</v>
      </c>
      <c r="F11" s="45">
        <f t="shared" si="0"/>
        <v>-13</v>
      </c>
      <c r="G11" s="48">
        <f t="shared" si="1"/>
        <v>0.48</v>
      </c>
    </row>
    <row r="12" spans="1:7">
      <c r="A12" s="45">
        <v>9</v>
      </c>
      <c r="B12" s="43" t="s">
        <v>201</v>
      </c>
      <c r="C12" s="42" t="s">
        <v>76</v>
      </c>
      <c r="D12" s="42">
        <v>25</v>
      </c>
      <c r="E12" s="82">
        <v>15</v>
      </c>
      <c r="F12" s="45">
        <f t="shared" si="0"/>
        <v>-10</v>
      </c>
      <c r="G12" s="48">
        <f t="shared" si="1"/>
        <v>0.6</v>
      </c>
    </row>
    <row r="13" spans="1:7">
      <c r="A13" s="45">
        <v>10</v>
      </c>
      <c r="B13" s="43" t="s">
        <v>202</v>
      </c>
      <c r="C13" s="42" t="s">
        <v>76</v>
      </c>
      <c r="D13" s="42">
        <v>25</v>
      </c>
      <c r="E13" s="82">
        <v>5</v>
      </c>
      <c r="F13" s="45">
        <f t="shared" si="0"/>
        <v>-20</v>
      </c>
      <c r="G13" s="48">
        <f t="shared" si="1"/>
        <v>0.2</v>
      </c>
    </row>
    <row r="14" spans="1:7">
      <c r="A14" s="45">
        <v>11</v>
      </c>
      <c r="B14" s="43" t="s">
        <v>203</v>
      </c>
      <c r="C14" s="68" t="s">
        <v>75</v>
      </c>
      <c r="D14" s="68">
        <v>35</v>
      </c>
      <c r="E14" s="82">
        <v>3</v>
      </c>
      <c r="F14" s="45">
        <f t="shared" si="0"/>
        <v>-32</v>
      </c>
      <c r="G14" s="48">
        <f t="shared" si="1"/>
        <v>8.5714285714285715E-2</v>
      </c>
    </row>
    <row r="15" spans="1:7">
      <c r="A15" s="45">
        <v>12</v>
      </c>
      <c r="B15" s="43" t="s">
        <v>204</v>
      </c>
      <c r="C15" s="42" t="s">
        <v>76</v>
      </c>
      <c r="D15" s="42">
        <v>25</v>
      </c>
      <c r="E15" s="82">
        <v>19</v>
      </c>
      <c r="F15" s="45">
        <f t="shared" si="0"/>
        <v>-6</v>
      </c>
      <c r="G15" s="48">
        <f t="shared" si="1"/>
        <v>0.76</v>
      </c>
    </row>
    <row r="16" spans="1:7">
      <c r="A16" s="45">
        <v>13</v>
      </c>
      <c r="B16" s="67" t="s">
        <v>205</v>
      </c>
      <c r="C16" s="42" t="s">
        <v>76</v>
      </c>
      <c r="D16" s="42">
        <v>25</v>
      </c>
      <c r="E16" s="82">
        <v>8</v>
      </c>
      <c r="F16" s="45">
        <f t="shared" si="0"/>
        <v>-17</v>
      </c>
      <c r="G16" s="48">
        <f t="shared" si="1"/>
        <v>0.32</v>
      </c>
    </row>
    <row r="17" spans="1:7">
      <c r="A17" s="45">
        <v>14</v>
      </c>
      <c r="B17" s="43" t="s">
        <v>206</v>
      </c>
      <c r="C17" s="42" t="s">
        <v>76</v>
      </c>
      <c r="D17" s="42">
        <v>25</v>
      </c>
      <c r="E17" s="82">
        <v>23</v>
      </c>
      <c r="F17" s="45">
        <f t="shared" si="0"/>
        <v>-2</v>
      </c>
      <c r="G17" s="48">
        <f t="shared" si="1"/>
        <v>0.92</v>
      </c>
    </row>
    <row r="18" spans="1:7">
      <c r="A18" s="45">
        <v>15</v>
      </c>
      <c r="B18" s="43" t="s">
        <v>207</v>
      </c>
      <c r="C18" s="42" t="s">
        <v>76</v>
      </c>
      <c r="D18" s="42">
        <v>25</v>
      </c>
      <c r="E18" s="82">
        <v>20</v>
      </c>
      <c r="F18" s="45">
        <f t="shared" si="0"/>
        <v>-5</v>
      </c>
      <c r="G18" s="48">
        <f t="shared" si="1"/>
        <v>0.8</v>
      </c>
    </row>
    <row r="19" spans="1:7">
      <c r="A19" s="45">
        <v>16</v>
      </c>
      <c r="B19" s="43" t="s">
        <v>208</v>
      </c>
      <c r="C19" s="42" t="s">
        <v>76</v>
      </c>
      <c r="D19" s="42">
        <v>25</v>
      </c>
      <c r="E19" s="82">
        <v>3</v>
      </c>
      <c r="F19" s="45">
        <f t="shared" si="0"/>
        <v>-22</v>
      </c>
      <c r="G19" s="48">
        <f t="shared" si="1"/>
        <v>0.12</v>
      </c>
    </row>
    <row r="20" spans="1:7">
      <c r="A20" s="45"/>
      <c r="B20" s="50" t="s">
        <v>50</v>
      </c>
      <c r="C20" s="50"/>
      <c r="D20" s="50">
        <v>450</v>
      </c>
      <c r="E20" s="50">
        <f>SUM(E4:E19)</f>
        <v>187</v>
      </c>
      <c r="F20" s="50">
        <f t="shared" si="0"/>
        <v>-263</v>
      </c>
      <c r="G20" s="58">
        <f t="shared" si="1"/>
        <v>0.41555555555555557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1A04-A371-481A-940E-708A2BBADD59}">
  <dimension ref="A1:G27"/>
  <sheetViews>
    <sheetView topLeftCell="A16" workbookViewId="0">
      <selection activeCell="I15" sqref="I15"/>
    </sheetView>
  </sheetViews>
  <sheetFormatPr defaultRowHeight="14.5"/>
  <cols>
    <col min="1" max="1" width="5.36328125" customWidth="1"/>
    <col min="2" max="2" width="32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118" t="s">
        <v>295</v>
      </c>
      <c r="C4" s="117" t="s">
        <v>75</v>
      </c>
      <c r="D4" s="117">
        <v>40</v>
      </c>
      <c r="E4" s="119">
        <v>0</v>
      </c>
      <c r="F4" s="45">
        <f>E4-D4</f>
        <v>-40</v>
      </c>
      <c r="G4" s="48">
        <f>E4/D4*100%</f>
        <v>0</v>
      </c>
    </row>
    <row r="5" spans="1:7">
      <c r="A5" s="45">
        <v>2</v>
      </c>
      <c r="B5" s="120" t="s">
        <v>296</v>
      </c>
      <c r="C5" s="121" t="s">
        <v>76</v>
      </c>
      <c r="D5" s="117">
        <v>25</v>
      </c>
      <c r="E5" s="119">
        <v>31</v>
      </c>
      <c r="F5" s="45">
        <f t="shared" ref="F5:F27" si="0">E5-D5</f>
        <v>6</v>
      </c>
      <c r="G5" s="48">
        <f t="shared" ref="G5:G27" si="1">E5/D5*100%</f>
        <v>1.24</v>
      </c>
    </row>
    <row r="6" spans="1:7">
      <c r="A6" s="45">
        <v>3</v>
      </c>
      <c r="B6" s="120" t="s">
        <v>297</v>
      </c>
      <c r="C6" s="121" t="s">
        <v>76</v>
      </c>
      <c r="D6" s="117">
        <v>25</v>
      </c>
      <c r="E6" s="119">
        <v>11</v>
      </c>
      <c r="F6" s="45">
        <f t="shared" si="0"/>
        <v>-14</v>
      </c>
      <c r="G6" s="48">
        <f t="shared" si="1"/>
        <v>0.44</v>
      </c>
    </row>
    <row r="7" spans="1:7">
      <c r="A7" s="45">
        <v>4</v>
      </c>
      <c r="B7" s="120" t="s">
        <v>298</v>
      </c>
      <c r="C7" s="121" t="s">
        <v>76</v>
      </c>
      <c r="D7" s="117">
        <v>25</v>
      </c>
      <c r="E7" s="119">
        <v>32</v>
      </c>
      <c r="F7" s="45">
        <f t="shared" si="0"/>
        <v>7</v>
      </c>
      <c r="G7" s="48">
        <f t="shared" si="1"/>
        <v>1.28</v>
      </c>
    </row>
    <row r="8" spans="1:7">
      <c r="A8" s="45">
        <v>5</v>
      </c>
      <c r="B8" s="120" t="s">
        <v>299</v>
      </c>
      <c r="C8" s="121" t="s">
        <v>76</v>
      </c>
      <c r="D8" s="117">
        <v>25</v>
      </c>
      <c r="E8" s="119">
        <v>18</v>
      </c>
      <c r="F8" s="45">
        <f t="shared" si="0"/>
        <v>-7</v>
      </c>
      <c r="G8" s="48">
        <f t="shared" si="1"/>
        <v>0.72</v>
      </c>
    </row>
    <row r="9" spans="1:7">
      <c r="A9" s="45">
        <v>6</v>
      </c>
      <c r="B9" s="122" t="s">
        <v>300</v>
      </c>
      <c r="C9" s="121" t="s">
        <v>76</v>
      </c>
      <c r="D9" s="117">
        <v>25</v>
      </c>
      <c r="E9" s="119">
        <v>33</v>
      </c>
      <c r="F9" s="45">
        <f t="shared" si="0"/>
        <v>8</v>
      </c>
      <c r="G9" s="48">
        <f t="shared" si="1"/>
        <v>1.32</v>
      </c>
    </row>
    <row r="10" spans="1:7">
      <c r="A10" s="45">
        <v>7</v>
      </c>
      <c r="B10" s="120" t="s">
        <v>301</v>
      </c>
      <c r="C10" s="121" t="s">
        <v>76</v>
      </c>
      <c r="D10" s="117">
        <v>25</v>
      </c>
      <c r="E10" s="119">
        <v>21</v>
      </c>
      <c r="F10" s="45">
        <f t="shared" si="0"/>
        <v>-4</v>
      </c>
      <c r="G10" s="48">
        <f t="shared" si="1"/>
        <v>0.84</v>
      </c>
    </row>
    <row r="11" spans="1:7">
      <c r="A11" s="45">
        <v>8</v>
      </c>
      <c r="B11" s="123" t="s">
        <v>302</v>
      </c>
      <c r="C11" s="108" t="s">
        <v>75</v>
      </c>
      <c r="D11" s="108">
        <v>15</v>
      </c>
      <c r="E11" s="124">
        <v>1</v>
      </c>
      <c r="F11" s="45">
        <f t="shared" si="0"/>
        <v>-14</v>
      </c>
      <c r="G11" s="48">
        <f t="shared" si="1"/>
        <v>6.6666666666666666E-2</v>
      </c>
    </row>
    <row r="12" spans="1:7">
      <c r="A12" s="45">
        <v>9</v>
      </c>
      <c r="B12" s="45" t="s">
        <v>303</v>
      </c>
      <c r="C12" s="110" t="s">
        <v>76</v>
      </c>
      <c r="D12" s="108">
        <v>25</v>
      </c>
      <c r="E12" s="124">
        <v>27</v>
      </c>
      <c r="F12" s="45">
        <f t="shared" si="0"/>
        <v>2</v>
      </c>
      <c r="G12" s="48">
        <f t="shared" si="1"/>
        <v>1.08</v>
      </c>
    </row>
    <row r="13" spans="1:7">
      <c r="A13" s="45">
        <v>10</v>
      </c>
      <c r="B13" s="45" t="s">
        <v>304</v>
      </c>
      <c r="C13" s="110" t="s">
        <v>76</v>
      </c>
      <c r="D13" s="108">
        <v>25</v>
      </c>
      <c r="E13" s="124">
        <v>17</v>
      </c>
      <c r="F13" s="45">
        <f t="shared" si="0"/>
        <v>-8</v>
      </c>
      <c r="G13" s="48">
        <f t="shared" si="1"/>
        <v>0.68</v>
      </c>
    </row>
    <row r="14" spans="1:7">
      <c r="A14" s="45">
        <v>11</v>
      </c>
      <c r="B14" s="45" t="s">
        <v>305</v>
      </c>
      <c r="C14" s="110" t="s">
        <v>76</v>
      </c>
      <c r="D14" s="108">
        <v>25</v>
      </c>
      <c r="E14" s="124">
        <v>24</v>
      </c>
      <c r="F14" s="45">
        <f t="shared" si="0"/>
        <v>-1</v>
      </c>
      <c r="G14" s="48">
        <f t="shared" si="1"/>
        <v>0.96</v>
      </c>
    </row>
    <row r="15" spans="1:7">
      <c r="A15" s="45">
        <v>12</v>
      </c>
      <c r="B15" s="45" t="s">
        <v>306</v>
      </c>
      <c r="C15" s="110" t="s">
        <v>76</v>
      </c>
      <c r="D15" s="108">
        <v>25</v>
      </c>
      <c r="E15" s="124">
        <v>18</v>
      </c>
      <c r="F15" s="45">
        <f t="shared" si="0"/>
        <v>-7</v>
      </c>
      <c r="G15" s="48">
        <f t="shared" si="1"/>
        <v>0.72</v>
      </c>
    </row>
    <row r="16" spans="1:7">
      <c r="A16" s="45">
        <v>13</v>
      </c>
      <c r="B16" s="45" t="s">
        <v>307</v>
      </c>
      <c r="C16" s="110" t="s">
        <v>76</v>
      </c>
      <c r="D16" s="108">
        <v>25</v>
      </c>
      <c r="E16" s="124">
        <v>28</v>
      </c>
      <c r="F16" s="45">
        <f t="shared" si="0"/>
        <v>3</v>
      </c>
      <c r="G16" s="48">
        <f t="shared" si="1"/>
        <v>1.1200000000000001</v>
      </c>
    </row>
    <row r="17" spans="1:7">
      <c r="A17" s="45">
        <v>14</v>
      </c>
      <c r="B17" s="45" t="s">
        <v>308</v>
      </c>
      <c r="C17" s="110" t="s">
        <v>76</v>
      </c>
      <c r="D17" s="108">
        <v>25</v>
      </c>
      <c r="E17" s="124">
        <v>12</v>
      </c>
      <c r="F17" s="45">
        <f t="shared" si="0"/>
        <v>-13</v>
      </c>
      <c r="G17" s="48">
        <f t="shared" si="1"/>
        <v>0.48</v>
      </c>
    </row>
    <row r="18" spans="1:7">
      <c r="A18" s="45">
        <v>15</v>
      </c>
      <c r="B18" s="45" t="s">
        <v>309</v>
      </c>
      <c r="C18" s="110" t="s">
        <v>76</v>
      </c>
      <c r="D18" s="108">
        <v>25</v>
      </c>
      <c r="E18" s="124">
        <v>19</v>
      </c>
      <c r="F18" s="45">
        <f t="shared" si="0"/>
        <v>-6</v>
      </c>
      <c r="G18" s="48">
        <f t="shared" si="1"/>
        <v>0.76</v>
      </c>
    </row>
    <row r="19" spans="1:7">
      <c r="A19" s="45">
        <v>16</v>
      </c>
      <c r="B19" s="123" t="s">
        <v>310</v>
      </c>
      <c r="C19" s="108" t="s">
        <v>75</v>
      </c>
      <c r="D19" s="108">
        <v>15</v>
      </c>
      <c r="E19" s="124">
        <v>0</v>
      </c>
      <c r="F19" s="45">
        <f t="shared" si="0"/>
        <v>-15</v>
      </c>
      <c r="G19" s="48">
        <f t="shared" si="1"/>
        <v>0</v>
      </c>
    </row>
    <row r="20" spans="1:7">
      <c r="A20" s="45">
        <v>17</v>
      </c>
      <c r="B20" s="45" t="s">
        <v>311</v>
      </c>
      <c r="C20" s="110" t="s">
        <v>76</v>
      </c>
      <c r="D20" s="108">
        <v>25</v>
      </c>
      <c r="E20" s="124">
        <v>17</v>
      </c>
      <c r="F20" s="45">
        <f t="shared" si="0"/>
        <v>-8</v>
      </c>
      <c r="G20" s="48">
        <f t="shared" si="1"/>
        <v>0.68</v>
      </c>
    </row>
    <row r="21" spans="1:7">
      <c r="A21" s="45">
        <v>18</v>
      </c>
      <c r="B21" s="45" t="s">
        <v>312</v>
      </c>
      <c r="C21" s="110" t="s">
        <v>76</v>
      </c>
      <c r="D21" s="108">
        <v>25</v>
      </c>
      <c r="E21" s="124">
        <v>29</v>
      </c>
      <c r="F21" s="45">
        <f t="shared" si="0"/>
        <v>4</v>
      </c>
      <c r="G21" s="48">
        <f t="shared" si="1"/>
        <v>1.1599999999999999</v>
      </c>
    </row>
    <row r="22" spans="1:7">
      <c r="A22" s="45">
        <v>19</v>
      </c>
      <c r="B22" s="45" t="s">
        <v>313</v>
      </c>
      <c r="C22" s="110" t="s">
        <v>76</v>
      </c>
      <c r="D22" s="108">
        <v>25</v>
      </c>
      <c r="E22" s="124">
        <v>15</v>
      </c>
      <c r="F22" s="45">
        <f t="shared" si="0"/>
        <v>-10</v>
      </c>
      <c r="G22" s="48">
        <f t="shared" si="1"/>
        <v>0.6</v>
      </c>
    </row>
    <row r="23" spans="1:7">
      <c r="A23" s="45">
        <v>20</v>
      </c>
      <c r="B23" s="45" t="s">
        <v>314</v>
      </c>
      <c r="C23" s="110" t="s">
        <v>76</v>
      </c>
      <c r="D23" s="108">
        <v>25</v>
      </c>
      <c r="E23" s="124">
        <v>12</v>
      </c>
      <c r="F23" s="45">
        <f t="shared" si="0"/>
        <v>-13</v>
      </c>
      <c r="G23" s="48">
        <f t="shared" si="1"/>
        <v>0.48</v>
      </c>
    </row>
    <row r="24" spans="1:7">
      <c r="A24" s="45">
        <v>21</v>
      </c>
      <c r="B24" s="45" t="s">
        <v>315</v>
      </c>
      <c r="C24" s="110" t="s">
        <v>76</v>
      </c>
      <c r="D24" s="108">
        <v>25</v>
      </c>
      <c r="E24" s="124">
        <v>5</v>
      </c>
      <c r="F24" s="45">
        <f t="shared" si="0"/>
        <v>-20</v>
      </c>
      <c r="G24" s="48">
        <f t="shared" si="1"/>
        <v>0.2</v>
      </c>
    </row>
    <row r="25" spans="1:7">
      <c r="A25" s="45">
        <v>22</v>
      </c>
      <c r="B25" s="45" t="s">
        <v>316</v>
      </c>
      <c r="C25" s="110" t="s">
        <v>76</v>
      </c>
      <c r="D25" s="108">
        <v>25</v>
      </c>
      <c r="E25" s="124">
        <v>16</v>
      </c>
      <c r="F25" s="45">
        <f t="shared" si="0"/>
        <v>-9</v>
      </c>
      <c r="G25" s="48">
        <f t="shared" si="1"/>
        <v>0.64</v>
      </c>
    </row>
    <row r="26" spans="1:7">
      <c r="A26" s="45">
        <v>23</v>
      </c>
      <c r="B26" s="45" t="s">
        <v>317</v>
      </c>
      <c r="C26" s="110" t="s">
        <v>76</v>
      </c>
      <c r="D26" s="108">
        <v>25</v>
      </c>
      <c r="E26" s="124">
        <v>56</v>
      </c>
      <c r="F26" s="45">
        <f t="shared" si="0"/>
        <v>31</v>
      </c>
      <c r="G26" s="48">
        <f t="shared" si="1"/>
        <v>2.2400000000000002</v>
      </c>
    </row>
    <row r="27" spans="1:7">
      <c r="A27" s="45"/>
      <c r="B27" s="50" t="s">
        <v>50</v>
      </c>
      <c r="C27" s="50"/>
      <c r="D27" s="50">
        <v>570</v>
      </c>
      <c r="E27" s="50">
        <f>SUM(E4:E26)</f>
        <v>442</v>
      </c>
      <c r="F27" s="50">
        <f t="shared" si="0"/>
        <v>-128</v>
      </c>
      <c r="G27" s="58">
        <f t="shared" si="1"/>
        <v>0.77543859649122804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20DE-8CA9-4B2E-8C02-95FEFFF06611}">
  <dimension ref="A1:G24"/>
  <sheetViews>
    <sheetView workbookViewId="0">
      <selection activeCell="J15" sqref="J15"/>
    </sheetView>
  </sheetViews>
  <sheetFormatPr defaultRowHeight="14.5"/>
  <cols>
    <col min="1" max="1" width="4.81640625" customWidth="1"/>
    <col min="2" max="2" width="32.81640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67" t="s">
        <v>155</v>
      </c>
      <c r="C4" s="68" t="s">
        <v>75</v>
      </c>
      <c r="D4" s="68">
        <v>15</v>
      </c>
      <c r="E4" s="68">
        <v>5</v>
      </c>
      <c r="F4" s="45">
        <f>E4-D4</f>
        <v>-10</v>
      </c>
      <c r="G4" s="48">
        <f>E4/D4*100%</f>
        <v>0.33333333333333331</v>
      </c>
    </row>
    <row r="5" spans="1:7">
      <c r="A5" s="45">
        <v>2</v>
      </c>
      <c r="B5" s="67" t="s">
        <v>156</v>
      </c>
      <c r="C5" s="68" t="s">
        <v>157</v>
      </c>
      <c r="D5" s="68">
        <v>25</v>
      </c>
      <c r="E5" s="68">
        <v>26</v>
      </c>
      <c r="F5" s="45">
        <f t="shared" ref="F5:F24" si="0">E5-D5</f>
        <v>1</v>
      </c>
      <c r="G5" s="48">
        <f t="shared" ref="G5:G24" si="1">E5/D5*100%</f>
        <v>1.04</v>
      </c>
    </row>
    <row r="6" spans="1:7">
      <c r="A6" s="45">
        <v>3</v>
      </c>
      <c r="B6" s="43" t="s">
        <v>158</v>
      </c>
      <c r="C6" s="42" t="s">
        <v>157</v>
      </c>
      <c r="D6" s="68">
        <v>25</v>
      </c>
      <c r="E6" s="68">
        <v>42</v>
      </c>
      <c r="F6" s="45">
        <f t="shared" si="0"/>
        <v>17</v>
      </c>
      <c r="G6" s="48">
        <f t="shared" si="1"/>
        <v>1.68</v>
      </c>
    </row>
    <row r="7" spans="1:7">
      <c r="A7" s="45">
        <v>4</v>
      </c>
      <c r="B7" s="43" t="s">
        <v>159</v>
      </c>
      <c r="C7" s="42" t="s">
        <v>157</v>
      </c>
      <c r="D7" s="68">
        <v>25</v>
      </c>
      <c r="E7" s="68">
        <v>15</v>
      </c>
      <c r="F7" s="45">
        <f t="shared" si="0"/>
        <v>-10</v>
      </c>
      <c r="G7" s="48">
        <f t="shared" si="1"/>
        <v>0.6</v>
      </c>
    </row>
    <row r="8" spans="1:7">
      <c r="A8" s="45">
        <v>5</v>
      </c>
      <c r="B8" s="43" t="s">
        <v>160</v>
      </c>
      <c r="C8" s="42" t="s">
        <v>157</v>
      </c>
      <c r="D8" s="68">
        <v>25</v>
      </c>
      <c r="E8" s="68">
        <v>10</v>
      </c>
      <c r="F8" s="45">
        <f t="shared" si="0"/>
        <v>-15</v>
      </c>
      <c r="G8" s="48">
        <f t="shared" si="1"/>
        <v>0.4</v>
      </c>
    </row>
    <row r="9" spans="1:7">
      <c r="A9" s="45">
        <v>6</v>
      </c>
      <c r="B9" s="69" t="s">
        <v>161</v>
      </c>
      <c r="C9" s="42" t="s">
        <v>157</v>
      </c>
      <c r="D9" s="68">
        <v>25</v>
      </c>
      <c r="E9" s="68">
        <v>6</v>
      </c>
      <c r="F9" s="45">
        <f t="shared" si="0"/>
        <v>-19</v>
      </c>
      <c r="G9" s="48">
        <f t="shared" si="1"/>
        <v>0.24</v>
      </c>
    </row>
    <row r="10" spans="1:7">
      <c r="A10" s="45">
        <v>7</v>
      </c>
      <c r="B10" s="69" t="s">
        <v>162</v>
      </c>
      <c r="C10" s="42" t="s">
        <v>157</v>
      </c>
      <c r="D10" s="68">
        <v>25</v>
      </c>
      <c r="E10" s="68">
        <v>3</v>
      </c>
      <c r="F10" s="45">
        <f t="shared" si="0"/>
        <v>-22</v>
      </c>
      <c r="G10" s="48">
        <f t="shared" si="1"/>
        <v>0.12</v>
      </c>
    </row>
    <row r="11" spans="1:7">
      <c r="A11" s="45">
        <v>8</v>
      </c>
      <c r="B11" s="69" t="s">
        <v>163</v>
      </c>
      <c r="C11" s="42" t="s">
        <v>157</v>
      </c>
      <c r="D11" s="68">
        <v>25</v>
      </c>
      <c r="E11" s="68">
        <v>4</v>
      </c>
      <c r="F11" s="45">
        <f t="shared" si="0"/>
        <v>-21</v>
      </c>
      <c r="G11" s="48">
        <f t="shared" si="1"/>
        <v>0.16</v>
      </c>
    </row>
    <row r="12" spans="1:7">
      <c r="A12" s="45">
        <v>9</v>
      </c>
      <c r="B12" s="67" t="s">
        <v>164</v>
      </c>
      <c r="C12" s="68" t="s">
        <v>75</v>
      </c>
      <c r="D12" s="68">
        <v>15</v>
      </c>
      <c r="E12" s="68">
        <v>1</v>
      </c>
      <c r="F12" s="45">
        <f t="shared" si="0"/>
        <v>-14</v>
      </c>
      <c r="G12" s="48">
        <f t="shared" si="1"/>
        <v>6.6666666666666666E-2</v>
      </c>
    </row>
    <row r="13" spans="1:7">
      <c r="A13" s="45">
        <v>10</v>
      </c>
      <c r="B13" s="67" t="s">
        <v>165</v>
      </c>
      <c r="C13" s="68" t="s">
        <v>157</v>
      </c>
      <c r="D13" s="68">
        <v>25</v>
      </c>
      <c r="E13" s="68">
        <v>19</v>
      </c>
      <c r="F13" s="45">
        <f t="shared" si="0"/>
        <v>-6</v>
      </c>
      <c r="G13" s="48">
        <f t="shared" si="1"/>
        <v>0.76</v>
      </c>
    </row>
    <row r="14" spans="1:7">
      <c r="A14" s="45">
        <v>11</v>
      </c>
      <c r="B14" s="43" t="s">
        <v>166</v>
      </c>
      <c r="C14" s="42" t="s">
        <v>157</v>
      </c>
      <c r="D14" s="68">
        <v>25</v>
      </c>
      <c r="E14" s="68">
        <v>17</v>
      </c>
      <c r="F14" s="45">
        <f t="shared" si="0"/>
        <v>-8</v>
      </c>
      <c r="G14" s="48">
        <f t="shared" si="1"/>
        <v>0.68</v>
      </c>
    </row>
    <row r="15" spans="1:7">
      <c r="A15" s="45">
        <v>12</v>
      </c>
      <c r="B15" s="43" t="s">
        <v>167</v>
      </c>
      <c r="C15" s="42" t="s">
        <v>157</v>
      </c>
      <c r="D15" s="68">
        <v>25</v>
      </c>
      <c r="E15" s="68">
        <v>9</v>
      </c>
      <c r="F15" s="45">
        <f t="shared" si="0"/>
        <v>-16</v>
      </c>
      <c r="G15" s="48">
        <f t="shared" si="1"/>
        <v>0.36</v>
      </c>
    </row>
    <row r="16" spans="1:7">
      <c r="A16" s="45">
        <v>13</v>
      </c>
      <c r="B16" s="43" t="s">
        <v>168</v>
      </c>
      <c r="C16" s="42" t="s">
        <v>157</v>
      </c>
      <c r="D16" s="68">
        <v>25</v>
      </c>
      <c r="E16" s="68">
        <v>1</v>
      </c>
      <c r="F16" s="45">
        <f t="shared" si="0"/>
        <v>-24</v>
      </c>
      <c r="G16" s="48">
        <f t="shared" si="1"/>
        <v>0.04</v>
      </c>
    </row>
    <row r="17" spans="1:7">
      <c r="A17" s="45">
        <v>14</v>
      </c>
      <c r="B17" s="43" t="s">
        <v>169</v>
      </c>
      <c r="C17" s="42" t="s">
        <v>157</v>
      </c>
      <c r="D17" s="68">
        <v>25</v>
      </c>
      <c r="E17" s="68">
        <v>7</v>
      </c>
      <c r="F17" s="45">
        <f t="shared" si="0"/>
        <v>-18</v>
      </c>
      <c r="G17" s="48">
        <f t="shared" si="1"/>
        <v>0.28000000000000003</v>
      </c>
    </row>
    <row r="18" spans="1:7">
      <c r="A18" s="45">
        <v>15</v>
      </c>
      <c r="B18" s="67" t="s">
        <v>170</v>
      </c>
      <c r="C18" s="68" t="s">
        <v>75</v>
      </c>
      <c r="D18" s="68">
        <v>25</v>
      </c>
      <c r="E18" s="68">
        <v>1</v>
      </c>
      <c r="F18" s="45">
        <f t="shared" si="0"/>
        <v>-24</v>
      </c>
      <c r="G18" s="48">
        <f t="shared" si="1"/>
        <v>0.04</v>
      </c>
    </row>
    <row r="19" spans="1:7">
      <c r="A19" s="45">
        <v>16</v>
      </c>
      <c r="B19" s="67" t="s">
        <v>171</v>
      </c>
      <c r="C19" s="68" t="s">
        <v>157</v>
      </c>
      <c r="D19" s="68">
        <v>25</v>
      </c>
      <c r="E19" s="68">
        <v>25</v>
      </c>
      <c r="F19" s="45">
        <f t="shared" si="0"/>
        <v>0</v>
      </c>
      <c r="G19" s="48">
        <f t="shared" si="1"/>
        <v>1</v>
      </c>
    </row>
    <row r="20" spans="1:7">
      <c r="A20" s="45">
        <v>17</v>
      </c>
      <c r="B20" s="43" t="s">
        <v>172</v>
      </c>
      <c r="C20" s="42" t="s">
        <v>157</v>
      </c>
      <c r="D20" s="68">
        <v>25</v>
      </c>
      <c r="E20" s="68">
        <v>7</v>
      </c>
      <c r="F20" s="45">
        <f t="shared" si="0"/>
        <v>-18</v>
      </c>
      <c r="G20" s="48">
        <f t="shared" si="1"/>
        <v>0.28000000000000003</v>
      </c>
    </row>
    <row r="21" spans="1:7">
      <c r="A21" s="45">
        <v>18</v>
      </c>
      <c r="B21" s="43" t="s">
        <v>173</v>
      </c>
      <c r="C21" s="42" t="s">
        <v>157</v>
      </c>
      <c r="D21" s="68">
        <v>25</v>
      </c>
      <c r="E21" s="68">
        <v>11</v>
      </c>
      <c r="F21" s="45">
        <f t="shared" si="0"/>
        <v>-14</v>
      </c>
      <c r="G21" s="48">
        <f t="shared" si="1"/>
        <v>0.44</v>
      </c>
    </row>
    <row r="22" spans="1:7">
      <c r="A22" s="45">
        <v>19</v>
      </c>
      <c r="B22" s="43" t="s">
        <v>174</v>
      </c>
      <c r="C22" s="42" t="s">
        <v>157</v>
      </c>
      <c r="D22" s="68">
        <v>25</v>
      </c>
      <c r="E22" s="68">
        <v>10</v>
      </c>
      <c r="F22" s="45">
        <f t="shared" si="0"/>
        <v>-15</v>
      </c>
      <c r="G22" s="48">
        <f t="shared" si="1"/>
        <v>0.4</v>
      </c>
    </row>
    <row r="23" spans="1:7">
      <c r="A23" s="45">
        <v>20</v>
      </c>
      <c r="B23" s="43" t="s">
        <v>175</v>
      </c>
      <c r="C23" s="42" t="s">
        <v>157</v>
      </c>
      <c r="D23" s="68">
        <v>25</v>
      </c>
      <c r="E23" s="68">
        <v>5</v>
      </c>
      <c r="F23" s="45">
        <f t="shared" si="0"/>
        <v>-20</v>
      </c>
      <c r="G23" s="48">
        <f t="shared" si="1"/>
        <v>0.2</v>
      </c>
    </row>
    <row r="24" spans="1:7">
      <c r="A24" s="45"/>
      <c r="B24" s="50" t="s">
        <v>50</v>
      </c>
      <c r="C24" s="50"/>
      <c r="D24" s="70">
        <v>490</v>
      </c>
      <c r="E24" s="50">
        <f>SUM(E4:E23)</f>
        <v>224</v>
      </c>
      <c r="F24" s="50">
        <f t="shared" si="0"/>
        <v>-266</v>
      </c>
      <c r="G24" s="58">
        <f t="shared" si="1"/>
        <v>0.45714285714285713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20B4-708B-45A9-9F74-7E6E65AB9FD1}">
  <dimension ref="A1:G25"/>
  <sheetViews>
    <sheetView workbookViewId="0">
      <selection activeCell="J7" sqref="J7"/>
    </sheetView>
  </sheetViews>
  <sheetFormatPr defaultRowHeight="14.5"/>
  <cols>
    <col min="1" max="1" width="4.6328125" customWidth="1"/>
    <col min="2" max="2" width="30.179687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45">
        <v>1</v>
      </c>
      <c r="B4" s="88" t="s">
        <v>209</v>
      </c>
      <c r="C4" s="83" t="s">
        <v>75</v>
      </c>
      <c r="D4" s="83">
        <v>35</v>
      </c>
      <c r="E4" s="83">
        <v>0</v>
      </c>
      <c r="F4" s="45">
        <f>E4-D4</f>
        <v>-35</v>
      </c>
      <c r="G4" s="48">
        <f>E4/D4*100%</f>
        <v>0</v>
      </c>
    </row>
    <row r="5" spans="1:7">
      <c r="A5" s="45">
        <v>2</v>
      </c>
      <c r="B5" s="88" t="s">
        <v>210</v>
      </c>
      <c r="C5" s="83" t="s">
        <v>157</v>
      </c>
      <c r="D5" s="83">
        <v>25</v>
      </c>
      <c r="E5" s="83">
        <v>11</v>
      </c>
      <c r="F5" s="45">
        <f t="shared" ref="F5:F25" si="0">E5-D5</f>
        <v>-14</v>
      </c>
      <c r="G5" s="48">
        <f t="shared" ref="G5:G25" si="1">E5/D5*100%</f>
        <v>0.44</v>
      </c>
    </row>
    <row r="6" spans="1:7">
      <c r="A6" s="45">
        <v>3</v>
      </c>
      <c r="B6" s="88" t="s">
        <v>211</v>
      </c>
      <c r="C6" s="83" t="s">
        <v>157</v>
      </c>
      <c r="D6" s="83">
        <v>25</v>
      </c>
      <c r="E6" s="83">
        <v>66</v>
      </c>
      <c r="F6" s="45">
        <f t="shared" si="0"/>
        <v>41</v>
      </c>
      <c r="G6" s="48">
        <f t="shared" si="1"/>
        <v>2.64</v>
      </c>
    </row>
    <row r="7" spans="1:7">
      <c r="A7" s="45">
        <v>4</v>
      </c>
      <c r="B7" s="99" t="s">
        <v>212</v>
      </c>
      <c r="C7" s="84" t="s">
        <v>157</v>
      </c>
      <c r="D7" s="84">
        <v>25</v>
      </c>
      <c r="E7" s="84">
        <v>9</v>
      </c>
      <c r="F7" s="45">
        <f t="shared" si="0"/>
        <v>-16</v>
      </c>
      <c r="G7" s="48">
        <f t="shared" si="1"/>
        <v>0.36</v>
      </c>
    </row>
    <row r="8" spans="1:7">
      <c r="A8" s="45">
        <v>5</v>
      </c>
      <c r="B8" s="89" t="s">
        <v>213</v>
      </c>
      <c r="C8" s="85" t="s">
        <v>157</v>
      </c>
      <c r="D8" s="85">
        <v>25</v>
      </c>
      <c r="E8" s="85">
        <v>13</v>
      </c>
      <c r="F8" s="45">
        <f t="shared" si="0"/>
        <v>-12</v>
      </c>
      <c r="G8" s="48">
        <f t="shared" si="1"/>
        <v>0.52</v>
      </c>
    </row>
    <row r="9" spans="1:7">
      <c r="A9" s="45">
        <v>6</v>
      </c>
      <c r="B9" s="89" t="s">
        <v>214</v>
      </c>
      <c r="C9" s="85" t="s">
        <v>157</v>
      </c>
      <c r="D9" s="85">
        <v>25</v>
      </c>
      <c r="E9" s="85">
        <v>5</v>
      </c>
      <c r="F9" s="45">
        <f t="shared" si="0"/>
        <v>-20</v>
      </c>
      <c r="G9" s="48">
        <f t="shared" si="1"/>
        <v>0.2</v>
      </c>
    </row>
    <row r="10" spans="1:7">
      <c r="A10" s="45">
        <v>7</v>
      </c>
      <c r="B10" s="88" t="s">
        <v>215</v>
      </c>
      <c r="C10" s="83" t="s">
        <v>75</v>
      </c>
      <c r="D10" s="83">
        <v>25</v>
      </c>
      <c r="E10" s="83">
        <v>0</v>
      </c>
      <c r="F10" s="45">
        <f t="shared" si="0"/>
        <v>-25</v>
      </c>
      <c r="G10" s="48">
        <f t="shared" si="1"/>
        <v>0</v>
      </c>
    </row>
    <row r="11" spans="1:7">
      <c r="A11" s="45">
        <v>8</v>
      </c>
      <c r="B11" s="86" t="s">
        <v>216</v>
      </c>
      <c r="C11" s="87" t="s">
        <v>157</v>
      </c>
      <c r="D11" s="83">
        <v>25</v>
      </c>
      <c r="E11" s="83">
        <v>31</v>
      </c>
      <c r="F11" s="45">
        <f t="shared" si="0"/>
        <v>6</v>
      </c>
      <c r="G11" s="48">
        <f t="shared" si="1"/>
        <v>1.24</v>
      </c>
    </row>
    <row r="12" spans="1:7">
      <c r="A12" s="45">
        <v>9</v>
      </c>
      <c r="B12" s="88" t="s">
        <v>217</v>
      </c>
      <c r="C12" s="87" t="s">
        <v>157</v>
      </c>
      <c r="D12" s="83">
        <v>25</v>
      </c>
      <c r="E12" s="83">
        <v>16</v>
      </c>
      <c r="F12" s="45">
        <f t="shared" si="0"/>
        <v>-9</v>
      </c>
      <c r="G12" s="48">
        <f t="shared" si="1"/>
        <v>0.64</v>
      </c>
    </row>
    <row r="13" spans="1:7">
      <c r="A13" s="45">
        <v>10</v>
      </c>
      <c r="B13" s="89" t="s">
        <v>218</v>
      </c>
      <c r="C13" s="90" t="s">
        <v>157</v>
      </c>
      <c r="D13" s="85">
        <v>25</v>
      </c>
      <c r="E13" s="85">
        <v>28</v>
      </c>
      <c r="F13" s="45">
        <f t="shared" si="0"/>
        <v>3</v>
      </c>
      <c r="G13" s="48">
        <f t="shared" si="1"/>
        <v>1.1200000000000001</v>
      </c>
    </row>
    <row r="14" spans="1:7">
      <c r="A14" s="45">
        <v>11</v>
      </c>
      <c r="B14" s="91" t="s">
        <v>219</v>
      </c>
      <c r="C14" s="87" t="s">
        <v>157</v>
      </c>
      <c r="D14" s="83">
        <v>25</v>
      </c>
      <c r="E14" s="83">
        <v>20</v>
      </c>
      <c r="F14" s="45">
        <f t="shared" si="0"/>
        <v>-5</v>
      </c>
      <c r="G14" s="48">
        <f t="shared" si="1"/>
        <v>0.8</v>
      </c>
    </row>
    <row r="15" spans="1:7">
      <c r="A15" s="45">
        <v>12</v>
      </c>
      <c r="B15" s="92" t="s">
        <v>220</v>
      </c>
      <c r="C15" s="90" t="s">
        <v>157</v>
      </c>
      <c r="D15" s="85">
        <v>25</v>
      </c>
      <c r="E15" s="85">
        <v>9</v>
      </c>
      <c r="F15" s="45">
        <f t="shared" si="0"/>
        <v>-16</v>
      </c>
      <c r="G15" s="48">
        <f t="shared" si="1"/>
        <v>0.36</v>
      </c>
    </row>
    <row r="16" spans="1:7">
      <c r="A16" s="45">
        <v>13</v>
      </c>
      <c r="B16" s="88" t="s">
        <v>221</v>
      </c>
      <c r="C16" s="83" t="s">
        <v>75</v>
      </c>
      <c r="D16" s="83">
        <v>35</v>
      </c>
      <c r="E16" s="83">
        <v>0</v>
      </c>
      <c r="F16" s="45">
        <f t="shared" si="0"/>
        <v>-35</v>
      </c>
      <c r="G16" s="48">
        <f t="shared" si="1"/>
        <v>0</v>
      </c>
    </row>
    <row r="17" spans="1:7">
      <c r="A17" s="45">
        <v>14</v>
      </c>
      <c r="B17" s="88" t="s">
        <v>222</v>
      </c>
      <c r="C17" s="83" t="s">
        <v>157</v>
      </c>
      <c r="D17" s="83">
        <v>25</v>
      </c>
      <c r="E17" s="83">
        <v>22</v>
      </c>
      <c r="F17" s="45">
        <f t="shared" si="0"/>
        <v>-3</v>
      </c>
      <c r="G17" s="48">
        <f t="shared" si="1"/>
        <v>0.88</v>
      </c>
    </row>
    <row r="18" spans="1:7">
      <c r="A18" s="45">
        <v>15</v>
      </c>
      <c r="B18" s="88" t="s">
        <v>223</v>
      </c>
      <c r="C18" s="83" t="s">
        <v>157</v>
      </c>
      <c r="D18" s="83">
        <v>25</v>
      </c>
      <c r="E18" s="83">
        <v>52</v>
      </c>
      <c r="F18" s="45">
        <f t="shared" si="0"/>
        <v>27</v>
      </c>
      <c r="G18" s="48">
        <f t="shared" si="1"/>
        <v>2.08</v>
      </c>
    </row>
    <row r="19" spans="1:7">
      <c r="A19" s="45">
        <v>16</v>
      </c>
      <c r="B19" s="88" t="s">
        <v>224</v>
      </c>
      <c r="C19" s="83" t="s">
        <v>157</v>
      </c>
      <c r="D19" s="83">
        <v>25</v>
      </c>
      <c r="E19" s="83">
        <v>11</v>
      </c>
      <c r="F19" s="45">
        <f t="shared" si="0"/>
        <v>-14</v>
      </c>
      <c r="G19" s="48">
        <f t="shared" si="1"/>
        <v>0.44</v>
      </c>
    </row>
    <row r="20" spans="1:7">
      <c r="A20" s="45">
        <v>17</v>
      </c>
      <c r="B20" s="100" t="s">
        <v>225</v>
      </c>
      <c r="C20" s="83" t="s">
        <v>157</v>
      </c>
      <c r="D20" s="83">
        <v>25</v>
      </c>
      <c r="E20" s="83">
        <v>5</v>
      </c>
      <c r="F20" s="45">
        <f t="shared" si="0"/>
        <v>-20</v>
      </c>
      <c r="G20" s="48">
        <f t="shared" si="1"/>
        <v>0.2</v>
      </c>
    </row>
    <row r="21" spans="1:7">
      <c r="A21" s="45">
        <v>18</v>
      </c>
      <c r="B21" s="88" t="s">
        <v>226</v>
      </c>
      <c r="C21" s="83" t="s">
        <v>75</v>
      </c>
      <c r="D21" s="83">
        <v>25</v>
      </c>
      <c r="E21" s="83">
        <v>0</v>
      </c>
      <c r="F21" s="45">
        <f t="shared" si="0"/>
        <v>-25</v>
      </c>
      <c r="G21" s="48">
        <f t="shared" si="1"/>
        <v>0</v>
      </c>
    </row>
    <row r="22" spans="1:7">
      <c r="A22" s="45">
        <v>19</v>
      </c>
      <c r="B22" s="88" t="s">
        <v>227</v>
      </c>
      <c r="C22" s="93" t="s">
        <v>157</v>
      </c>
      <c r="D22" s="84">
        <v>25</v>
      </c>
      <c r="E22" s="84">
        <v>27</v>
      </c>
      <c r="F22" s="45">
        <f t="shared" si="0"/>
        <v>2</v>
      </c>
      <c r="G22" s="48">
        <f t="shared" si="1"/>
        <v>1.08</v>
      </c>
    </row>
    <row r="23" spans="1:7">
      <c r="A23" s="45">
        <v>20</v>
      </c>
      <c r="B23" s="94" t="s">
        <v>228</v>
      </c>
      <c r="C23" s="95" t="s">
        <v>157</v>
      </c>
      <c r="D23" s="96">
        <v>25</v>
      </c>
      <c r="E23" s="96">
        <v>25</v>
      </c>
      <c r="F23" s="45">
        <f t="shared" si="0"/>
        <v>0</v>
      </c>
      <c r="G23" s="48">
        <f t="shared" si="1"/>
        <v>1</v>
      </c>
    </row>
    <row r="24" spans="1:7">
      <c r="A24" s="45">
        <v>21</v>
      </c>
      <c r="B24" s="88" t="s">
        <v>229</v>
      </c>
      <c r="C24" s="97" t="s">
        <v>76</v>
      </c>
      <c r="D24" s="98">
        <v>25</v>
      </c>
      <c r="E24" s="96">
        <v>3</v>
      </c>
      <c r="F24" s="45">
        <f t="shared" si="0"/>
        <v>-22</v>
      </c>
      <c r="G24" s="48">
        <f t="shared" si="1"/>
        <v>0.12</v>
      </c>
    </row>
    <row r="25" spans="1:7">
      <c r="A25" s="45"/>
      <c r="B25" s="50" t="s">
        <v>50</v>
      </c>
      <c r="C25" s="50"/>
      <c r="D25" s="50">
        <v>600</v>
      </c>
      <c r="E25" s="50">
        <f>SUM(E4:E24)</f>
        <v>353</v>
      </c>
      <c r="F25" s="50">
        <f t="shared" si="0"/>
        <v>-247</v>
      </c>
      <c r="G25" s="58">
        <f t="shared" si="1"/>
        <v>0.58833333333333337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D3F5-AE5F-4CA9-B3C4-79D60BB68CD2}">
  <dimension ref="A1:G9"/>
  <sheetViews>
    <sheetView workbookViewId="0">
      <selection activeCell="J9" sqref="J9"/>
    </sheetView>
  </sheetViews>
  <sheetFormatPr defaultRowHeight="14.5"/>
  <cols>
    <col min="1" max="1" width="4.81640625" customWidth="1"/>
    <col min="2" max="2" width="30.453125" customWidth="1"/>
    <col min="7" max="7" width="10.453125" style="18" bestFit="1" customWidth="1"/>
  </cols>
  <sheetData>
    <row r="1" spans="1:7">
      <c r="A1" s="183" t="s">
        <v>55</v>
      </c>
      <c r="B1" s="184" t="s">
        <v>56</v>
      </c>
      <c r="C1" s="185" t="s">
        <v>62</v>
      </c>
      <c r="D1" s="185"/>
      <c r="E1" s="185"/>
      <c r="F1" s="185"/>
      <c r="G1" s="185"/>
    </row>
    <row r="2" spans="1:7">
      <c r="A2" s="183"/>
      <c r="B2" s="184"/>
      <c r="C2" s="186" t="s">
        <v>57</v>
      </c>
      <c r="D2" s="186" t="s">
        <v>58</v>
      </c>
      <c r="E2" s="186" t="s">
        <v>59</v>
      </c>
      <c r="F2" s="186" t="s">
        <v>60</v>
      </c>
      <c r="G2" s="187" t="s">
        <v>54</v>
      </c>
    </row>
    <row r="3" spans="1:7">
      <c r="A3" s="183"/>
      <c r="B3" s="184"/>
      <c r="C3" s="186"/>
      <c r="D3" s="186"/>
      <c r="E3" s="186"/>
      <c r="F3" s="186"/>
      <c r="G3" s="187"/>
    </row>
    <row r="4" spans="1:7">
      <c r="A4" s="8">
        <v>1</v>
      </c>
      <c r="B4" s="75" t="s">
        <v>176</v>
      </c>
      <c r="C4" s="76" t="s">
        <v>75</v>
      </c>
      <c r="D4" s="71">
        <v>35</v>
      </c>
      <c r="E4" s="77">
        <v>95</v>
      </c>
      <c r="F4" s="8">
        <f>E4-D4</f>
        <v>60</v>
      </c>
      <c r="G4" s="19">
        <f>E4/D4*100%</f>
        <v>2.7142857142857144</v>
      </c>
    </row>
    <row r="5" spans="1:7">
      <c r="A5" s="8">
        <v>2</v>
      </c>
      <c r="B5" s="72" t="s">
        <v>177</v>
      </c>
      <c r="C5" s="76" t="s">
        <v>76</v>
      </c>
      <c r="D5" s="73">
        <v>25</v>
      </c>
      <c r="E5" s="77">
        <v>15</v>
      </c>
      <c r="F5" s="8">
        <f t="shared" ref="F5:F9" si="0">E5-D5</f>
        <v>-10</v>
      </c>
      <c r="G5" s="19">
        <f t="shared" ref="G5:G9" si="1">E5/D5*100%</f>
        <v>0.6</v>
      </c>
    </row>
    <row r="6" spans="1:7">
      <c r="A6" s="8">
        <v>3</v>
      </c>
      <c r="B6" s="74" t="s">
        <v>178</v>
      </c>
      <c r="C6" s="78" t="s">
        <v>76</v>
      </c>
      <c r="D6" s="73">
        <v>25</v>
      </c>
      <c r="E6" s="77">
        <v>15</v>
      </c>
      <c r="F6" s="8">
        <f t="shared" si="0"/>
        <v>-10</v>
      </c>
      <c r="G6" s="19">
        <f t="shared" si="1"/>
        <v>0.6</v>
      </c>
    </row>
    <row r="7" spans="1:7">
      <c r="A7" s="8">
        <v>4</v>
      </c>
      <c r="B7" s="72" t="s">
        <v>179</v>
      </c>
      <c r="C7" s="79" t="s">
        <v>76</v>
      </c>
      <c r="D7" s="73">
        <v>25</v>
      </c>
      <c r="E7" s="77">
        <v>6</v>
      </c>
      <c r="F7" s="8">
        <f t="shared" si="0"/>
        <v>-19</v>
      </c>
      <c r="G7" s="19">
        <f t="shared" si="1"/>
        <v>0.24</v>
      </c>
    </row>
    <row r="8" spans="1:7">
      <c r="A8" s="8">
        <v>5</v>
      </c>
      <c r="B8" s="72" t="s">
        <v>180</v>
      </c>
      <c r="C8" s="79" t="s">
        <v>76</v>
      </c>
      <c r="D8" s="73">
        <v>25</v>
      </c>
      <c r="E8" s="77">
        <v>12</v>
      </c>
      <c r="F8" s="8">
        <f t="shared" si="0"/>
        <v>-13</v>
      </c>
      <c r="G8" s="19">
        <f t="shared" si="1"/>
        <v>0.48</v>
      </c>
    </row>
    <row r="9" spans="1:7">
      <c r="A9" s="8"/>
      <c r="B9" s="11" t="s">
        <v>50</v>
      </c>
      <c r="C9" s="11"/>
      <c r="D9" s="80">
        <v>150</v>
      </c>
      <c r="E9" s="11">
        <f>SUM(E4:E8)</f>
        <v>143</v>
      </c>
      <c r="F9" s="11">
        <f t="shared" si="0"/>
        <v>-7</v>
      </c>
      <c r="G9" s="21">
        <f t="shared" si="1"/>
        <v>0.95333333333333337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5523-4AB8-4795-A17D-F6A116358CD3}">
  <dimension ref="A1:G16"/>
  <sheetViews>
    <sheetView tabSelected="1" workbookViewId="0">
      <selection activeCell="J6" sqref="J6"/>
    </sheetView>
  </sheetViews>
  <sheetFormatPr defaultRowHeight="14.5"/>
  <cols>
    <col min="1" max="1" width="4.6328125" customWidth="1"/>
    <col min="2" max="2" width="32.7265625" customWidth="1"/>
    <col min="7" max="7" width="8.7265625" style="18"/>
  </cols>
  <sheetData>
    <row r="1" spans="1:7">
      <c r="A1" s="171" t="s">
        <v>55</v>
      </c>
      <c r="B1" s="172" t="s">
        <v>56</v>
      </c>
      <c r="C1" s="173" t="s">
        <v>62</v>
      </c>
      <c r="D1" s="174"/>
      <c r="E1" s="174"/>
      <c r="F1" s="174"/>
      <c r="G1" s="174"/>
    </row>
    <row r="2" spans="1:7">
      <c r="A2" s="171"/>
      <c r="B2" s="172"/>
      <c r="C2" s="175" t="s">
        <v>57</v>
      </c>
      <c r="D2" s="175" t="s">
        <v>58</v>
      </c>
      <c r="E2" s="175" t="s">
        <v>59</v>
      </c>
      <c r="F2" s="175" t="s">
        <v>60</v>
      </c>
      <c r="G2" s="177" t="s">
        <v>54</v>
      </c>
    </row>
    <row r="3" spans="1:7">
      <c r="A3" s="171"/>
      <c r="B3" s="172"/>
      <c r="C3" s="176"/>
      <c r="D3" s="176"/>
      <c r="E3" s="176"/>
      <c r="F3" s="176"/>
      <c r="G3" s="178"/>
    </row>
    <row r="4" spans="1:7">
      <c r="A4" s="8">
        <v>1</v>
      </c>
      <c r="B4" s="72" t="s">
        <v>181</v>
      </c>
      <c r="C4" s="81" t="s">
        <v>75</v>
      </c>
      <c r="D4" s="71">
        <v>35</v>
      </c>
      <c r="E4" s="77">
        <v>0</v>
      </c>
      <c r="F4" s="8">
        <f>E4-D4</f>
        <v>-35</v>
      </c>
      <c r="G4" s="19">
        <f>E4/D4*100%</f>
        <v>0</v>
      </c>
    </row>
    <row r="5" spans="1:7">
      <c r="A5" s="8">
        <v>2</v>
      </c>
      <c r="B5" s="72" t="s">
        <v>182</v>
      </c>
      <c r="C5" s="76" t="s">
        <v>76</v>
      </c>
      <c r="D5" s="3">
        <v>25</v>
      </c>
      <c r="E5" s="77">
        <v>34</v>
      </c>
      <c r="F5" s="8">
        <f t="shared" ref="F5:F16" si="0">E5-D5</f>
        <v>9</v>
      </c>
      <c r="G5" s="19">
        <f t="shared" ref="G5:G16" si="1">E5/D5*100%</f>
        <v>1.36</v>
      </c>
    </row>
    <row r="6" spans="1:7">
      <c r="A6" s="8">
        <v>3</v>
      </c>
      <c r="B6" s="72" t="s">
        <v>183</v>
      </c>
      <c r="C6" s="76" t="s">
        <v>76</v>
      </c>
      <c r="D6" s="3">
        <v>25</v>
      </c>
      <c r="E6" s="77">
        <v>13</v>
      </c>
      <c r="F6" s="8">
        <f t="shared" si="0"/>
        <v>-12</v>
      </c>
      <c r="G6" s="19">
        <f t="shared" si="1"/>
        <v>0.52</v>
      </c>
    </row>
    <row r="7" spans="1:7">
      <c r="A7" s="8">
        <v>4</v>
      </c>
      <c r="B7" s="72" t="s">
        <v>184</v>
      </c>
      <c r="C7" s="76" t="s">
        <v>76</v>
      </c>
      <c r="D7" s="3">
        <v>25</v>
      </c>
      <c r="E7" s="77">
        <v>41</v>
      </c>
      <c r="F7" s="8">
        <f t="shared" si="0"/>
        <v>16</v>
      </c>
      <c r="G7" s="19">
        <f t="shared" si="1"/>
        <v>1.64</v>
      </c>
    </row>
    <row r="8" spans="1:7">
      <c r="A8" s="8">
        <v>5</v>
      </c>
      <c r="B8" s="72" t="s">
        <v>185</v>
      </c>
      <c r="C8" s="76" t="s">
        <v>76</v>
      </c>
      <c r="D8" s="3">
        <v>25</v>
      </c>
      <c r="E8" s="77">
        <v>17</v>
      </c>
      <c r="F8" s="8">
        <f t="shared" si="0"/>
        <v>-8</v>
      </c>
      <c r="G8" s="19">
        <f t="shared" si="1"/>
        <v>0.68</v>
      </c>
    </row>
    <row r="9" spans="1:7">
      <c r="A9" s="8">
        <v>6</v>
      </c>
      <c r="B9" s="72" t="s">
        <v>186</v>
      </c>
      <c r="C9" s="76" t="s">
        <v>76</v>
      </c>
      <c r="D9" s="3">
        <v>25</v>
      </c>
      <c r="E9" s="77">
        <v>19</v>
      </c>
      <c r="F9" s="8">
        <f t="shared" si="0"/>
        <v>-6</v>
      </c>
      <c r="G9" s="19">
        <f t="shared" si="1"/>
        <v>0.76</v>
      </c>
    </row>
    <row r="10" spans="1:7" ht="29">
      <c r="A10" s="8">
        <v>7</v>
      </c>
      <c r="B10" s="72" t="s">
        <v>187</v>
      </c>
      <c r="C10" s="81" t="s">
        <v>75</v>
      </c>
      <c r="D10" s="71">
        <v>35</v>
      </c>
      <c r="E10" s="77">
        <v>0</v>
      </c>
      <c r="F10" s="8">
        <f t="shared" si="0"/>
        <v>-35</v>
      </c>
      <c r="G10" s="19">
        <f t="shared" si="1"/>
        <v>0</v>
      </c>
    </row>
    <row r="11" spans="1:7">
      <c r="A11" s="8">
        <v>8</v>
      </c>
      <c r="B11" s="72" t="s">
        <v>188</v>
      </c>
      <c r="C11" s="76" t="s">
        <v>76</v>
      </c>
      <c r="D11" s="3">
        <v>25</v>
      </c>
      <c r="E11" s="77">
        <v>36</v>
      </c>
      <c r="F11" s="8">
        <f t="shared" si="0"/>
        <v>11</v>
      </c>
      <c r="G11" s="19">
        <f t="shared" si="1"/>
        <v>1.44</v>
      </c>
    </row>
    <row r="12" spans="1:7">
      <c r="A12" s="8">
        <v>9</v>
      </c>
      <c r="B12" s="72" t="s">
        <v>189</v>
      </c>
      <c r="C12" s="76" t="s">
        <v>76</v>
      </c>
      <c r="D12" s="3">
        <v>25</v>
      </c>
      <c r="E12" s="77">
        <v>25</v>
      </c>
      <c r="F12" s="8">
        <f t="shared" si="0"/>
        <v>0</v>
      </c>
      <c r="G12" s="19">
        <f t="shared" si="1"/>
        <v>1</v>
      </c>
    </row>
    <row r="13" spans="1:7">
      <c r="A13" s="8">
        <v>10</v>
      </c>
      <c r="B13" s="72" t="s">
        <v>190</v>
      </c>
      <c r="C13" s="76" t="s">
        <v>76</v>
      </c>
      <c r="D13" s="3">
        <v>25</v>
      </c>
      <c r="E13" s="77">
        <v>26</v>
      </c>
      <c r="F13" s="8">
        <f t="shared" si="0"/>
        <v>1</v>
      </c>
      <c r="G13" s="19">
        <f t="shared" si="1"/>
        <v>1.04</v>
      </c>
    </row>
    <row r="14" spans="1:7">
      <c r="A14" s="8">
        <v>11</v>
      </c>
      <c r="B14" s="72" t="s">
        <v>191</v>
      </c>
      <c r="C14" s="76" t="s">
        <v>76</v>
      </c>
      <c r="D14" s="3">
        <v>25</v>
      </c>
      <c r="E14" s="77">
        <v>15</v>
      </c>
      <c r="F14" s="8">
        <f t="shared" si="0"/>
        <v>-10</v>
      </c>
      <c r="G14" s="19">
        <f t="shared" si="1"/>
        <v>0.6</v>
      </c>
    </row>
    <row r="15" spans="1:7">
      <c r="A15" s="8">
        <v>12</v>
      </c>
      <c r="B15" s="72" t="s">
        <v>192</v>
      </c>
      <c r="C15" s="76" t="s">
        <v>76</v>
      </c>
      <c r="D15" s="3">
        <v>25</v>
      </c>
      <c r="E15" s="77">
        <v>25</v>
      </c>
      <c r="F15" s="8">
        <f t="shared" si="0"/>
        <v>0</v>
      </c>
      <c r="G15" s="19">
        <f t="shared" si="1"/>
        <v>1</v>
      </c>
    </row>
    <row r="16" spans="1:7">
      <c r="A16" s="8"/>
      <c r="B16" s="11" t="s">
        <v>50</v>
      </c>
      <c r="C16" s="11"/>
      <c r="D16" s="11">
        <v>300</v>
      </c>
      <c r="E16" s="11">
        <f>SUM(E4:E15)</f>
        <v>251</v>
      </c>
      <c r="F16" s="11">
        <f t="shared" si="0"/>
        <v>-49</v>
      </c>
      <c r="G16" s="21">
        <f t="shared" si="1"/>
        <v>0.83666666666666667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PENCAPAIAN KOTA</vt:lpstr>
      <vt:lpstr>BEST DS</vt:lpstr>
      <vt:lpstr>BANTEN</vt:lpstr>
      <vt:lpstr>TANGGERANG</vt:lpstr>
      <vt:lpstr>JAKARTA</vt:lpstr>
      <vt:lpstr>DEPOK</vt:lpstr>
      <vt:lpstr>BOGOR</vt:lpstr>
      <vt:lpstr>CIREBON</vt:lpstr>
      <vt:lpstr>SUBANG</vt:lpstr>
      <vt:lpstr>KARAWANG</vt:lpstr>
      <vt:lpstr>PURWAKARTA</vt:lpstr>
      <vt:lpstr>CISOLOK</vt:lpstr>
      <vt:lpstr>TASIKMALAYA</vt:lpstr>
      <vt:lpstr>KAB TASIK</vt:lpstr>
      <vt:lpstr>GARUT</vt:lpstr>
      <vt:lpstr>BANJAR</vt:lpstr>
      <vt:lpstr>CIAMIS</vt:lpstr>
      <vt:lpstr>CIAWI</vt:lpstr>
      <vt:lpstr>BANDUNG RAYA</vt:lpstr>
      <vt:lpstr>CIANJUR</vt:lpstr>
      <vt:lpstr>SEMARANG</vt:lpstr>
      <vt:lpstr>DEMAK</vt:lpstr>
      <vt:lpstr>KENDAL</vt:lpstr>
      <vt:lpstr>KUDUS</vt:lpstr>
      <vt:lpstr>CILACAP</vt:lpstr>
      <vt:lpstr>TEGAL</vt:lpstr>
      <vt:lpstr>KEBUMEN</vt:lpstr>
      <vt:lpstr>PURWOKERTO</vt:lpstr>
      <vt:lpstr>PONOROGO</vt:lpstr>
      <vt:lpstr>JOGJA</vt:lpstr>
      <vt:lpstr>KLATEN</vt:lpstr>
      <vt:lpstr>SOLO</vt:lpstr>
      <vt:lpstr>SURABAYA</vt:lpstr>
      <vt:lpstr>SIDOARJO</vt:lpstr>
      <vt:lpstr>KEDIRI</vt:lpstr>
      <vt:lpstr>MALANG</vt:lpstr>
      <vt:lpstr>BANGKA BELITUNG</vt:lpstr>
      <vt:lpstr>MEDAN</vt:lpstr>
      <vt:lpstr>DENPASAR</vt:lpstr>
      <vt:lpstr>BADUNG</vt:lpstr>
      <vt:lpstr>TABANAN</vt:lpstr>
      <vt:lpstr>NEGARA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2024-09-19T11:24:15Z</dcterms:created>
  <dcterms:modified xsi:type="dcterms:W3CDTF">2024-09-26T11:45:09Z</dcterms:modified>
</cp:coreProperties>
</file>